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tore Directory" sheetId="2" state="visible" r:id="rId4"/>
    <sheet name="Inventory Master" sheetId="3" state="visible" r:id="rId5"/>
    <sheet name="Backroom Shelving 0146" sheetId="4" state="visible" r:id="rId6"/>
    <sheet name="Style Master" sheetId="5" state="visible" r:id="rId7"/>
    <sheet name="Store Summary" sheetId="6" state="visible" r:id="rId8"/>
  </sheets>
  <definedNames>
    <definedName function="false" hidden="true" localSheetId="3" name="_xlnm._FilterDatabase" vbProcedure="false">'Backroom Shelving 0146'!$A$1:$W$444</definedName>
    <definedName function="false" hidden="true" localSheetId="2" name="_xlnm._FilterDatabase" vbProcedure="false">'Inventory Master'!$A$1:$AA$525</definedName>
    <definedName function="false" hidden="true" localSheetId="4" name="_xlnm._FilterDatabase" vbProcedure="false">'Style Master'!$A$1:$T$119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<sst xmlns="http://schemas.openxmlformats.org/spreadsheetml/2006/main" count="15006" uniqueCount="1890">
  <si>
    <t xml:space="preserve">Shoe Inventory Data Source Simulation</t>
  </si>
  <si>
    <t xml:space="preserve">Mock athletic / sport / casual footwear inventory across four store locations</t>
  </si>
  <si>
    <t xml:space="preserve">Purpose</t>
  </si>
  <si>
    <t xml:space="preserve">This workbook is a synthetic data source built to stand in for a real footwear inventory extract during design, demo, and integration testing. Every SKU, UPC, quantity, and store number in it is fabricated. It is not Hibbett data and carries no confidential information.</t>
  </si>
  <si>
    <t xml:space="preserve">Sheets</t>
  </si>
  <si>
    <t xml:space="preserve">Inventory Master  —  the fact table. One row per SKU (style / color / size), with on-hand units for each of the four stores.</t>
  </si>
  <si>
    <t xml:space="preserve">Style Master  —  the dimension table. One row per style-colorway, with the SKU count and total units rolled up by formula.</t>
  </si>
  <si>
    <t xml:space="preserve">Store Directory  —  the four store locations, their attributes, and their assortment / stocking profile.</t>
  </si>
  <si>
    <t xml:space="preserve">Store Summary  —  live SUMIFS roll-ups of units and retail value by brand and by category, per store.</t>
  </si>
  <si>
    <t xml:space="preserve">How to read the store columns</t>
  </si>
  <si>
    <t xml:space="preserve">A number (including 0) means the store is assorted for that SKU. 0 = assorted but currently out of stock.</t>
  </si>
  <si>
    <t xml:space="preserve">A blank cell means the store does not carry that SKU at all — it is not part of that store's assortment.</t>
  </si>
  <si>
    <t xml:space="preserve">That distinction is deliberate: roughly a third of items are chain-wide, the rest are in one, two, or three stores only.</t>
  </si>
  <si>
    <t xml:space="preserve">Assumptions and generation rules</t>
  </si>
  <si>
    <t xml:space="preserve">Brands, models, colorways, categories, and price points reflect a real Hibbett-style assortment (Nike, Jordan, adidas, New Balance, Under Armour, PUMA, ASICS, Brooks, HOKA, On, Converse, Vans and others).</t>
  </si>
  <si>
    <t xml:space="preserve">SKU numbers (HB-#######) and UPCs are entirely mocked and are unique within this workbook.</t>
  </si>
  <si>
    <t xml:space="preserve">Style numbers follow each brand's real formatting convention (e.g. Nike AB1234-567, adidas IG1234, New Balance M0000ABC) but the values themselves are mocked and should not be looked up.</t>
  </si>
  <si>
    <t xml:space="preserve">Unit Cost is derived as 48%-56% of MSRP. Current Retail equals MSRP unless Lifecycle Status is Clearance, in which case it is marked down 25%-40%.</t>
  </si>
  <si>
    <t xml:space="preserve">On-hand depth is scaled by store volume: store 2071 runs deepest, 3719 shallowest. End sizes (men's 10, 11.5, 12, 13) and clearance items are thinned out to mimic broken size runs.</t>
  </si>
  <si>
    <t xml:space="preserve">Last Received dates fall within the 210 days ending 2026-07-29.</t>
  </si>
  <si>
    <t xml:space="preserve">Generated 2026-07-29 with a fixed random seed (20260729), so the file can be reproduced exactly.</t>
  </si>
  <si>
    <t xml:space="preserve">Editing this workbook</t>
  </si>
  <si>
    <t xml:space="preserve">Safe to edit by hand: the four store on-hand columns, MSRP, Current Retail, and Unit Cost on Inventory Master.</t>
  </si>
  <si>
    <t xml:space="preserve">Do not overwrite: Total On Hand, Stores Stocking, and Retail Value on Inventory Master, or anything on Style Master and Store Summary — those are formulas and will recalculate on their own.</t>
  </si>
  <si>
    <t xml:space="preserve">Source</t>
  </si>
  <si>
    <t xml:space="preserve">Assortment composition informed by publicly available product listings at hibbett.com (brand, category, and model lineup as of July 2026). No pricing, inventory, or store data was taken from any live system.</t>
  </si>
  <si>
    <t xml:space="preserve">Back room shelving — Store 0146 (added 2026-07-29)</t>
  </si>
  <si>
    <t xml:space="preserve">Tab 'Backroom Shelving 0146' maps every SKU carried by store 0146 to a physical back room location. It covers all 443 SKUs in that store's assortment, of which 354 are currently in stock.</t>
  </si>
  <si>
    <t xml:space="preserve">Location ID grammar: ZONE - BAY - SHELF - BIN. Example C-07-3-04 = Zone C, Bay 07, Shelf level 3, Bin 04. Zone is a letter, Bay is two digits, Shelf level runs 1 (floor) to 5 (top), Bin runs 01-12 left to right.</t>
  </si>
  <si>
    <t xml:space="preserve">Zones: A = Men's Running &amp; Training · B = Men's Basketball, Court &amp; Team Sport · C = Women's Athletic &amp; Lifestyle · D = Kids' &amp; Youth · E = Men's &amp; Unisex Casual / Lifestyle · F = Sandals, Slides, Clogs &amp; Boots. Bays 12-15 of Zone F double as the overstock rack.</t>
  </si>
  <si>
    <t xml:space="preserve">All sizes of one style sit on a single shelf in ascending size order, so an entire style can be pulled from one location. Rows are sorted in pick-walk sequence (zone, bay, shelf, bin).</t>
  </si>
  <si>
    <t xml:space="preserve">On Hand - Store 0146 is an INDEX/MATCH lookup against Inventory Master, so the shelf tab cannot drift from the inventory data. Back Room Units = On Hand minus Sales Floor Units. Stock Status is derived from On Hand.</t>
  </si>
  <si>
    <t xml:space="preserve">Out-of-stock SKUs are retained deliberately and flagged in red. The location on those rows is the item's home location, which is where it will be put away on the next replenishment — useful when an agent needs to answer 'no, but it normally lives here'.</t>
  </si>
  <si>
    <t xml:space="preserve">Suggested Agent Response is a ready-made natural-language answer to 'do you have this in stock', built by formula from the stock and location fields. Treat it as a starting point, not a required output format.</t>
  </si>
  <si>
    <t xml:space="preserve">Sales Floor Units, Overstock Location, and Last Counted are generated values, not formulas. Overstock locations are only assigned where back room depth is six pairs or more.</t>
  </si>
  <si>
    <t xml:space="preserve">Store Directory</t>
  </si>
  <si>
    <t xml:space="preserve">Store Number</t>
  </si>
  <si>
    <t xml:space="preserve">Store Name</t>
  </si>
  <si>
    <t xml:space="preserve">City</t>
  </si>
  <si>
    <t xml:space="preserve">State</t>
  </si>
  <si>
    <t xml:space="preserve">Region</t>
  </si>
  <si>
    <t xml:space="preserve">Banner / Format</t>
  </si>
  <si>
    <t xml:space="preserve">Selling Sq Ft</t>
  </si>
  <si>
    <t xml:space="preserve">Date Opened</t>
  </si>
  <si>
    <t xml:space="preserve">Volume Index</t>
  </si>
  <si>
    <t xml:space="preserve">Assortment Depth</t>
  </si>
  <si>
    <t xml:space="preserve">SKUs Assorted</t>
  </si>
  <si>
    <t xml:space="preserve">Units On Hand</t>
  </si>
  <si>
    <t xml:space="preserve">On-Hand Retail Value</t>
  </si>
  <si>
    <t xml:space="preserve">0146</t>
  </si>
  <si>
    <t xml:space="preserve">Trussville Marketplace</t>
  </si>
  <si>
    <t xml:space="preserve">Trussville</t>
  </si>
  <si>
    <t xml:space="preserve">AL</t>
  </si>
  <si>
    <t xml:space="preserve">AL / North</t>
  </si>
  <si>
    <t xml:space="preserve">Hibbett Sports</t>
  </si>
  <si>
    <t xml:space="preserve">Core chain assortment</t>
  </si>
  <si>
    <t xml:space="preserve">1382</t>
  </si>
  <si>
    <t xml:space="preserve">Cartersville Pavilion</t>
  </si>
  <si>
    <t xml:space="preserve">Cartersville</t>
  </si>
  <si>
    <t xml:space="preserve">GA</t>
  </si>
  <si>
    <t xml:space="preserve">GA / Northwest</t>
  </si>
  <si>
    <t xml:space="preserve">Reduced size runs</t>
  </si>
  <si>
    <t xml:space="preserve">2071</t>
  </si>
  <si>
    <t xml:space="preserve">Southaven Towne Center</t>
  </si>
  <si>
    <t xml:space="preserve">Southaven</t>
  </si>
  <si>
    <t xml:space="preserve">MS</t>
  </si>
  <si>
    <t xml:space="preserve">MS / Memphis Metro</t>
  </si>
  <si>
    <t xml:space="preserve">City Gear</t>
  </si>
  <si>
    <t xml:space="preserve">Flagship / full depth</t>
  </si>
  <si>
    <t xml:space="preserve">3719</t>
  </si>
  <si>
    <t xml:space="preserve">Florence Regency Square</t>
  </si>
  <si>
    <t xml:space="preserve">Florence</t>
  </si>
  <si>
    <t xml:space="preserve">SC</t>
  </si>
  <si>
    <t xml:space="preserve">SC / Pee Dee</t>
  </si>
  <si>
    <t xml:space="preserve">Small-market, edited</t>
  </si>
  <si>
    <t xml:space="preserve">TOTAL</t>
  </si>
  <si>
    <t xml:space="preserve">SKUs Assorted counts store cells that contain a number (0 included); a blank means the SKU is not carried at that store. Volume Index is the relative on-hand depth multiplier used to generate the data.</t>
  </si>
  <si>
    <t xml:space="preserve">SKU</t>
  </si>
  <si>
    <t xml:space="preserve">UPC</t>
  </si>
  <si>
    <t xml:space="preserve">Item ID</t>
  </si>
  <si>
    <t xml:space="preserve">Manufacturer</t>
  </si>
  <si>
    <t xml:space="preserve">Brand</t>
  </si>
  <si>
    <t xml:space="preserve">Model</t>
  </si>
  <si>
    <t xml:space="preserve">Style Number</t>
  </si>
  <si>
    <t xml:space="preserve">Product Description</t>
  </si>
  <si>
    <t xml:space="preserve">Category</t>
  </si>
  <si>
    <t xml:space="preserve">Sub-Category</t>
  </si>
  <si>
    <t xml:space="preserve">Gender</t>
  </si>
  <si>
    <t xml:space="preserve">Color</t>
  </si>
  <si>
    <t xml:space="preserve">Size</t>
  </si>
  <si>
    <t xml:space="preserve">Width</t>
  </si>
  <si>
    <t xml:space="preserve">Season</t>
  </si>
  <si>
    <t xml:space="preserve">Lifecycle Status</t>
  </si>
  <si>
    <t xml:space="preserve">MSRP</t>
  </si>
  <si>
    <t xml:space="preserve">Current Retail</t>
  </si>
  <si>
    <t xml:space="preserve">Unit Cost</t>
  </si>
  <si>
    <t xml:space="preserve">Store 0146 On Hand</t>
  </si>
  <si>
    <t xml:space="preserve">Store 1382 On Hand</t>
  </si>
  <si>
    <t xml:space="preserve">Store 2071 On Hand</t>
  </si>
  <si>
    <t xml:space="preserve">Store 3719 On Hand</t>
  </si>
  <si>
    <t xml:space="preserve">Total On Hand</t>
  </si>
  <si>
    <t xml:space="preserve">Stores Stocking</t>
  </si>
  <si>
    <t xml:space="preserve">Last Received</t>
  </si>
  <si>
    <t xml:space="preserve">HB-4102582</t>
  </si>
  <si>
    <t xml:space="preserve">877862873808</t>
  </si>
  <si>
    <t xml:space="preserve">ITM-700225</t>
  </si>
  <si>
    <t xml:space="preserve">adidas AG</t>
  </si>
  <si>
    <t xml:space="preserve">adidas</t>
  </si>
  <si>
    <t xml:space="preserve">Adilette Comfort Slide</t>
  </si>
  <si>
    <t xml:space="preserve">AU7200</t>
  </si>
  <si>
    <t xml:space="preserve">adidas Adilette Comfort Slide "Core Black/White" Men's Shoe</t>
  </si>
  <si>
    <t xml:space="preserve">Sandals</t>
  </si>
  <si>
    <t xml:space="preserve">Slides</t>
  </si>
  <si>
    <t xml:space="preserve">Men</t>
  </si>
  <si>
    <t xml:space="preserve">Core Black/White</t>
  </si>
  <si>
    <t xml:space="preserve">13</t>
  </si>
  <si>
    <t xml:space="preserve">D - Medium</t>
  </si>
  <si>
    <t xml:space="preserve">FA26</t>
  </si>
  <si>
    <t xml:space="preserve">Active</t>
  </si>
  <si>
    <t xml:space="preserve">HB-4100776</t>
  </si>
  <si>
    <t xml:space="preserve">817439334285</t>
  </si>
  <si>
    <t xml:space="preserve">ITM-700140</t>
  </si>
  <si>
    <t xml:space="preserve">Nike, Inc.</t>
  </si>
  <si>
    <t xml:space="preserve">Nike</t>
  </si>
  <si>
    <t xml:space="preserve">Revolution 7</t>
  </si>
  <si>
    <t xml:space="preserve">TA0814-787</t>
  </si>
  <si>
    <t xml:space="preserve">Nike Revolution 7 "Black/Off Noir/Dark Smoke Grey" Men's Shoe</t>
  </si>
  <si>
    <t xml:space="preserve">Running</t>
  </si>
  <si>
    <t xml:space="preserve">Entry Cushion</t>
  </si>
  <si>
    <t xml:space="preserve">Black/Off Noir/Dark Smoke Grey</t>
  </si>
  <si>
    <t xml:space="preserve">12</t>
  </si>
  <si>
    <t xml:space="preserve">SP26</t>
  </si>
  <si>
    <t xml:space="preserve">HB-4103107</t>
  </si>
  <si>
    <t xml:space="preserve">840252722072</t>
  </si>
  <si>
    <t xml:space="preserve">ITM-700247</t>
  </si>
  <si>
    <t xml:space="preserve">New Balance Athletics, Inc.</t>
  </si>
  <si>
    <t xml:space="preserve">New Balance</t>
  </si>
  <si>
    <t xml:space="preserve">Fresh Foam Arishi v4</t>
  </si>
  <si>
    <t xml:space="preserve">W8600KRG</t>
  </si>
  <si>
    <t xml:space="preserve">New Balance Fresh Foam Arishi v4 "Black/Silver" Men's Shoe</t>
  </si>
  <si>
    <t xml:space="preserve">Black/Silver</t>
  </si>
  <si>
    <t xml:space="preserve">11.5</t>
  </si>
  <si>
    <t xml:space="preserve">HB-4103370</t>
  </si>
  <si>
    <t xml:space="preserve">824027160113</t>
  </si>
  <si>
    <t xml:space="preserve">ITM-700264</t>
  </si>
  <si>
    <t xml:space="preserve">Under Armour, Inc.</t>
  </si>
  <si>
    <t xml:space="preserve">Under Armour</t>
  </si>
  <si>
    <t xml:space="preserve">Surge 4</t>
  </si>
  <si>
    <t xml:space="preserve">3021004-318</t>
  </si>
  <si>
    <t xml:space="preserve">Under Armour Surge 4 "Black/Red" Big Kids' Shoe</t>
  </si>
  <si>
    <t xml:space="preserve">Big Kids</t>
  </si>
  <si>
    <t xml:space="preserve">Black/Red</t>
  </si>
  <si>
    <t xml:space="preserve">5Y</t>
  </si>
  <si>
    <t xml:space="preserve">M - Medium</t>
  </si>
  <si>
    <t xml:space="preserve">HB-4101994</t>
  </si>
  <si>
    <t xml:space="preserve">811910052093</t>
  </si>
  <si>
    <t xml:space="preserve">ITM-700194</t>
  </si>
  <si>
    <t xml:space="preserve">adidas Originals</t>
  </si>
  <si>
    <t xml:space="preserve">Handball Spezial</t>
  </si>
  <si>
    <t xml:space="preserve">YN8777</t>
  </si>
  <si>
    <t xml:space="preserve">adidas Originals Handball Spezial "Blue/Gum" Men's Shoe</t>
  </si>
  <si>
    <t xml:space="preserve">Casual</t>
  </si>
  <si>
    <t xml:space="preserve">Terrace / Lifestyle</t>
  </si>
  <si>
    <t xml:space="preserve">Blue/Gum</t>
  </si>
  <si>
    <t xml:space="preserve">9</t>
  </si>
  <si>
    <t xml:space="preserve">SU26</t>
  </si>
  <si>
    <t xml:space="preserve">HB-4104772</t>
  </si>
  <si>
    <t xml:space="preserve">864758033155</t>
  </si>
  <si>
    <t xml:space="preserve">ITM-700349</t>
  </si>
  <si>
    <t xml:space="preserve">Mizuno Corporation</t>
  </si>
  <si>
    <t xml:space="preserve">Mizuno</t>
  </si>
  <si>
    <t xml:space="preserve">Ambition 4 Turf</t>
  </si>
  <si>
    <t xml:space="preserve">212707-7648</t>
  </si>
  <si>
    <t xml:space="preserve">Mizuno Ambition 4 Turf "Navy/White" Men's Shoe</t>
  </si>
  <si>
    <t xml:space="preserve">Baseball</t>
  </si>
  <si>
    <t xml:space="preserve">Turf Trainer</t>
  </si>
  <si>
    <t xml:space="preserve">Navy/White</t>
  </si>
  <si>
    <t xml:space="preserve">9.5</t>
  </si>
  <si>
    <t xml:space="preserve">HB-4105167</t>
  </si>
  <si>
    <t xml:space="preserve">886681888719</t>
  </si>
  <si>
    <t xml:space="preserve">ITM-700373</t>
  </si>
  <si>
    <t xml:space="preserve">VF Corporation</t>
  </si>
  <si>
    <t xml:space="preserve">Vans</t>
  </si>
  <si>
    <t xml:space="preserve">Knu Skool</t>
  </si>
  <si>
    <t xml:space="preserve">VN000FMD01V</t>
  </si>
  <si>
    <t xml:space="preserve">Vans Knu Skool "Navy/White" Women's Shoe</t>
  </si>
  <si>
    <t xml:space="preserve">Canvas / Skate</t>
  </si>
  <si>
    <t xml:space="preserve">Women</t>
  </si>
  <si>
    <t xml:space="preserve">8.5</t>
  </si>
  <si>
    <t xml:space="preserve">B - Medium</t>
  </si>
  <si>
    <t xml:space="preserve">HB-4105459</t>
  </si>
  <si>
    <t xml:space="preserve">861021087424</t>
  </si>
  <si>
    <t xml:space="preserve">ITM-700388</t>
  </si>
  <si>
    <t xml:space="preserve">Crocs, Inc.</t>
  </si>
  <si>
    <t xml:space="preserve">Crocs</t>
  </si>
  <si>
    <t xml:space="preserve">Classic Clog</t>
  </si>
  <si>
    <t xml:space="preserve">57800-178</t>
  </si>
  <si>
    <t xml:space="preserve">Crocs Classic Clog "Bubblegum Pink" Little Kids' Shoe</t>
  </si>
  <si>
    <t xml:space="preserve">Clogs</t>
  </si>
  <si>
    <t xml:space="preserve">Little Kids</t>
  </si>
  <si>
    <t xml:space="preserve">Bubblegum Pink</t>
  </si>
  <si>
    <t xml:space="preserve">2Y</t>
  </si>
  <si>
    <t xml:space="preserve">Pre-Season</t>
  </si>
  <si>
    <t xml:space="preserve">HB-4105056</t>
  </si>
  <si>
    <t xml:space="preserve">848859341885</t>
  </si>
  <si>
    <t xml:space="preserve">ITM-700366</t>
  </si>
  <si>
    <t xml:space="preserve">Classic Slip-On</t>
  </si>
  <si>
    <t xml:space="preserve">VN000TBP59A</t>
  </si>
  <si>
    <t xml:space="preserve">Vans Classic Slip-On "Black/White Checkerboard" Unisex Shoe</t>
  </si>
  <si>
    <t xml:space="preserve">Unisex</t>
  </si>
  <si>
    <t xml:space="preserve">Black/White Checkerboard</t>
  </si>
  <si>
    <t xml:space="preserve">10</t>
  </si>
  <si>
    <t xml:space="preserve">HB-4100422</t>
  </si>
  <si>
    <t xml:space="preserve">870774071458</t>
  </si>
  <si>
    <t xml:space="preserve">ITM-700117</t>
  </si>
  <si>
    <t xml:space="preserve">Air Max Dn</t>
  </si>
  <si>
    <t xml:space="preserve">JK3828-236</t>
  </si>
  <si>
    <t xml:space="preserve">Nike Air Max Dn "Black/Metallic Silver" Men's Shoe</t>
  </si>
  <si>
    <t xml:space="preserve">Tech Running</t>
  </si>
  <si>
    <t xml:space="preserve">Black/Metallic Silver</t>
  </si>
  <si>
    <t xml:space="preserve">HB-4101174</t>
  </si>
  <si>
    <t xml:space="preserve">802956043183</t>
  </si>
  <si>
    <t xml:space="preserve">ITM-700156</t>
  </si>
  <si>
    <t xml:space="preserve">Kobe 5 Protro</t>
  </si>
  <si>
    <t xml:space="preserve">MX1318-449</t>
  </si>
  <si>
    <t xml:space="preserve">Nike Kobe 5 Protro "White/Varsity Purple" Men's Shoe</t>
  </si>
  <si>
    <t xml:space="preserve">Basketball</t>
  </si>
  <si>
    <t xml:space="preserve">Retro Performance</t>
  </si>
  <si>
    <t xml:space="preserve">White/Varsity Purple</t>
  </si>
  <si>
    <t xml:space="preserve">HB-4100490</t>
  </si>
  <si>
    <t xml:space="preserve">865594518943</t>
  </si>
  <si>
    <t xml:space="preserve">ITM-700120</t>
  </si>
  <si>
    <t xml:space="preserve">Dunk Low</t>
  </si>
  <si>
    <t xml:space="preserve">YF5377-998</t>
  </si>
  <si>
    <t xml:space="preserve">Nike Dunk Low "Midnight Navy/White" Big Kids' Shoe</t>
  </si>
  <si>
    <t xml:space="preserve">Court / Lifestyle</t>
  </si>
  <si>
    <t xml:space="preserve">Midnight Navy/White</t>
  </si>
  <si>
    <t xml:space="preserve">4.5Y</t>
  </si>
  <si>
    <t xml:space="preserve">HO25</t>
  </si>
  <si>
    <t xml:space="preserve">Clearance</t>
  </si>
  <si>
    <t xml:space="preserve">HB-4102807</t>
  </si>
  <si>
    <t xml:space="preserve">837917925775</t>
  </si>
  <si>
    <t xml:space="preserve">ITM-700230</t>
  </si>
  <si>
    <t xml:space="preserve">9060</t>
  </si>
  <si>
    <t xml:space="preserve">U1951JZR</t>
  </si>
  <si>
    <t xml:space="preserve">New Balance 9060 "Rain Cloud/Grey Matter" Men's Shoe</t>
  </si>
  <si>
    <t xml:space="preserve">Retro Running</t>
  </si>
  <si>
    <t xml:space="preserve">Rain Cloud/Grey Matter</t>
  </si>
  <si>
    <t xml:space="preserve">HB-4103772</t>
  </si>
  <si>
    <t xml:space="preserve">824165626004</t>
  </si>
  <si>
    <t xml:space="preserve">ITM-700282</t>
  </si>
  <si>
    <t xml:space="preserve">PUMA SE</t>
  </si>
  <si>
    <t xml:space="preserve">PUMA</t>
  </si>
  <si>
    <t xml:space="preserve">RS-X Efekt</t>
  </si>
  <si>
    <t xml:space="preserve">832747-45</t>
  </si>
  <si>
    <t xml:space="preserve">PUMA RS-X Efekt "White/Vapor Grey" Men's Shoe</t>
  </si>
  <si>
    <t xml:space="preserve">Chunky Lifestyle</t>
  </si>
  <si>
    <t xml:space="preserve">White/Vapor Grey</t>
  </si>
  <si>
    <t xml:space="preserve">11</t>
  </si>
  <si>
    <t xml:space="preserve">HB-4101095</t>
  </si>
  <si>
    <t xml:space="preserve">888909252745</t>
  </si>
  <si>
    <t xml:space="preserve">ITM-700153</t>
  </si>
  <si>
    <t xml:space="preserve">Giannis Immortality 4</t>
  </si>
  <si>
    <t xml:space="preserve">RF7597-325</t>
  </si>
  <si>
    <t xml:space="preserve">Nike Giannis Immortality 4 "Black/Green Strike" Big Kids' Shoe</t>
  </si>
  <si>
    <t xml:space="preserve">Signature</t>
  </si>
  <si>
    <t xml:space="preserve">Black/Green Strike</t>
  </si>
  <si>
    <t xml:space="preserve">HB-4100541</t>
  </si>
  <si>
    <t xml:space="preserve">812477168963</t>
  </si>
  <si>
    <t xml:space="preserve">ITM-700122</t>
  </si>
  <si>
    <t xml:space="preserve">Court Vision Low Next Nature</t>
  </si>
  <si>
    <t xml:space="preserve">CC5588-537</t>
  </si>
  <si>
    <t xml:space="preserve">Nike Court Vision Low Next Nature "White/Black" Men's Shoe</t>
  </si>
  <si>
    <t xml:space="preserve">White/Black</t>
  </si>
  <si>
    <t xml:space="preserve">HB-4102359</t>
  </si>
  <si>
    <t xml:space="preserve">864084016085</t>
  </si>
  <si>
    <t xml:space="preserve">ITM-700214</t>
  </si>
  <si>
    <t xml:space="preserve">Ultraboost 5</t>
  </si>
  <si>
    <t xml:space="preserve">BJ7996</t>
  </si>
  <si>
    <t xml:space="preserve">adidas Ultraboost 5 "Core Black/Carbon" Men's Shoe</t>
  </si>
  <si>
    <t xml:space="preserve">Neutral Cushion</t>
  </si>
  <si>
    <t xml:space="preserve">Core Black/Carbon</t>
  </si>
  <si>
    <t xml:space="preserve">HB-4101362</t>
  </si>
  <si>
    <t xml:space="preserve">847434231972</t>
  </si>
  <si>
    <t xml:space="preserve">ITM-700165</t>
  </si>
  <si>
    <t xml:space="preserve">Jordan</t>
  </si>
  <si>
    <t xml:space="preserve">Air Jordan 1 Low</t>
  </si>
  <si>
    <t xml:space="preserve">TV5434-986</t>
  </si>
  <si>
    <t xml:space="preserve">Jordan Air Jordan 1 Low "White/Sail/Pink" Women's Shoe</t>
  </si>
  <si>
    <t xml:space="preserve">Retro Basketball</t>
  </si>
  <si>
    <t xml:space="preserve">White/Sail/Pink</t>
  </si>
  <si>
    <t xml:space="preserve">7.5</t>
  </si>
  <si>
    <t xml:space="preserve">HB-4103833</t>
  </si>
  <si>
    <t xml:space="preserve">847077718461</t>
  </si>
  <si>
    <t xml:space="preserve">ITM-700285</t>
  </si>
  <si>
    <t xml:space="preserve">Softride Enzo Evo</t>
  </si>
  <si>
    <t xml:space="preserve">355908-86</t>
  </si>
  <si>
    <t xml:space="preserve">PUMA Softride Enzo Evo "Black/Cool Dark Grey" Men's Shoe</t>
  </si>
  <si>
    <t xml:space="preserve">Walking</t>
  </si>
  <si>
    <t xml:space="preserve">Black/Cool Dark Grey</t>
  </si>
  <si>
    <t xml:space="preserve">HB-4100877</t>
  </si>
  <si>
    <t xml:space="preserve">848475416799</t>
  </si>
  <si>
    <t xml:space="preserve">ITM-700145</t>
  </si>
  <si>
    <t xml:space="preserve">InfinityRN 4</t>
  </si>
  <si>
    <t xml:space="preserve">NT6349-799</t>
  </si>
  <si>
    <t xml:space="preserve">Nike InfinityRN 4 "Barely Grape/Lilac" Women's Shoe</t>
  </si>
  <si>
    <t xml:space="preserve">Stability</t>
  </si>
  <si>
    <t xml:space="preserve">Barely Grape/Lilac</t>
  </si>
  <si>
    <t xml:space="preserve">6.5</t>
  </si>
  <si>
    <t xml:space="preserve">HB-4103817</t>
  </si>
  <si>
    <t xml:space="preserve">859579594457</t>
  </si>
  <si>
    <t xml:space="preserve">HB-4103401</t>
  </si>
  <si>
    <t xml:space="preserve">837235737479</t>
  </si>
  <si>
    <t xml:space="preserve">ITM-700267</t>
  </si>
  <si>
    <t xml:space="preserve">Curry 12</t>
  </si>
  <si>
    <t xml:space="preserve">3029154-866</t>
  </si>
  <si>
    <t xml:space="preserve">Under Armour Curry 12 "White/Team Royal" Men's Shoe</t>
  </si>
  <si>
    <t xml:space="preserve">White/Team Royal</t>
  </si>
  <si>
    <t xml:space="preserve">HB-4105636</t>
  </si>
  <si>
    <t xml:space="preserve">889723092906</t>
  </si>
  <si>
    <t xml:space="preserve">ITM-700397</t>
  </si>
  <si>
    <t xml:space="preserve">Timberland</t>
  </si>
  <si>
    <t xml:space="preserve">6-Inch Premium Waterproof Boot</t>
  </si>
  <si>
    <t xml:space="preserve">TB0X6692R</t>
  </si>
  <si>
    <t xml:space="preserve">Timberland 6-Inch Premium Waterproof Boot "Wheat Nubuck" Men's Shoe</t>
  </si>
  <si>
    <t xml:space="preserve">Boots</t>
  </si>
  <si>
    <t xml:space="preserve">Wheat Nubuck</t>
  </si>
  <si>
    <t xml:space="preserve">10.5</t>
  </si>
  <si>
    <t xml:space="preserve">HB-4104520</t>
  </si>
  <si>
    <t xml:space="preserve">897745277299</t>
  </si>
  <si>
    <t xml:space="preserve">ITM-700334</t>
  </si>
  <si>
    <t xml:space="preserve">On Holding AG</t>
  </si>
  <si>
    <t xml:space="preserve">On</t>
  </si>
  <si>
    <t xml:space="preserve">Cloudnova 2</t>
  </si>
  <si>
    <t xml:space="preserve">307R23993</t>
  </si>
  <si>
    <t xml:space="preserve">On Cloudnova 2 "White/Pearl" Women's Shoe</t>
  </si>
  <si>
    <t xml:space="preserve">Tech Lifestyle</t>
  </si>
  <si>
    <t xml:space="preserve">White/Pearl</t>
  </si>
  <si>
    <t xml:space="preserve">7</t>
  </si>
  <si>
    <t xml:space="preserve">HB-4104364</t>
  </si>
  <si>
    <t xml:space="preserve">876101334564</t>
  </si>
  <si>
    <t xml:space="preserve">ITM-700317</t>
  </si>
  <si>
    <t xml:space="preserve">Deckers Brands</t>
  </si>
  <si>
    <t xml:space="preserve">HOKA</t>
  </si>
  <si>
    <t xml:space="preserve">Clifton 10</t>
  </si>
  <si>
    <t xml:space="preserve">1120932-NARX</t>
  </si>
  <si>
    <t xml:space="preserve">HOKA Clifton 10 "Black/White" Men's Shoe</t>
  </si>
  <si>
    <t xml:space="preserve">Premium Cushion</t>
  </si>
  <si>
    <t xml:space="preserve">Black/White</t>
  </si>
  <si>
    <t xml:space="preserve">HB-4104490</t>
  </si>
  <si>
    <t xml:space="preserve">828913028609</t>
  </si>
  <si>
    <t xml:space="preserve">ITM-700326</t>
  </si>
  <si>
    <t xml:space="preserve">Arahi 8</t>
  </si>
  <si>
    <t xml:space="preserve">1150732-UCNK</t>
  </si>
  <si>
    <t xml:space="preserve">HOKA Arahi 8 "White/Coastal Sky" Women's Shoe</t>
  </si>
  <si>
    <t xml:space="preserve">White/Coastal Sky</t>
  </si>
  <si>
    <t xml:space="preserve">8</t>
  </si>
  <si>
    <t xml:space="preserve">HB-4103743</t>
  </si>
  <si>
    <t xml:space="preserve">854961993890</t>
  </si>
  <si>
    <t xml:space="preserve">HB-4101369</t>
  </si>
  <si>
    <t xml:space="preserve">882819340864</t>
  </si>
  <si>
    <t xml:space="preserve">HB-4100524</t>
  </si>
  <si>
    <t xml:space="preserve">808900209963</t>
  </si>
  <si>
    <t xml:space="preserve">5.5Y</t>
  </si>
  <si>
    <t xml:space="preserve">HB-4103610</t>
  </si>
  <si>
    <t xml:space="preserve">867246015740</t>
  </si>
  <si>
    <t xml:space="preserve">ITM-700276</t>
  </si>
  <si>
    <t xml:space="preserve">Palermo</t>
  </si>
  <si>
    <t xml:space="preserve">848787-69</t>
  </si>
  <si>
    <t xml:space="preserve">PUMA Palermo "Vapor Grey/Green" Women's Shoe</t>
  </si>
  <si>
    <t xml:space="preserve">Vapor Grey/Green</t>
  </si>
  <si>
    <t xml:space="preserve">HB-4105212</t>
  </si>
  <si>
    <t xml:space="preserve">870908185389</t>
  </si>
  <si>
    <t xml:space="preserve">ITM-700375</t>
  </si>
  <si>
    <t xml:space="preserve">Reebok International Ltd.</t>
  </si>
  <si>
    <t xml:space="preserve">Reebok</t>
  </si>
  <si>
    <t xml:space="preserve">Club C 85</t>
  </si>
  <si>
    <t xml:space="preserve">100029592</t>
  </si>
  <si>
    <t xml:space="preserve">Reebok Club C 85 "White/Green" Men's Shoe</t>
  </si>
  <si>
    <t xml:space="preserve">White/Green</t>
  </si>
  <si>
    <t xml:space="preserve">FA25</t>
  </si>
  <si>
    <t xml:space="preserve">HB-4103021</t>
  </si>
  <si>
    <t xml:space="preserve">889320250523</t>
  </si>
  <si>
    <t xml:space="preserve">ITM-700240</t>
  </si>
  <si>
    <t xml:space="preserve">Fresh Foam X 880v15</t>
  </si>
  <si>
    <t xml:space="preserve">M0214WXX</t>
  </si>
  <si>
    <t xml:space="preserve">New Balance Fresh Foam X 880v15 "Black/Lead" Men's Shoe</t>
  </si>
  <si>
    <t xml:space="preserve">Black/Lead</t>
  </si>
  <si>
    <t xml:space="preserve">HB-4102908</t>
  </si>
  <si>
    <t xml:space="preserve">865619966345</t>
  </si>
  <si>
    <t xml:space="preserve">ITM-700237</t>
  </si>
  <si>
    <t xml:space="preserve">480</t>
  </si>
  <si>
    <t xml:space="preserve">W9114PEW</t>
  </si>
  <si>
    <t xml:space="preserve">New Balance 480 "White/Black" Big Kids' Shoe</t>
  </si>
  <si>
    <t xml:space="preserve">HB-4102324</t>
  </si>
  <si>
    <t xml:space="preserve">839105167645</t>
  </si>
  <si>
    <t xml:space="preserve">ITM-700210</t>
  </si>
  <si>
    <t xml:space="preserve">Grand Court 2.0</t>
  </si>
  <si>
    <t xml:space="preserve">XZ7710</t>
  </si>
  <si>
    <t xml:space="preserve">adidas Grand Court 2.0 "Cloud White/Pink" Little Kids' Shoe</t>
  </si>
  <si>
    <t xml:space="preserve">Cloud White/Pink</t>
  </si>
  <si>
    <t xml:space="preserve">3Y</t>
  </si>
  <si>
    <t xml:space="preserve">HB-4104724</t>
  </si>
  <si>
    <t xml:space="preserve">866164912602</t>
  </si>
  <si>
    <t xml:space="preserve">ITM-700347</t>
  </si>
  <si>
    <t xml:space="preserve">Wave Rider 29</t>
  </si>
  <si>
    <t xml:space="preserve">616964-5195</t>
  </si>
  <si>
    <t xml:space="preserve">Mizuno Wave Rider 29 "Black/Silver" Men's Shoe</t>
  </si>
  <si>
    <t xml:space="preserve">HB-4103090</t>
  </si>
  <si>
    <t xml:space="preserve">807411451217</t>
  </si>
  <si>
    <t xml:space="preserve">HB-4102684</t>
  </si>
  <si>
    <t xml:space="preserve">819754951796</t>
  </si>
  <si>
    <t xml:space="preserve">ITM-700227</t>
  </si>
  <si>
    <t xml:space="preserve">574 Core</t>
  </si>
  <si>
    <t xml:space="preserve">M2807JKW</t>
  </si>
  <si>
    <t xml:space="preserve">New Balance 574 Core "Grey/White" Men's Shoe</t>
  </si>
  <si>
    <t xml:space="preserve">Grey/White</t>
  </si>
  <si>
    <t xml:space="preserve">HB-4100045</t>
  </si>
  <si>
    <t xml:space="preserve">882027918718</t>
  </si>
  <si>
    <t xml:space="preserve">ITM-700104</t>
  </si>
  <si>
    <t xml:space="preserve">Air Force 1 '07</t>
  </si>
  <si>
    <t xml:space="preserve">ZT6343-223</t>
  </si>
  <si>
    <t xml:space="preserve">Nike Air Force 1 '07 "White/White" Men's Shoe</t>
  </si>
  <si>
    <t xml:space="preserve">White/White</t>
  </si>
  <si>
    <t xml:space="preserve">HB-4105384</t>
  </si>
  <si>
    <t xml:space="preserve">871010395227</t>
  </si>
  <si>
    <t xml:space="preserve">ITM-700385</t>
  </si>
  <si>
    <t xml:space="preserve">Skechers U.S.A., Inc.</t>
  </si>
  <si>
    <t xml:space="preserve">Skechers</t>
  </si>
  <si>
    <t xml:space="preserve">Arch Fit 2.0</t>
  </si>
  <si>
    <t xml:space="preserve">215286-HPF</t>
  </si>
  <si>
    <t xml:space="preserve">Skechers Arch Fit 2.0 "Grey/Navy" Men's Shoe</t>
  </si>
  <si>
    <t xml:space="preserve">Grey/Navy</t>
  </si>
  <si>
    <t xml:space="preserve">HB-4105696</t>
  </si>
  <si>
    <t xml:space="preserve">824414265967</t>
  </si>
  <si>
    <t xml:space="preserve">ITM-700402</t>
  </si>
  <si>
    <t xml:space="preserve">Birkenstock GmbH</t>
  </si>
  <si>
    <t xml:space="preserve">Birkenstock</t>
  </si>
  <si>
    <t xml:space="preserve">Arizona Essentials EVA</t>
  </si>
  <si>
    <t xml:space="preserve">4242715</t>
  </si>
  <si>
    <t xml:space="preserve">Birkenstock Arizona Essentials EVA "Black" Unisex Shoe</t>
  </si>
  <si>
    <t xml:space="preserve">Black</t>
  </si>
  <si>
    <t xml:space="preserve">5</t>
  </si>
  <si>
    <t xml:space="preserve">HB-4101592</t>
  </si>
  <si>
    <t xml:space="preserve">894384860846</t>
  </si>
  <si>
    <t xml:space="preserve">ITM-700177</t>
  </si>
  <si>
    <t xml:space="preserve">Air Jordan 13 Retro</t>
  </si>
  <si>
    <t xml:space="preserve">YD8499-570</t>
  </si>
  <si>
    <t xml:space="preserve">Jordan Air Jordan 13 Retro "Black/Gym Red" Big Kids' Shoe</t>
  </si>
  <si>
    <t xml:space="preserve">Black/Gym Red</t>
  </si>
  <si>
    <t xml:space="preserve">7Y</t>
  </si>
  <si>
    <t xml:space="preserve">HB-4103908</t>
  </si>
  <si>
    <t xml:space="preserve">884068968272</t>
  </si>
  <si>
    <t xml:space="preserve">ITM-700286</t>
  </si>
  <si>
    <t xml:space="preserve">Caven 2.0</t>
  </si>
  <si>
    <t xml:space="preserve">959067-43</t>
  </si>
  <si>
    <t xml:space="preserve">PUMA Caven 2.0 "White/Navy" Little Kids' Shoe</t>
  </si>
  <si>
    <t xml:space="preserve">White/Navy</t>
  </si>
  <si>
    <t xml:space="preserve">HB-4105095</t>
  </si>
  <si>
    <t xml:space="preserve">850707295238</t>
  </si>
  <si>
    <t xml:space="preserve">ITM-700369</t>
  </si>
  <si>
    <t xml:space="preserve">Sk8-Hi</t>
  </si>
  <si>
    <t xml:space="preserve">VN000EBA57U</t>
  </si>
  <si>
    <t xml:space="preserve">Vans Sk8-Hi "Black/Black/White" Unisex Shoe</t>
  </si>
  <si>
    <t xml:space="preserve">Black/Black/White</t>
  </si>
  <si>
    <t xml:space="preserve">HB-4103039</t>
  </si>
  <si>
    <t xml:space="preserve">803150555770</t>
  </si>
  <si>
    <t xml:space="preserve">ITM-700243</t>
  </si>
  <si>
    <t xml:space="preserve">Fresh Foam X 1080v14</t>
  </si>
  <si>
    <t xml:space="preserve">U3380ECV</t>
  </si>
  <si>
    <t xml:space="preserve">New Balance Fresh Foam X 1080v14 "Quartz Grey/Pink" Women's Shoe</t>
  </si>
  <si>
    <t xml:space="preserve">Quartz Grey/Pink</t>
  </si>
  <si>
    <t xml:space="preserve">HB-4104927</t>
  </si>
  <si>
    <t xml:space="preserve">896414477909</t>
  </si>
  <si>
    <t xml:space="preserve">ITM-700361</t>
  </si>
  <si>
    <t xml:space="preserve">Converse, Inc.</t>
  </si>
  <si>
    <t xml:space="preserve">Converse</t>
  </si>
  <si>
    <t xml:space="preserve">Run Star Hike</t>
  </si>
  <si>
    <t xml:space="preserve">M9909B</t>
  </si>
  <si>
    <t xml:space="preserve">Converse Run Star Hike "Black/White/Gum" Women's Shoe</t>
  </si>
  <si>
    <t xml:space="preserve">Black/White/Gum</t>
  </si>
  <si>
    <t xml:space="preserve">HB-4104671</t>
  </si>
  <si>
    <t xml:space="preserve">813642159654</t>
  </si>
  <si>
    <t xml:space="preserve">ITM-700344</t>
  </si>
  <si>
    <t xml:space="preserve">Saucony, Inc.</t>
  </si>
  <si>
    <t xml:space="preserve">Saucony</t>
  </si>
  <si>
    <t xml:space="preserve">Ride 18</t>
  </si>
  <si>
    <t xml:space="preserve">S96470-35</t>
  </si>
  <si>
    <t xml:space="preserve">Saucony Ride 18 "Shadow/Citron" Men's Shoe</t>
  </si>
  <si>
    <t xml:space="preserve">Shadow/Citron</t>
  </si>
  <si>
    <t xml:space="preserve">HB-4103114</t>
  </si>
  <si>
    <t xml:space="preserve">845572583356</t>
  </si>
  <si>
    <t xml:space="preserve">HB-4101804</t>
  </si>
  <si>
    <t xml:space="preserve">835652288524</t>
  </si>
  <si>
    <t xml:space="preserve">ITM-700187</t>
  </si>
  <si>
    <t xml:space="preserve">Samba OG</t>
  </si>
  <si>
    <t xml:space="preserve">SA8999</t>
  </si>
  <si>
    <t xml:space="preserve">adidas Originals Samba OG "Core Black/White/Gum" Men's Shoe</t>
  </si>
  <si>
    <t xml:space="preserve">Core Black/White/Gum</t>
  </si>
  <si>
    <t xml:space="preserve">HB-4103420</t>
  </si>
  <si>
    <t xml:space="preserve">828321124030</t>
  </si>
  <si>
    <t xml:space="preserve">HB-4105572</t>
  </si>
  <si>
    <t xml:space="preserve">805051492756</t>
  </si>
  <si>
    <t xml:space="preserve">ITM-700393</t>
  </si>
  <si>
    <t xml:space="preserve">Fila</t>
  </si>
  <si>
    <t xml:space="preserve">Disruptor II Premium</t>
  </si>
  <si>
    <t xml:space="preserve">1FM67540-913</t>
  </si>
  <si>
    <t xml:space="preserve">Fila Disruptor II Premium "White/Navy/Red" Women's Shoe</t>
  </si>
  <si>
    <t xml:space="preserve">White/Navy/Red</t>
  </si>
  <si>
    <t xml:space="preserve">HB-4105407</t>
  </si>
  <si>
    <t xml:space="preserve">897157240809</t>
  </si>
  <si>
    <t xml:space="preserve">ITM-700386</t>
  </si>
  <si>
    <t xml:space="preserve">65263-575</t>
  </si>
  <si>
    <t xml:space="preserve">Crocs Classic Clog "Black" Unisex Shoe</t>
  </si>
  <si>
    <t xml:space="preserve">HB-4102340</t>
  </si>
  <si>
    <t xml:space="preserve">885756795239</t>
  </si>
  <si>
    <t xml:space="preserve">HB-4102608</t>
  </si>
  <si>
    <t xml:space="preserve">816959142013</t>
  </si>
  <si>
    <t xml:space="preserve">ITM-700226</t>
  </si>
  <si>
    <t xml:space="preserve">D.O.N. Issue 7</t>
  </si>
  <si>
    <t xml:space="preserve">DJ5715</t>
  </si>
  <si>
    <t xml:space="preserve">adidas D.O.N. Issue 7 "Black/Solar Red" Big Kids' Shoe</t>
  </si>
  <si>
    <t xml:space="preserve">Black/Solar Red</t>
  </si>
  <si>
    <t xml:space="preserve">HB-4101216</t>
  </si>
  <si>
    <t xml:space="preserve">879216408133</t>
  </si>
  <si>
    <t xml:space="preserve">ITM-700157</t>
  </si>
  <si>
    <t xml:space="preserve">Victori One Slide</t>
  </si>
  <si>
    <t xml:space="preserve">ZT3186-849</t>
  </si>
  <si>
    <t xml:space="preserve">Nike Victori One Slide "Black/White" Men's Shoe</t>
  </si>
  <si>
    <t xml:space="preserve">HB-4102794</t>
  </si>
  <si>
    <t xml:space="preserve">861205482756</t>
  </si>
  <si>
    <t xml:space="preserve">HB-4103132</t>
  </si>
  <si>
    <t xml:space="preserve">866971656165</t>
  </si>
  <si>
    <t xml:space="preserve">ITM-700249</t>
  </si>
  <si>
    <t xml:space="preserve">FuelCell Propel v5</t>
  </si>
  <si>
    <t xml:space="preserve">W8666FPC</t>
  </si>
  <si>
    <t xml:space="preserve">New Balance FuelCell Propel v5 "White/Vibrant Pink" Women's Shoe</t>
  </si>
  <si>
    <t xml:space="preserve">White/Vibrant Pink</t>
  </si>
  <si>
    <t xml:space="preserve">6</t>
  </si>
  <si>
    <t xml:space="preserve">HB-4102815</t>
  </si>
  <si>
    <t xml:space="preserve">828437016692</t>
  </si>
  <si>
    <t xml:space="preserve">ITM-700232</t>
  </si>
  <si>
    <t xml:space="preserve">530</t>
  </si>
  <si>
    <t xml:space="preserve">U7401EJM</t>
  </si>
  <si>
    <t xml:space="preserve">New Balance 530 "White/Silver Navy" Women's Shoe</t>
  </si>
  <si>
    <t xml:space="preserve">White/Silver Navy</t>
  </si>
  <si>
    <t xml:space="preserve">HB-4105298</t>
  </si>
  <si>
    <t xml:space="preserve">852902955069</t>
  </si>
  <si>
    <t xml:space="preserve">ITM-700381</t>
  </si>
  <si>
    <t xml:space="preserve">Go Walk 7</t>
  </si>
  <si>
    <t xml:space="preserve">232243-KJC</t>
  </si>
  <si>
    <t xml:space="preserve">Skechers Go Walk 7 "Black/Charcoal" Women's Shoe</t>
  </si>
  <si>
    <t xml:space="preserve">Black/Charcoal</t>
  </si>
  <si>
    <t xml:space="preserve">HB-4100600</t>
  </si>
  <si>
    <t xml:space="preserve">818793307555</t>
  </si>
  <si>
    <t xml:space="preserve">ITM-700126</t>
  </si>
  <si>
    <t xml:space="preserve">P-6000</t>
  </si>
  <si>
    <t xml:space="preserve">VG1009-478</t>
  </si>
  <si>
    <t xml:space="preserve">Nike P-6000 "Summit White/Metallic Silver" Women's Shoe</t>
  </si>
  <si>
    <t xml:space="preserve">Summit White/Metallic Silver</t>
  </si>
  <si>
    <t xml:space="preserve">HB-4103196</t>
  </si>
  <si>
    <t xml:space="preserve">860073277245</t>
  </si>
  <si>
    <t xml:space="preserve">ITM-700252</t>
  </si>
  <si>
    <t xml:space="preserve">Charged Assert 10</t>
  </si>
  <si>
    <t xml:space="preserve">3028321-744</t>
  </si>
  <si>
    <t xml:space="preserve">Under Armour Charged Assert 10 "Black/Black/White" Men's Shoe</t>
  </si>
  <si>
    <t xml:space="preserve">HB-4101124</t>
  </si>
  <si>
    <t xml:space="preserve">887150863554</t>
  </si>
  <si>
    <t xml:space="preserve">ITM-700155</t>
  </si>
  <si>
    <t xml:space="preserve">KD 17</t>
  </si>
  <si>
    <t xml:space="preserve">SK9256-561</t>
  </si>
  <si>
    <t xml:space="preserve">Nike KD 17 "Sail/University Red" Men's Shoe</t>
  </si>
  <si>
    <t xml:space="preserve">Sail/University Red</t>
  </si>
  <si>
    <t xml:space="preserve">HB-4101672</t>
  </si>
  <si>
    <t xml:space="preserve">858450938230</t>
  </si>
  <si>
    <t xml:space="preserve">ITM-700181</t>
  </si>
  <si>
    <t xml:space="preserve">Max Aura 6</t>
  </si>
  <si>
    <t xml:space="preserve">VW8797-448</t>
  </si>
  <si>
    <t xml:space="preserve">Jordan Max Aura 6 "Black/Anthracite/White" Men's Shoe</t>
  </si>
  <si>
    <t xml:space="preserve">Black/Anthracite/White</t>
  </si>
  <si>
    <t xml:space="preserve">HB-4103966</t>
  </si>
  <si>
    <t xml:space="preserve">885110614087</t>
  </si>
  <si>
    <t xml:space="preserve">ITM-700293</t>
  </si>
  <si>
    <t xml:space="preserve">ASICS Corporation</t>
  </si>
  <si>
    <t xml:space="preserve">ASICS</t>
  </si>
  <si>
    <t xml:space="preserve">GEL-KAYANO 32</t>
  </si>
  <si>
    <t xml:space="preserve">1061B874-346</t>
  </si>
  <si>
    <t xml:space="preserve">ASICS GEL-KAYANO 32 "Black/Graphite Grey" Men's Shoe</t>
  </si>
  <si>
    <t xml:space="preserve">Black/Graphite Grey</t>
  </si>
  <si>
    <t xml:space="preserve">HB-4101303</t>
  </si>
  <si>
    <t xml:space="preserve">836791044856</t>
  </si>
  <si>
    <t xml:space="preserve">ITM-700161</t>
  </si>
  <si>
    <t xml:space="preserve">RA8125-542</t>
  </si>
  <si>
    <t xml:space="preserve">Jordan Air Jordan 1 Low "White/Black/Gym Red" Men's Shoe</t>
  </si>
  <si>
    <t xml:space="preserve">White/Black/Gym Red</t>
  </si>
  <si>
    <t xml:space="preserve">HB-4100738</t>
  </si>
  <si>
    <t xml:space="preserve">864256747963</t>
  </si>
  <si>
    <t xml:space="preserve">ITM-700138</t>
  </si>
  <si>
    <t xml:space="preserve">Pegasus 41</t>
  </si>
  <si>
    <t xml:space="preserve">MU0668-517</t>
  </si>
  <si>
    <t xml:space="preserve">Nike Pegasus 41 "White/Pink Foam" Women's Shoe</t>
  </si>
  <si>
    <t xml:space="preserve">White/Pink Foam</t>
  </si>
  <si>
    <t xml:space="preserve">HB-4102056</t>
  </si>
  <si>
    <t xml:space="preserve">818208630279</t>
  </si>
  <si>
    <t xml:space="preserve">ITM-700197</t>
  </si>
  <si>
    <t xml:space="preserve">Campus 00s</t>
  </si>
  <si>
    <t xml:space="preserve">HF3277</t>
  </si>
  <si>
    <t xml:space="preserve">adidas Originals Campus 00s "Dark Green/Off White" Men's Shoe</t>
  </si>
  <si>
    <t xml:space="preserve">Dark Green/Off White</t>
  </si>
  <si>
    <t xml:space="preserve">HB-4103288</t>
  </si>
  <si>
    <t xml:space="preserve">883361532207</t>
  </si>
  <si>
    <t xml:space="preserve">ITM-700256</t>
  </si>
  <si>
    <t xml:space="preserve">Charged Rogue 4</t>
  </si>
  <si>
    <t xml:space="preserve">3021829-818</t>
  </si>
  <si>
    <t xml:space="preserve">Under Armour Charged Rogue 4 "Grey/Black" Men's Shoe</t>
  </si>
  <si>
    <t xml:space="preserve">Grey/Black</t>
  </si>
  <si>
    <t xml:space="preserve">HB-4101397</t>
  </si>
  <si>
    <t xml:space="preserve">852715238748</t>
  </si>
  <si>
    <t xml:space="preserve">ITM-700167</t>
  </si>
  <si>
    <t xml:space="preserve">Air Jordan 1 Mid</t>
  </si>
  <si>
    <t xml:space="preserve">XA0640-217</t>
  </si>
  <si>
    <t xml:space="preserve">Jordan Air Jordan 1 Mid "Black/White/Gym Red" Big Kids' Shoe</t>
  </si>
  <si>
    <t xml:space="preserve">Black/White/Gym Red</t>
  </si>
  <si>
    <t xml:space="preserve">HB-4100528</t>
  </si>
  <si>
    <t xml:space="preserve">889476146039</t>
  </si>
  <si>
    <t xml:space="preserve">HB-4101145</t>
  </si>
  <si>
    <t xml:space="preserve">858120599031</t>
  </si>
  <si>
    <t xml:space="preserve">HB-4101252</t>
  </si>
  <si>
    <t xml:space="preserve">880091896698</t>
  </si>
  <si>
    <t xml:space="preserve">ITM-700160</t>
  </si>
  <si>
    <t xml:space="preserve">Kawa Slide</t>
  </si>
  <si>
    <t xml:space="preserve">XR1080-146</t>
  </si>
  <si>
    <t xml:space="preserve">Nike Kawa Slide "Black/White" Little Kids' Shoe</t>
  </si>
  <si>
    <t xml:space="preserve">12C</t>
  </si>
  <si>
    <t xml:space="preserve">HB-4100688</t>
  </si>
  <si>
    <t xml:space="preserve">835175562927</t>
  </si>
  <si>
    <t xml:space="preserve">ITM-700134</t>
  </si>
  <si>
    <t xml:space="preserve">BA2983-804</t>
  </si>
  <si>
    <t xml:space="preserve">Nike Pegasus 41 "Black/White/Volt" Men's Shoe</t>
  </si>
  <si>
    <t xml:space="preserve">Black/White/Volt</t>
  </si>
  <si>
    <t xml:space="preserve">HB-4104243</t>
  </si>
  <si>
    <t xml:space="preserve">801795343370</t>
  </si>
  <si>
    <t xml:space="preserve">ITM-700310</t>
  </si>
  <si>
    <t xml:space="preserve">Brooks Sports, Inc.</t>
  </si>
  <si>
    <t xml:space="preserve">Brooks</t>
  </si>
  <si>
    <t xml:space="preserve">Ghost 17</t>
  </si>
  <si>
    <t xml:space="preserve">110343-1D-175</t>
  </si>
  <si>
    <t xml:space="preserve">Brooks Ghost 17 "White/Coral/Peach" Women's Shoe</t>
  </si>
  <si>
    <t xml:space="preserve">White/Coral/Peach</t>
  </si>
  <si>
    <t xml:space="preserve">HB-4100235</t>
  </si>
  <si>
    <t xml:space="preserve">869658153031</t>
  </si>
  <si>
    <t xml:space="preserve">ITM-700115</t>
  </si>
  <si>
    <t xml:space="preserve">Air Max 95</t>
  </si>
  <si>
    <t xml:space="preserve">ZK9121-255</t>
  </si>
  <si>
    <t xml:space="preserve">Nike Air Max 95 "Neutral Grey/Black/Volt" Men's Shoe</t>
  </si>
  <si>
    <t xml:space="preserve">Neutral Grey/Black/Volt</t>
  </si>
  <si>
    <t xml:space="preserve">HB-4101542</t>
  </si>
  <si>
    <t xml:space="preserve">894087863806</t>
  </si>
  <si>
    <t xml:space="preserve">HB-4100699</t>
  </si>
  <si>
    <t xml:space="preserve">889560976690</t>
  </si>
  <si>
    <t xml:space="preserve">HB-4101979</t>
  </si>
  <si>
    <t xml:space="preserve">882834255843</t>
  </si>
  <si>
    <t xml:space="preserve">ITM-700190</t>
  </si>
  <si>
    <t xml:space="preserve">Gazelle</t>
  </si>
  <si>
    <t xml:space="preserve">UB7109</t>
  </si>
  <si>
    <t xml:space="preserve">adidas Originals Gazelle "Collegiate Navy/White" Women's Shoe</t>
  </si>
  <si>
    <t xml:space="preserve">Collegiate Navy/White</t>
  </si>
  <si>
    <t xml:space="preserve">HB-4102381</t>
  </si>
  <si>
    <t xml:space="preserve">870010516569</t>
  </si>
  <si>
    <t xml:space="preserve">HB-4100816</t>
  </si>
  <si>
    <t xml:space="preserve">834770416370</t>
  </si>
  <si>
    <t xml:space="preserve">ITM-700144</t>
  </si>
  <si>
    <t xml:space="preserve">PA7227-732</t>
  </si>
  <si>
    <t xml:space="preserve">Nike Revolution 7 "White/Aquarius Blue" Big Kids' Shoe</t>
  </si>
  <si>
    <t xml:space="preserve">White/Aquarius Blue</t>
  </si>
  <si>
    <t xml:space="preserve">HB-4101467</t>
  </si>
  <si>
    <t xml:space="preserve">820776221945</t>
  </si>
  <si>
    <t xml:space="preserve">ITM-700171</t>
  </si>
  <si>
    <t xml:space="preserve">Air Jordan 4 Retro</t>
  </si>
  <si>
    <t xml:space="preserve">DE6531-963</t>
  </si>
  <si>
    <t xml:space="preserve">Jordan Air Jordan 4 Retro "White/Black/Neutral Grey" Men's Shoe</t>
  </si>
  <si>
    <t xml:space="preserve">White/Black/Neutral Grey</t>
  </si>
  <si>
    <t xml:space="preserve">HB-4103551</t>
  </si>
  <si>
    <t xml:space="preserve">873898885332</t>
  </si>
  <si>
    <t xml:space="preserve">ITM-700274</t>
  </si>
  <si>
    <t xml:space="preserve">Suede Classic XXI</t>
  </si>
  <si>
    <t xml:space="preserve">945672-51</t>
  </si>
  <si>
    <t xml:space="preserve">PUMA Suede Classic XXI "Black/White" Men's Shoe</t>
  </si>
  <si>
    <t xml:space="preserve">HB-4101685</t>
  </si>
  <si>
    <t xml:space="preserve">848985487899</t>
  </si>
  <si>
    <t xml:space="preserve">ITM-700182</t>
  </si>
  <si>
    <t xml:space="preserve">Tatum 3</t>
  </si>
  <si>
    <t xml:space="preserve">GH5159-500</t>
  </si>
  <si>
    <t xml:space="preserve">Jordan Tatum 3 "Wolf Grey/Celtic Green" Men's Shoe</t>
  </si>
  <si>
    <t xml:space="preserve">Wolf Grey/Celtic Green</t>
  </si>
  <si>
    <t xml:space="preserve">HB-4102838</t>
  </si>
  <si>
    <t xml:space="preserve">856742417830</t>
  </si>
  <si>
    <t xml:space="preserve">HB-4101716</t>
  </si>
  <si>
    <t xml:space="preserve">858905656200</t>
  </si>
  <si>
    <t xml:space="preserve">HB-4104832</t>
  </si>
  <si>
    <t xml:space="preserve">862118891387</t>
  </si>
  <si>
    <t xml:space="preserve">ITM-700352</t>
  </si>
  <si>
    <t xml:space="preserve">Chuck Taylor All Star Low</t>
  </si>
  <si>
    <t xml:space="preserve">A4852J</t>
  </si>
  <si>
    <t xml:space="preserve">Converse Chuck Taylor All Star Low "Optical White" Unisex Shoe</t>
  </si>
  <si>
    <t xml:space="preserve">Optical White</t>
  </si>
  <si>
    <t xml:space="preserve">HB-4102721</t>
  </si>
  <si>
    <t xml:space="preserve">811788883752</t>
  </si>
  <si>
    <t xml:space="preserve">ITM-700228</t>
  </si>
  <si>
    <t xml:space="preserve">M3056NPK</t>
  </si>
  <si>
    <t xml:space="preserve">New Balance 574 Core "Navy/White" Women's Shoe</t>
  </si>
  <si>
    <t xml:space="preserve">HB-4105680</t>
  </si>
  <si>
    <t xml:space="preserve">846738361021</t>
  </si>
  <si>
    <t xml:space="preserve">ITM-700398</t>
  </si>
  <si>
    <t xml:space="preserve">UGG</t>
  </si>
  <si>
    <t xml:space="preserve">Tasman Slipper</t>
  </si>
  <si>
    <t xml:space="preserve">1488404-UPU</t>
  </si>
  <si>
    <t xml:space="preserve">UGG Tasman Slipper "Chestnut" Women's Shoe</t>
  </si>
  <si>
    <t xml:space="preserve">Slippers</t>
  </si>
  <si>
    <t xml:space="preserve">Chestnut</t>
  </si>
  <si>
    <t xml:space="preserve">HB-4102479</t>
  </si>
  <si>
    <t xml:space="preserve">896113860031</t>
  </si>
  <si>
    <t xml:space="preserve">ITM-700221</t>
  </si>
  <si>
    <t xml:space="preserve">Runfalcon 5</t>
  </si>
  <si>
    <t xml:space="preserve">VY1130</t>
  </si>
  <si>
    <t xml:space="preserve">adidas Runfalcon 5 "Core Black/White" Big Kids' Shoe</t>
  </si>
  <si>
    <t xml:space="preserve">HB-4103575</t>
  </si>
  <si>
    <t xml:space="preserve">876545250579</t>
  </si>
  <si>
    <t xml:space="preserve">HB-4102194</t>
  </si>
  <si>
    <t xml:space="preserve">852071747342</t>
  </si>
  <si>
    <t xml:space="preserve">ITM-700203</t>
  </si>
  <si>
    <t xml:space="preserve">Forum Low</t>
  </si>
  <si>
    <t xml:space="preserve">WH3343</t>
  </si>
  <si>
    <t xml:space="preserve">adidas Originals Forum Low "White/Collegiate Royal" Men's Shoe</t>
  </si>
  <si>
    <t xml:space="preserve">White/Collegiate Royal</t>
  </si>
  <si>
    <t xml:space="preserve">HB-4100059</t>
  </si>
  <si>
    <t xml:space="preserve">853848722842</t>
  </si>
  <si>
    <t xml:space="preserve">ITM-700106</t>
  </si>
  <si>
    <t xml:space="preserve">WW7998-474</t>
  </si>
  <si>
    <t xml:space="preserve">Nike Air Force 1 '07 "White/Black" Women's Shoe</t>
  </si>
  <si>
    <t xml:space="preserve">HB-4101826</t>
  </si>
  <si>
    <t xml:space="preserve">872827662527</t>
  </si>
  <si>
    <t xml:space="preserve">HB-4102128</t>
  </si>
  <si>
    <t xml:space="preserve">865700186006</t>
  </si>
  <si>
    <t xml:space="preserve">ITM-700200</t>
  </si>
  <si>
    <t xml:space="preserve">Superstar</t>
  </si>
  <si>
    <t xml:space="preserve">UP8227</t>
  </si>
  <si>
    <t xml:space="preserve">adidas Originals Superstar "White/Core Black" Big Kids' Shoe</t>
  </si>
  <si>
    <t xml:space="preserve">White/Core Black</t>
  </si>
  <si>
    <t xml:space="preserve">6Y</t>
  </si>
  <si>
    <t xml:space="preserve">HB-4102636</t>
  </si>
  <si>
    <t xml:space="preserve">876100174156</t>
  </si>
  <si>
    <t xml:space="preserve">HB-4105078</t>
  </si>
  <si>
    <t xml:space="preserve">808494171404</t>
  </si>
  <si>
    <t xml:space="preserve">HB-4105351</t>
  </si>
  <si>
    <t xml:space="preserve">840418736161</t>
  </si>
  <si>
    <t xml:space="preserve">HB-4103672</t>
  </si>
  <si>
    <t xml:space="preserve">849533601537</t>
  </si>
  <si>
    <t xml:space="preserve">ITM-700279</t>
  </si>
  <si>
    <t xml:space="preserve">Speedcat OG</t>
  </si>
  <si>
    <t xml:space="preserve">301419-53</t>
  </si>
  <si>
    <t xml:space="preserve">PUMA Speedcat OG "Black/White" Women's Shoe</t>
  </si>
  <si>
    <t xml:space="preserve">Motorsport / Lifestyle</t>
  </si>
  <si>
    <t xml:space="preserve">HB-4101141</t>
  </si>
  <si>
    <t xml:space="preserve">865817320290</t>
  </si>
  <si>
    <t xml:space="preserve">HB-4105254</t>
  </si>
  <si>
    <t xml:space="preserve">863887477131</t>
  </si>
  <si>
    <t xml:space="preserve">ITM-700377</t>
  </si>
  <si>
    <t xml:space="preserve">Nano X5</t>
  </si>
  <si>
    <t xml:space="preserve">100026264</t>
  </si>
  <si>
    <t xml:space="preserve">Reebok Nano X5 "Black/Grey/Yellow" Men's Shoe</t>
  </si>
  <si>
    <t xml:space="preserve">Training</t>
  </si>
  <si>
    <t xml:space="preserve">Cross Training</t>
  </si>
  <si>
    <t xml:space="preserve">Black/Grey/Yellow</t>
  </si>
  <si>
    <t xml:space="preserve">HB-4101971</t>
  </si>
  <si>
    <t xml:space="preserve">882556640698</t>
  </si>
  <si>
    <t xml:space="preserve">HB-4105035</t>
  </si>
  <si>
    <t xml:space="preserve">829361851205</t>
  </si>
  <si>
    <t xml:space="preserve">HB-4104401</t>
  </si>
  <si>
    <t xml:space="preserve">824580173762</t>
  </si>
  <si>
    <t xml:space="preserve">ITM-700320</t>
  </si>
  <si>
    <t xml:space="preserve">1189304-CENU</t>
  </si>
  <si>
    <t xml:space="preserve">HOKA Clifton 10 "Vanilla/Astral" Women's Shoe</t>
  </si>
  <si>
    <t xml:space="preserve">Vanilla/Astral</t>
  </si>
  <si>
    <t xml:space="preserve">HB-4103474</t>
  </si>
  <si>
    <t xml:space="preserve">813618826300</t>
  </si>
  <si>
    <t xml:space="preserve">ITM-700270</t>
  </si>
  <si>
    <t xml:space="preserve">Lockdown 7</t>
  </si>
  <si>
    <t xml:space="preserve">3022159-528</t>
  </si>
  <si>
    <t xml:space="preserve">Under Armour Lockdown 7 "Black/White" Big Kids' Shoe</t>
  </si>
  <si>
    <t xml:space="preserve">Team</t>
  </si>
  <si>
    <t xml:space="preserve">HB-4104947</t>
  </si>
  <si>
    <t xml:space="preserve">868169956335</t>
  </si>
  <si>
    <t xml:space="preserve">HB-4103242</t>
  </si>
  <si>
    <t xml:space="preserve">828848435017</t>
  </si>
  <si>
    <t xml:space="preserve">ITM-700253</t>
  </si>
  <si>
    <t xml:space="preserve">3021954-449</t>
  </si>
  <si>
    <t xml:space="preserve">Under Armour Charged Assert 10 "White/Halo Grey" Women's Shoe</t>
  </si>
  <si>
    <t xml:space="preserve">White/Halo Grey</t>
  </si>
  <si>
    <t xml:space="preserve">HB-4100865</t>
  </si>
  <si>
    <t xml:space="preserve">846457710103</t>
  </si>
  <si>
    <t xml:space="preserve">HB-4105496</t>
  </si>
  <si>
    <t xml:space="preserve">885796046867</t>
  </si>
  <si>
    <t xml:space="preserve">ITM-700391</t>
  </si>
  <si>
    <t xml:space="preserve">Baya Lined Clog</t>
  </si>
  <si>
    <t xml:space="preserve">27523-247</t>
  </si>
  <si>
    <t xml:space="preserve">Crocs Baya Lined Clog "Slate Grey/Smoke" Unisex Shoe</t>
  </si>
  <si>
    <t xml:space="preserve">Slate Grey/Smoke</t>
  </si>
  <si>
    <t xml:space="preserve">HB-4103881</t>
  </si>
  <si>
    <t xml:space="preserve">855828726616</t>
  </si>
  <si>
    <t xml:space="preserve">13C</t>
  </si>
  <si>
    <t xml:space="preserve">HB-4104496</t>
  </si>
  <si>
    <t xml:space="preserve">800512398073</t>
  </si>
  <si>
    <t xml:space="preserve">ITM-700330</t>
  </si>
  <si>
    <t xml:space="preserve">Cloudmonster 2</t>
  </si>
  <si>
    <t xml:space="preserve">367U45687</t>
  </si>
  <si>
    <t xml:space="preserve">On Cloudmonster 2 "Undyed White/Flame" Men's Shoe</t>
  </si>
  <si>
    <t xml:space="preserve">Max Cushion</t>
  </si>
  <si>
    <t xml:space="preserve">Undyed White/Flame</t>
  </si>
  <si>
    <t xml:space="preserve">HB-4104560</t>
  </si>
  <si>
    <t xml:space="preserve">814379518839</t>
  </si>
  <si>
    <t xml:space="preserve">ITM-700338</t>
  </si>
  <si>
    <t xml:space="preserve">Cloudtilt</t>
  </si>
  <si>
    <t xml:space="preserve">351H34915</t>
  </si>
  <si>
    <t xml:space="preserve">On Cloudtilt "Ivory/Alloy" Unisex Shoe</t>
  </si>
  <si>
    <t xml:space="preserve">Ivory/Alloy</t>
  </si>
  <si>
    <t xml:space="preserve">HB-4102264</t>
  </si>
  <si>
    <t xml:space="preserve">807251121163</t>
  </si>
  <si>
    <t xml:space="preserve">ITM-700208</t>
  </si>
  <si>
    <t xml:space="preserve">TY4956</t>
  </si>
  <si>
    <t xml:space="preserve">adidas Grand Court 2.0 "Cloud White/Cloud White" Women's Shoe</t>
  </si>
  <si>
    <t xml:space="preserve">Cloud White/Cloud White</t>
  </si>
  <si>
    <t xml:space="preserve">HB-4104464</t>
  </si>
  <si>
    <t xml:space="preserve">879211967443</t>
  </si>
  <si>
    <t xml:space="preserve">HB-4100508</t>
  </si>
  <si>
    <t xml:space="preserve">836799123899</t>
  </si>
  <si>
    <t xml:space="preserve">HB-4101455</t>
  </si>
  <si>
    <t xml:space="preserve">802671769775</t>
  </si>
  <si>
    <t xml:space="preserve">HB-4104553</t>
  </si>
  <si>
    <t xml:space="preserve">857122230137</t>
  </si>
  <si>
    <t xml:space="preserve">HB-4105344</t>
  </si>
  <si>
    <t xml:space="preserve">897287348553</t>
  </si>
  <si>
    <t xml:space="preserve">HB-4105243</t>
  </si>
  <si>
    <t xml:space="preserve">814398790540</t>
  </si>
  <si>
    <t xml:space="preserve">HB-4102389</t>
  </si>
  <si>
    <t xml:space="preserve">895208688931</t>
  </si>
  <si>
    <t xml:space="preserve">ITM-700216</t>
  </si>
  <si>
    <t xml:space="preserve">Adizero SL2</t>
  </si>
  <si>
    <t xml:space="preserve">UD5003</t>
  </si>
  <si>
    <t xml:space="preserve">adidas Adizero SL2 "Cloud White/Lucid Lemon" Men's Shoe</t>
  </si>
  <si>
    <t xml:space="preserve">Cloud White/Lucid Lemon</t>
  </si>
  <si>
    <t xml:space="preserve">HB-4100278</t>
  </si>
  <si>
    <t xml:space="preserve">865943491616</t>
  </si>
  <si>
    <t xml:space="preserve">ITM-700116</t>
  </si>
  <si>
    <t xml:space="preserve">Air Max 270</t>
  </si>
  <si>
    <t xml:space="preserve">GP9265-932</t>
  </si>
  <si>
    <t xml:space="preserve">Nike Air Max 270 "Black/White" Women's Shoe</t>
  </si>
  <si>
    <t xml:space="preserve">HB-4105001</t>
  </si>
  <si>
    <t xml:space="preserve">841685004989</t>
  </si>
  <si>
    <t xml:space="preserve">HB-4104848</t>
  </si>
  <si>
    <t xml:space="preserve">879050547701</t>
  </si>
  <si>
    <t xml:space="preserve">ITM-700356</t>
  </si>
  <si>
    <t xml:space="preserve">Chuck Taylor All Star Hi</t>
  </si>
  <si>
    <t xml:space="preserve">M6890J</t>
  </si>
  <si>
    <t xml:space="preserve">Converse Chuck Taylor All Star Hi "Black/White" Unisex Shoe</t>
  </si>
  <si>
    <t xml:space="preserve">HB-4100969</t>
  </si>
  <si>
    <t xml:space="preserve">881791744310</t>
  </si>
  <si>
    <t xml:space="preserve">ITM-700146</t>
  </si>
  <si>
    <t xml:space="preserve">Free Metcon 6</t>
  </si>
  <si>
    <t xml:space="preserve">FC1444-668</t>
  </si>
  <si>
    <t xml:space="preserve">Nike Free Metcon 6 "Cool Grey/Black/Volt" Men's Shoe</t>
  </si>
  <si>
    <t xml:space="preserve">Cool Grey/Black/Volt</t>
  </si>
  <si>
    <t xml:space="preserve">HB-4105652</t>
  </si>
  <si>
    <t xml:space="preserve">826478761438</t>
  </si>
  <si>
    <t xml:space="preserve">HB-4101248</t>
  </si>
  <si>
    <t xml:space="preserve">853391002761</t>
  </si>
  <si>
    <t xml:space="preserve">11C</t>
  </si>
  <si>
    <t xml:space="preserve">HB-4101199</t>
  </si>
  <si>
    <t xml:space="preserve">885088884076</t>
  </si>
  <si>
    <t xml:space="preserve">HB-4102621</t>
  </si>
  <si>
    <t xml:space="preserve">801797850903</t>
  </si>
  <si>
    <t xml:space="preserve">HB-4100619</t>
  </si>
  <si>
    <t xml:space="preserve">861861019105</t>
  </si>
  <si>
    <t xml:space="preserve">ITM-700128</t>
  </si>
  <si>
    <t xml:space="preserve">Vomero 18</t>
  </si>
  <si>
    <t xml:space="preserve">SK8032-701</t>
  </si>
  <si>
    <t xml:space="preserve">Nike Vomero 18 "Black/Anthracite/White" Men's Shoe</t>
  </si>
  <si>
    <t xml:space="preserve">HB-4105326</t>
  </si>
  <si>
    <t xml:space="preserve">870219973050</t>
  </si>
  <si>
    <t xml:space="preserve">HB-4104220</t>
  </si>
  <si>
    <t xml:space="preserve">801963824529</t>
  </si>
  <si>
    <t xml:space="preserve">ITM-700306</t>
  </si>
  <si>
    <t xml:space="preserve">110390-1D-470</t>
  </si>
  <si>
    <t xml:space="preserve">Brooks Ghost 17 "Black/Ebony/Grey" Men's Shoe</t>
  </si>
  <si>
    <t xml:space="preserve">Black/Ebony/Grey</t>
  </si>
  <si>
    <t xml:space="preserve">HB-4104881</t>
  </si>
  <si>
    <t xml:space="preserve">804893828221</t>
  </si>
  <si>
    <t xml:space="preserve">ITM-700359</t>
  </si>
  <si>
    <t xml:space="preserve">Chuck 70 Low</t>
  </si>
  <si>
    <t xml:space="preserve">M9038V</t>
  </si>
  <si>
    <t xml:space="preserve">Converse Chuck 70 Low "Parchment/Egret" Unisex Shoe</t>
  </si>
  <si>
    <t xml:space="preserve">Parchment/Egret</t>
  </si>
  <si>
    <t xml:space="preserve">HB-4103805</t>
  </si>
  <si>
    <t xml:space="preserve">801928689755</t>
  </si>
  <si>
    <t xml:space="preserve">HB-4102142</t>
  </si>
  <si>
    <t xml:space="preserve">837113751464</t>
  </si>
  <si>
    <t xml:space="preserve">HB-4103076</t>
  </si>
  <si>
    <t xml:space="preserve">883058312567</t>
  </si>
  <si>
    <t xml:space="preserve">HB-4103336</t>
  </si>
  <si>
    <t xml:space="preserve">812945130456</t>
  </si>
  <si>
    <t xml:space="preserve">3.5Y</t>
  </si>
  <si>
    <t xml:space="preserve">HB-4102426</t>
  </si>
  <si>
    <t xml:space="preserve">848240875230</t>
  </si>
  <si>
    <t xml:space="preserve">HB-4102599</t>
  </si>
  <si>
    <t xml:space="preserve">823080290894</t>
  </si>
  <si>
    <t xml:space="preserve">4Y</t>
  </si>
  <si>
    <t xml:space="preserve">HB-4105394</t>
  </si>
  <si>
    <t xml:space="preserve">863472196602</t>
  </si>
  <si>
    <t xml:space="preserve">HB-4100203</t>
  </si>
  <si>
    <t xml:space="preserve">873273055505</t>
  </si>
  <si>
    <t xml:space="preserve">HB-4103208</t>
  </si>
  <si>
    <t xml:space="preserve">872378218935</t>
  </si>
  <si>
    <t xml:space="preserve">HB-4104307</t>
  </si>
  <si>
    <t xml:space="preserve">826648843806</t>
  </si>
  <si>
    <t xml:space="preserve">ITM-700316</t>
  </si>
  <si>
    <t xml:space="preserve">Glycerin 22</t>
  </si>
  <si>
    <t xml:space="preserve">110320-1D-271</t>
  </si>
  <si>
    <t xml:space="preserve">Brooks Glycerin 22 "Grey/Navy/Blue" Men's Shoe</t>
  </si>
  <si>
    <t xml:space="preserve">Grey/Navy/Blue</t>
  </si>
  <si>
    <t xml:space="preserve">HB-4102824</t>
  </si>
  <si>
    <t xml:space="preserve">877281465971</t>
  </si>
  <si>
    <t xml:space="preserve">HB-4105146</t>
  </si>
  <si>
    <t xml:space="preserve">803325819741</t>
  </si>
  <si>
    <t xml:space="preserve">HB-4105365</t>
  </si>
  <si>
    <t xml:space="preserve">853523524963</t>
  </si>
  <si>
    <t xml:space="preserve">HB-4101032</t>
  </si>
  <si>
    <t xml:space="preserve">854634324256</t>
  </si>
  <si>
    <t xml:space="preserve">ITM-700150</t>
  </si>
  <si>
    <t xml:space="preserve">LeBron Witness 9</t>
  </si>
  <si>
    <t xml:space="preserve">YM7219-924</t>
  </si>
  <si>
    <t xml:space="preserve">Nike LeBron Witness 9 "White/Court Purple" Men's Shoe</t>
  </si>
  <si>
    <t xml:space="preserve">White/Court Purple</t>
  </si>
  <si>
    <t xml:space="preserve">HB-4105304</t>
  </si>
  <si>
    <t xml:space="preserve">879627713627</t>
  </si>
  <si>
    <t xml:space="preserve">HB-4105120</t>
  </si>
  <si>
    <t xml:space="preserve">872039945012</t>
  </si>
  <si>
    <t xml:space="preserve">HB-4105507</t>
  </si>
  <si>
    <t xml:space="preserve">860095320692</t>
  </si>
  <si>
    <t xml:space="preserve">HB-4102736</t>
  </si>
  <si>
    <t xml:space="preserve">859109347852</t>
  </si>
  <si>
    <t xml:space="preserve">HB-4103391</t>
  </si>
  <si>
    <t xml:space="preserve">826582887311</t>
  </si>
  <si>
    <t xml:space="preserve">HB-4105271</t>
  </si>
  <si>
    <t xml:space="preserve">897575632731</t>
  </si>
  <si>
    <t xml:space="preserve">HB-4105200</t>
  </si>
  <si>
    <t xml:space="preserve">800780142183</t>
  </si>
  <si>
    <t xml:space="preserve">HB-4103256</t>
  </si>
  <si>
    <t xml:space="preserve">825286421505</t>
  </si>
  <si>
    <t xml:space="preserve">HB-4104501</t>
  </si>
  <si>
    <t xml:space="preserve">832126135829</t>
  </si>
  <si>
    <t xml:space="preserve">HB-4103068</t>
  </si>
  <si>
    <t xml:space="preserve">877309752093</t>
  </si>
  <si>
    <t xml:space="preserve">HB-4102450</t>
  </si>
  <si>
    <t xml:space="preserve">825297193235</t>
  </si>
  <si>
    <t xml:space="preserve">ITM-700218</t>
  </si>
  <si>
    <t xml:space="preserve">Duramo SL 2</t>
  </si>
  <si>
    <t xml:space="preserve">ED9875</t>
  </si>
  <si>
    <t xml:space="preserve">adidas Duramo SL 2 "Core Black/Silver Met" Women's Shoe</t>
  </si>
  <si>
    <t xml:space="preserve">Core Black/Silver Met</t>
  </si>
  <si>
    <t xml:space="preserve">HB-4103199</t>
  </si>
  <si>
    <t xml:space="preserve">897600250849</t>
  </si>
  <si>
    <t xml:space="preserve">HB-4104631</t>
  </si>
  <si>
    <t xml:space="preserve">860308449940</t>
  </si>
  <si>
    <t xml:space="preserve">HB-4101182</t>
  </si>
  <si>
    <t xml:space="preserve">831030335981</t>
  </si>
  <si>
    <t xml:space="preserve">HB-4104837</t>
  </si>
  <si>
    <t xml:space="preserve">810189392054</t>
  </si>
  <si>
    <t xml:space="preserve">HB-4105398</t>
  </si>
  <si>
    <t xml:space="preserve">829880310063</t>
  </si>
  <si>
    <t xml:space="preserve">HB-4101024</t>
  </si>
  <si>
    <t xml:space="preserve">802910308905</t>
  </si>
  <si>
    <t xml:space="preserve">HB-4101378</t>
  </si>
  <si>
    <t xml:space="preserve">841178259196</t>
  </si>
  <si>
    <t xml:space="preserve">HB-4103979</t>
  </si>
  <si>
    <t xml:space="preserve">882348603667</t>
  </si>
  <si>
    <t xml:space="preserve">HB-4100571</t>
  </si>
  <si>
    <t xml:space="preserve">898728514873</t>
  </si>
  <si>
    <t xml:space="preserve">HB-4105108</t>
  </si>
  <si>
    <t xml:space="preserve">884827255136</t>
  </si>
  <si>
    <t xml:space="preserve">HB-4104592</t>
  </si>
  <si>
    <t xml:space="preserve">820168473877</t>
  </si>
  <si>
    <t xml:space="preserve">HB-4104015</t>
  </si>
  <si>
    <t xml:space="preserve">825589856679</t>
  </si>
  <si>
    <t xml:space="preserve">ITM-700294</t>
  </si>
  <si>
    <t xml:space="preserve">GEL-NIMBUS 28</t>
  </si>
  <si>
    <t xml:space="preserve">1032B092-817</t>
  </si>
  <si>
    <t xml:space="preserve">ASICS GEL-NIMBUS 28 "Cloud Grey/Sky" Women's Shoe</t>
  </si>
  <si>
    <t xml:space="preserve">Cloud Grey/Sky</t>
  </si>
  <si>
    <t xml:space="preserve">HB-4104206</t>
  </si>
  <si>
    <t xml:space="preserve">859477541235</t>
  </si>
  <si>
    <t xml:space="preserve">HB-4100887</t>
  </si>
  <si>
    <t xml:space="preserve">869614320538</t>
  </si>
  <si>
    <t xml:space="preserve">HB-4105555</t>
  </si>
  <si>
    <t xml:space="preserve">828298601471</t>
  </si>
  <si>
    <t xml:space="preserve">HB-4102760</t>
  </si>
  <si>
    <t xml:space="preserve">846938591419</t>
  </si>
  <si>
    <t xml:space="preserve">HB-4101221</t>
  </si>
  <si>
    <t xml:space="preserve">800287530462</t>
  </si>
  <si>
    <t xml:space="preserve">HB-4104579</t>
  </si>
  <si>
    <t xml:space="preserve">882462834628</t>
  </si>
  <si>
    <t xml:space="preserve">HB-4100958</t>
  </si>
  <si>
    <t xml:space="preserve">847216287602</t>
  </si>
  <si>
    <t xml:space="preserve">HB-4101471</t>
  </si>
  <si>
    <t xml:space="preserve">888278976355</t>
  </si>
  <si>
    <t xml:space="preserve">ITM-700175</t>
  </si>
  <si>
    <t xml:space="preserve">Air Jordan 11 Retro</t>
  </si>
  <si>
    <t xml:space="preserve">UJ9099-242</t>
  </si>
  <si>
    <t xml:space="preserve">Jordan Air Jordan 11 Retro "Black/Varsity Red/White" Men's Shoe</t>
  </si>
  <si>
    <t xml:space="preserve">Black/Varsity Red/White</t>
  </si>
  <si>
    <t xml:space="preserve">HB-4102243</t>
  </si>
  <si>
    <t xml:space="preserve">878499542884</t>
  </si>
  <si>
    <t xml:space="preserve">ITM-700207</t>
  </si>
  <si>
    <t xml:space="preserve">Stan Smith</t>
  </si>
  <si>
    <t xml:space="preserve">ZT4805</t>
  </si>
  <si>
    <t xml:space="preserve">adidas Originals Stan Smith "White/Green" Women's Shoe</t>
  </si>
  <si>
    <t xml:space="preserve">HB-4105754</t>
  </si>
  <si>
    <t xml:space="preserve">855737429015</t>
  </si>
  <si>
    <t xml:space="preserve">HB-4101324</t>
  </si>
  <si>
    <t xml:space="preserve">858906069095</t>
  </si>
  <si>
    <t xml:space="preserve">HB-4100364</t>
  </si>
  <si>
    <t xml:space="preserve">872182717992</t>
  </si>
  <si>
    <t xml:space="preserve">HB-4101557</t>
  </si>
  <si>
    <t xml:space="preserve">832247884457</t>
  </si>
  <si>
    <t xml:space="preserve">HB-4105590</t>
  </si>
  <si>
    <t xml:space="preserve">889887785523</t>
  </si>
  <si>
    <t xml:space="preserve">HB-4103868</t>
  </si>
  <si>
    <t xml:space="preserve">876844552330</t>
  </si>
  <si>
    <t xml:space="preserve">HB-4102312</t>
  </si>
  <si>
    <t xml:space="preserve">859642586359</t>
  </si>
  <si>
    <t xml:space="preserve">HB-4104893</t>
  </si>
  <si>
    <t xml:space="preserve">804825412147</t>
  </si>
  <si>
    <t xml:space="preserve">HB-4100184</t>
  </si>
  <si>
    <t xml:space="preserve">832808461454</t>
  </si>
  <si>
    <t xml:space="preserve">HB-4100175</t>
  </si>
  <si>
    <t xml:space="preserve">809594491624</t>
  </si>
  <si>
    <t xml:space="preserve">ITM-700112</t>
  </si>
  <si>
    <t xml:space="preserve">Air Max 90</t>
  </si>
  <si>
    <t xml:space="preserve">RF8936-330</t>
  </si>
  <si>
    <t xml:space="preserve">Nike Air Max 90 "White/Particle Grey/Black" Men's Shoe</t>
  </si>
  <si>
    <t xml:space="preserve">White/Particle Grey/Black</t>
  </si>
  <si>
    <t xml:space="preserve">HB-4104096</t>
  </si>
  <si>
    <t xml:space="preserve">882194120494</t>
  </si>
  <si>
    <t xml:space="preserve">ITM-700298</t>
  </si>
  <si>
    <t xml:space="preserve">GEL-EXCITE 11</t>
  </si>
  <si>
    <t xml:space="preserve">1069B692-193</t>
  </si>
  <si>
    <t xml:space="preserve">ASICS GEL-EXCITE 11 "Black/Carrier Grey" Men's Shoe</t>
  </si>
  <si>
    <t xml:space="preserve">Black/Carrier Grey</t>
  </si>
  <si>
    <t xml:space="preserve">HB-4100119</t>
  </si>
  <si>
    <t xml:space="preserve">842960414982</t>
  </si>
  <si>
    <t xml:space="preserve">HB-4105026</t>
  </si>
  <si>
    <t xml:space="preserve">847591923998</t>
  </si>
  <si>
    <t xml:space="preserve">HB-4103622</t>
  </si>
  <si>
    <t xml:space="preserve">866989679806</t>
  </si>
  <si>
    <t xml:space="preserve">HB-4104282</t>
  </si>
  <si>
    <t xml:space="preserve">892270516849</t>
  </si>
  <si>
    <t xml:space="preserve">ITM-700314</t>
  </si>
  <si>
    <t xml:space="preserve">Adrenaline GTS 24</t>
  </si>
  <si>
    <t xml:space="preserve">110377-1D-913</t>
  </si>
  <si>
    <t xml:space="preserve">Brooks Adrenaline GTS 24 "Grey/Lilac/Silver" Women's Shoe</t>
  </si>
  <si>
    <t xml:space="preserve">Grey/Lilac/Silver</t>
  </si>
  <si>
    <t xml:space="preserve">HB-4105086</t>
  </si>
  <si>
    <t xml:space="preserve">822453402015</t>
  </si>
  <si>
    <t xml:space="preserve">HB-4100644</t>
  </si>
  <si>
    <t xml:space="preserve">884149505617</t>
  </si>
  <si>
    <t xml:space="preserve">ITM-700131</t>
  </si>
  <si>
    <t xml:space="preserve">Vomero 5</t>
  </si>
  <si>
    <t xml:space="preserve">VG5021-693</t>
  </si>
  <si>
    <t xml:space="preserve">Nike Vomero 5 "Photon Dust/Light Bone" Men's Shoe</t>
  </si>
  <si>
    <t xml:space="preserve">Photon Dust/Light Bone</t>
  </si>
  <si>
    <t xml:space="preserve">HB-4104995</t>
  </si>
  <si>
    <t xml:space="preserve">814479789781</t>
  </si>
  <si>
    <t xml:space="preserve">ITM-700364</t>
  </si>
  <si>
    <t xml:space="preserve">Old Skool</t>
  </si>
  <si>
    <t xml:space="preserve">VN000MMU33J</t>
  </si>
  <si>
    <t xml:space="preserve">Vans Old Skool "Black/White" Unisex Shoe</t>
  </si>
  <si>
    <t xml:space="preserve">HB-4102875</t>
  </si>
  <si>
    <t xml:space="preserve">863686728343</t>
  </si>
  <si>
    <t xml:space="preserve">ITM-700235</t>
  </si>
  <si>
    <t xml:space="preserve">2002R</t>
  </si>
  <si>
    <t xml:space="preserve">W1944EGK</t>
  </si>
  <si>
    <t xml:space="preserve">New Balance 2002R "Protection Pack Grey" Men's Shoe</t>
  </si>
  <si>
    <t xml:space="preserve">Protection Pack Grey</t>
  </si>
  <si>
    <t xml:space="preserve">HB-4101639</t>
  </si>
  <si>
    <t xml:space="preserve">897476298548</t>
  </si>
  <si>
    <t xml:space="preserve">ITM-700179</t>
  </si>
  <si>
    <t xml:space="preserve">Stay Loyal 3</t>
  </si>
  <si>
    <t xml:space="preserve">HC6820-532</t>
  </si>
  <si>
    <t xml:space="preserve">Jordan Stay Loyal 3 "White/Black/Wolf Grey" Men's Shoe</t>
  </si>
  <si>
    <t xml:space="preserve">White/Black/Wolf Grey</t>
  </si>
  <si>
    <t xml:space="preserve">HB-4102893</t>
  </si>
  <si>
    <t xml:space="preserve">819476901534</t>
  </si>
  <si>
    <t xml:space="preserve">HB-4101753</t>
  </si>
  <si>
    <t xml:space="preserve">815727154741</t>
  </si>
  <si>
    <t xml:space="preserve">ITM-700185</t>
  </si>
  <si>
    <t xml:space="preserve">Luka 4</t>
  </si>
  <si>
    <t xml:space="preserve">XB7604-121</t>
  </si>
  <si>
    <t xml:space="preserve">Jordan Luka 4 "Navy/Silver" Men's Shoe</t>
  </si>
  <si>
    <t xml:space="preserve">Navy/Silver</t>
  </si>
  <si>
    <t xml:space="preserve">HB-4101785</t>
  </si>
  <si>
    <t xml:space="preserve">818327686308</t>
  </si>
  <si>
    <t xml:space="preserve">HB-4104119</t>
  </si>
  <si>
    <t xml:space="preserve">827629402993</t>
  </si>
  <si>
    <t xml:space="preserve">ITM-700301</t>
  </si>
  <si>
    <t xml:space="preserve">GEL-CONTEND 9</t>
  </si>
  <si>
    <t xml:space="preserve">1001B908-716</t>
  </si>
  <si>
    <t xml:space="preserve">ASICS GEL-CONTEND 9 "White/Rose" Women's Shoe</t>
  </si>
  <si>
    <t xml:space="preserve">White/Rose</t>
  </si>
  <si>
    <t xml:space="preserve">HB-4104185</t>
  </si>
  <si>
    <t xml:space="preserve">895789376683</t>
  </si>
  <si>
    <t xml:space="preserve">ITM-700305</t>
  </si>
  <si>
    <t xml:space="preserve">GEL-1130</t>
  </si>
  <si>
    <t xml:space="preserve">1091B332-674</t>
  </si>
  <si>
    <t xml:space="preserve">ASICS GEL-1130 "White/Clay Canyon" Unisex Shoe</t>
  </si>
  <si>
    <t xml:space="preserve">White/Clay Canyon</t>
  </si>
  <si>
    <t xml:space="preserve">HB-4105563</t>
  </si>
  <si>
    <t xml:space="preserve">837388858472</t>
  </si>
  <si>
    <t xml:space="preserve">HB-4100072</t>
  </si>
  <si>
    <t xml:space="preserve">883532446685</t>
  </si>
  <si>
    <t xml:space="preserve">HB-4100973</t>
  </si>
  <si>
    <t xml:space="preserve">868897669123</t>
  </si>
  <si>
    <t xml:space="preserve">ITM-700148</t>
  </si>
  <si>
    <t xml:space="preserve">Ja 3</t>
  </si>
  <si>
    <t xml:space="preserve">RX6960-894</t>
  </si>
  <si>
    <t xml:space="preserve">Nike Ja 3 "Bright Crimson/Black" Men's Shoe</t>
  </si>
  <si>
    <t xml:space="preserve">Bright Crimson/Black</t>
  </si>
  <si>
    <t xml:space="preserve">HB-4102240</t>
  </si>
  <si>
    <t xml:space="preserve">888880432710</t>
  </si>
  <si>
    <t xml:space="preserve">HB-4105721</t>
  </si>
  <si>
    <t xml:space="preserve">861932302698</t>
  </si>
  <si>
    <t xml:space="preserve">HB-4105478</t>
  </si>
  <si>
    <t xml:space="preserve">862485264972</t>
  </si>
  <si>
    <t xml:space="preserve">HB-4104956</t>
  </si>
  <si>
    <t xml:space="preserve">867718384093</t>
  </si>
  <si>
    <t xml:space="preserve">HB-4105453</t>
  </si>
  <si>
    <t xml:space="preserve">860564773327</t>
  </si>
  <si>
    <t xml:space="preserve">1Y</t>
  </si>
  <si>
    <t xml:space="preserve">HB-4100303</t>
  </si>
  <si>
    <t xml:space="preserve">817208481127</t>
  </si>
  <si>
    <t xml:space="preserve">HB-4102221</t>
  </si>
  <si>
    <t xml:space="preserve">831800950810</t>
  </si>
  <si>
    <t xml:space="preserve">HB-4104544</t>
  </si>
  <si>
    <t xml:space="preserve">842495966127</t>
  </si>
  <si>
    <t xml:space="preserve">HB-4102471</t>
  </si>
  <si>
    <t xml:space="preserve">860772534847</t>
  </si>
  <si>
    <t xml:space="preserve">HB-4102865</t>
  </si>
  <si>
    <t xml:space="preserve">847576855666</t>
  </si>
  <si>
    <t xml:space="preserve">HB-4104263</t>
  </si>
  <si>
    <t xml:space="preserve">859847309699</t>
  </si>
  <si>
    <t xml:space="preserve">HB-4102284</t>
  </si>
  <si>
    <t xml:space="preserve">876649174913</t>
  </si>
  <si>
    <t xml:space="preserve">HB-4105462</t>
  </si>
  <si>
    <t xml:space="preserve">861204650496</t>
  </si>
  <si>
    <t xml:space="preserve">HB-4103458</t>
  </si>
  <si>
    <t xml:space="preserve">849453780299</t>
  </si>
  <si>
    <t xml:space="preserve">HB-4102552</t>
  </si>
  <si>
    <t xml:space="preserve">893339586845</t>
  </si>
  <si>
    <t xml:space="preserve">HB-4100742</t>
  </si>
  <si>
    <t xml:space="preserve">827345188433</t>
  </si>
  <si>
    <t xml:space="preserve">HB-4101697</t>
  </si>
  <si>
    <t xml:space="preserve">814678716834</t>
  </si>
  <si>
    <t xml:space="preserve">HB-4101841</t>
  </si>
  <si>
    <t xml:space="preserve">845614156877</t>
  </si>
  <si>
    <t xml:space="preserve">HB-4103579</t>
  </si>
  <si>
    <t xml:space="preserve">891310290604</t>
  </si>
  <si>
    <t xml:space="preserve">HB-4104148</t>
  </si>
  <si>
    <t xml:space="preserve">884050160940</t>
  </si>
  <si>
    <t xml:space="preserve">ITM-700302</t>
  </si>
  <si>
    <t xml:space="preserve">GEL-NYC</t>
  </si>
  <si>
    <t xml:space="preserve">1024B246-768</t>
  </si>
  <si>
    <t xml:space="preserve">ASICS GEL-NYC "Oyster Grey/Clay Grey" Unisex Shoe</t>
  </si>
  <si>
    <t xml:space="preserve">Oyster Grey/Clay Grey</t>
  </si>
  <si>
    <t xml:space="preserve">HB-4103857</t>
  </si>
  <si>
    <t xml:space="preserve">803860292404</t>
  </si>
  <si>
    <t xml:space="preserve">HB-4100034</t>
  </si>
  <si>
    <t xml:space="preserve">824788506496</t>
  </si>
  <si>
    <t xml:space="preserve">HB-4104505</t>
  </si>
  <si>
    <t xml:space="preserve">894154526420</t>
  </si>
  <si>
    <t xml:space="preserve">HB-4104852</t>
  </si>
  <si>
    <t xml:space="preserve">825562315107</t>
  </si>
  <si>
    <t xml:space="preserve">HB-4102498</t>
  </si>
  <si>
    <t xml:space="preserve">878441093168</t>
  </si>
  <si>
    <t xml:space="preserve">ITM-700224</t>
  </si>
  <si>
    <t xml:space="preserve">Dropset 3 Trainer</t>
  </si>
  <si>
    <t xml:space="preserve">JK4302</t>
  </si>
  <si>
    <t xml:space="preserve">adidas Dropset 3 Trainer "Grey Five/Core Black" Men's Shoe</t>
  </si>
  <si>
    <t xml:space="preserve">Grey Five/Core Black</t>
  </si>
  <si>
    <t xml:space="preserve">HB-4104127</t>
  </si>
  <si>
    <t xml:space="preserve">822417107637</t>
  </si>
  <si>
    <t xml:space="preserve">HB-4102981</t>
  </si>
  <si>
    <t xml:space="preserve">872728502390</t>
  </si>
  <si>
    <t xml:space="preserve">HB-4102019</t>
  </si>
  <si>
    <t xml:space="preserve">872900933482</t>
  </si>
  <si>
    <t xml:space="preserve">HB-4100786</t>
  </si>
  <si>
    <t xml:space="preserve">871496644191</t>
  </si>
  <si>
    <t xml:space="preserve">HB-4104336</t>
  </si>
  <si>
    <t xml:space="preserve">892714731274</t>
  </si>
  <si>
    <t xml:space="preserve">HB-4104454</t>
  </si>
  <si>
    <t xml:space="preserve">882038874917</t>
  </si>
  <si>
    <t xml:space="preserve">ITM-700323</t>
  </si>
  <si>
    <t xml:space="preserve">Bondi 9</t>
  </si>
  <si>
    <t xml:space="preserve">1188002-MDZF</t>
  </si>
  <si>
    <t xml:space="preserve">HOKA Bondi 9 "Black/Black" Men's Shoe</t>
  </si>
  <si>
    <t xml:space="preserve">Black/Black</t>
  </si>
  <si>
    <t xml:space="preserve">HB-4101661</t>
  </si>
  <si>
    <t xml:space="preserve">852140649834</t>
  </si>
  <si>
    <t xml:space="preserve">HB-4101075</t>
  </si>
  <si>
    <t xml:space="preserve">881684186164</t>
  </si>
  <si>
    <t xml:space="preserve">HB-4102849</t>
  </si>
  <si>
    <t xml:space="preserve">896285295263</t>
  </si>
  <si>
    <t xml:space="preserve">HB-4104924</t>
  </si>
  <si>
    <t xml:space="preserve">858129371933</t>
  </si>
  <si>
    <t xml:space="preserve">HB-4102710</t>
  </si>
  <si>
    <t xml:space="preserve">821104670533</t>
  </si>
  <si>
    <t xml:space="preserve">HB-4101603</t>
  </si>
  <si>
    <t xml:space="preserve">855321352815</t>
  </si>
  <si>
    <t xml:space="preserve">HB-4103427</t>
  </si>
  <si>
    <t xml:space="preserve">800269641450</t>
  </si>
  <si>
    <t xml:space="preserve">HB-4105631</t>
  </si>
  <si>
    <t xml:space="preserve">826048756914</t>
  </si>
  <si>
    <t xml:space="preserve">HB-4105446</t>
  </si>
  <si>
    <t xml:space="preserve">815818902015</t>
  </si>
  <si>
    <t xml:space="preserve">HB-4100247</t>
  </si>
  <si>
    <t xml:space="preserve">836984426474</t>
  </si>
  <si>
    <t xml:space="preserve">HB-4100483</t>
  </si>
  <si>
    <t xml:space="preserve">893374359154</t>
  </si>
  <si>
    <t xml:space="preserve">ITM-700118</t>
  </si>
  <si>
    <t xml:space="preserve">Dunk Low Retro</t>
  </si>
  <si>
    <t xml:space="preserve">HM7512-962</t>
  </si>
  <si>
    <t xml:space="preserve">Nike Dunk Low Retro "White/Black" Men's Shoe</t>
  </si>
  <si>
    <t xml:space="preserve">HB-4102009</t>
  </si>
  <si>
    <t xml:space="preserve">815907098987</t>
  </si>
  <si>
    <t xml:space="preserve">HB-4100913</t>
  </si>
  <si>
    <t xml:space="preserve">841090563348</t>
  </si>
  <si>
    <t xml:space="preserve">HB-4100383</t>
  </si>
  <si>
    <t xml:space="preserve">845648784823</t>
  </si>
  <si>
    <t xml:space="preserve">HB-4100326</t>
  </si>
  <si>
    <t xml:space="preserve">870373969615</t>
  </si>
  <si>
    <t xml:space="preserve">HB-4104480</t>
  </si>
  <si>
    <t xml:space="preserve">890795744387</t>
  </si>
  <si>
    <t xml:space="preserve">HB-4104755</t>
  </si>
  <si>
    <t xml:space="preserve">826436560890</t>
  </si>
  <si>
    <t xml:space="preserve">HB-4100090</t>
  </si>
  <si>
    <t xml:space="preserve">870049353324</t>
  </si>
  <si>
    <t xml:space="preserve">HB-4101597</t>
  </si>
  <si>
    <t xml:space="preserve">828469039759</t>
  </si>
  <si>
    <t xml:space="preserve">HB-4100565</t>
  </si>
  <si>
    <t xml:space="preserve">818847192306</t>
  </si>
  <si>
    <t xml:space="preserve">HB-4102272</t>
  </si>
  <si>
    <t xml:space="preserve">816237880130</t>
  </si>
  <si>
    <t xml:space="preserve">HB-4103096</t>
  </si>
  <si>
    <t xml:space="preserve">846156763343</t>
  </si>
  <si>
    <t xml:space="preserve">HB-4102778</t>
  </si>
  <si>
    <t xml:space="preserve">839238182182</t>
  </si>
  <si>
    <t xml:space="preserve">HB-4104107</t>
  </si>
  <si>
    <t xml:space="preserve">839007471640</t>
  </si>
  <si>
    <t xml:space="preserve">HB-4104841</t>
  </si>
  <si>
    <t xml:space="preserve">803080212517</t>
  </si>
  <si>
    <t xml:space="preserve">HB-4104374</t>
  </si>
  <si>
    <t xml:space="preserve">876961544755</t>
  </si>
  <si>
    <t xml:space="preserve">HB-4102302</t>
  </si>
  <si>
    <t xml:space="preserve">860775246592</t>
  </si>
  <si>
    <t xml:space="preserve">HB-4100156</t>
  </si>
  <si>
    <t xml:space="preserve">807131664425</t>
  </si>
  <si>
    <t xml:space="preserve">HB-4103143</t>
  </si>
  <si>
    <t xml:space="preserve">831880650500</t>
  </si>
  <si>
    <t xml:space="preserve">HB-4101649</t>
  </si>
  <si>
    <t xml:space="preserve">877726790470</t>
  </si>
  <si>
    <t xml:space="preserve">HB-4101268</t>
  </si>
  <si>
    <t xml:space="preserve">882075577499</t>
  </si>
  <si>
    <t xml:space="preserve">HB-4105369</t>
  </si>
  <si>
    <t xml:space="preserve">843577200206</t>
  </si>
  <si>
    <t xml:space="preserve">HB-4101499</t>
  </si>
  <si>
    <t xml:space="preserve">839908338307</t>
  </si>
  <si>
    <t xml:space="preserve">HB-4102034</t>
  </si>
  <si>
    <t xml:space="preserve">845655336368</t>
  </si>
  <si>
    <t xml:space="preserve">HB-4102949</t>
  </si>
  <si>
    <t xml:space="preserve">871781408812</t>
  </si>
  <si>
    <t xml:space="preserve">HB-4100870</t>
  </si>
  <si>
    <t xml:space="preserve">822033741114</t>
  </si>
  <si>
    <t xml:space="preserve">HB-4103497</t>
  </si>
  <si>
    <t xml:space="preserve">863717017770</t>
  </si>
  <si>
    <t xml:space="preserve">ITM-700272</t>
  </si>
  <si>
    <t xml:space="preserve">TriBase Reign 6</t>
  </si>
  <si>
    <t xml:space="preserve">3025456-933</t>
  </si>
  <si>
    <t xml:space="preserve">Under Armour TriBase Reign 6 "Black/Halo Grey" Men's Shoe</t>
  </si>
  <si>
    <t xml:space="preserve">Black/Halo Grey</t>
  </si>
  <si>
    <t xml:space="preserve">HB-4105438</t>
  </si>
  <si>
    <t xml:space="preserve">849092838366</t>
  </si>
  <si>
    <t xml:space="preserve">HB-4102997</t>
  </si>
  <si>
    <t xml:space="preserve">807648282761</t>
  </si>
  <si>
    <t xml:space="preserve">HB-4101491</t>
  </si>
  <si>
    <t xml:space="preserve">802931946087</t>
  </si>
  <si>
    <t xml:space="preserve">HB-4104161</t>
  </si>
  <si>
    <t xml:space="preserve">871397295473</t>
  </si>
  <si>
    <t xml:space="preserve">HB-4102161</t>
  </si>
  <si>
    <t xml:space="preserve">831741090183</t>
  </si>
  <si>
    <t xml:space="preserve">HB-4103236</t>
  </si>
  <si>
    <t xml:space="preserve">800588030350</t>
  </si>
  <si>
    <t xml:space="preserve">HB-4102688</t>
  </si>
  <si>
    <t xml:space="preserve">884136730635</t>
  </si>
  <si>
    <t xml:space="preserve">HB-4100141</t>
  </si>
  <si>
    <t xml:space="preserve">831491209035</t>
  </si>
  <si>
    <t xml:space="preserve">ITM-700109</t>
  </si>
  <si>
    <t xml:space="preserve">Air Force 1 LV8</t>
  </si>
  <si>
    <t xml:space="preserve">JT5124-792</t>
  </si>
  <si>
    <t xml:space="preserve">Nike Air Force 1 LV8 "Black/Anthracite" Big Kids' Shoe</t>
  </si>
  <si>
    <t xml:space="preserve">Black/Anthracite</t>
  </si>
  <si>
    <t xml:space="preserve">6.5Y</t>
  </si>
  <si>
    <t xml:space="preserve">HB-4101895</t>
  </si>
  <si>
    <t xml:space="preserve">869181615826</t>
  </si>
  <si>
    <t xml:space="preserve">ITM-700189</t>
  </si>
  <si>
    <t xml:space="preserve">CY7961</t>
  </si>
  <si>
    <t xml:space="preserve">adidas Originals Samba OG "Cloud White/Core Black/Gum" Women's Shoe</t>
  </si>
  <si>
    <t xml:space="preserve">Cloud White/Core Black/Gum</t>
  </si>
  <si>
    <t xml:space="preserve">HB-4103162</t>
  </si>
  <si>
    <t xml:space="preserve">883246250962</t>
  </si>
  <si>
    <t xml:space="preserve">HB-4101020</t>
  </si>
  <si>
    <t xml:space="preserve">887359508666</t>
  </si>
  <si>
    <t xml:space="preserve">HB-4100560</t>
  </si>
  <si>
    <t xml:space="preserve">822175162974</t>
  </si>
  <si>
    <t xml:space="preserve">HB-4100647</t>
  </si>
  <si>
    <t xml:space="preserve">862942167497</t>
  </si>
  <si>
    <t xml:space="preserve">HB-4102669</t>
  </si>
  <si>
    <t xml:space="preserve">822430295151</t>
  </si>
  <si>
    <t xml:space="preserve">HB-4101002</t>
  </si>
  <si>
    <t xml:space="preserve">896112638171</t>
  </si>
  <si>
    <t xml:space="preserve">HB-4104970</t>
  </si>
  <si>
    <t xml:space="preserve">807055324895</t>
  </si>
  <si>
    <t xml:space="preserve">HB-4105705</t>
  </si>
  <si>
    <t xml:space="preserve">854271778549</t>
  </si>
  <si>
    <t xml:space="preserve">HB-4103294</t>
  </si>
  <si>
    <t xml:space="preserve">893880151196</t>
  </si>
  <si>
    <t xml:space="preserve">ITM-700260</t>
  </si>
  <si>
    <t xml:space="preserve">Infinite Elite 2</t>
  </si>
  <si>
    <t xml:space="preserve">3026760-909</t>
  </si>
  <si>
    <t xml:space="preserve">Under Armour Infinite Elite 2 "Black/Metallic" Men's Shoe</t>
  </si>
  <si>
    <t xml:space="preserve">Black/Metallic</t>
  </si>
  <si>
    <t xml:space="preserve">HB-4101079</t>
  </si>
  <si>
    <t xml:space="preserve">841900898252</t>
  </si>
  <si>
    <t xml:space="preserve">HB-4103789</t>
  </si>
  <si>
    <t xml:space="preserve">848135041522</t>
  </si>
  <si>
    <t xml:space="preserve">HB-4103054</t>
  </si>
  <si>
    <t xml:space="preserve">894561961961</t>
  </si>
  <si>
    <t xml:space="preserve">HB-4104717</t>
  </si>
  <si>
    <t xml:space="preserve">889164953253</t>
  </si>
  <si>
    <t xml:space="preserve">HB-4103564</t>
  </si>
  <si>
    <t xml:space="preserve">863044708739</t>
  </si>
  <si>
    <t xml:space="preserve">HB-4104420</t>
  </si>
  <si>
    <t xml:space="preserve">853820222193</t>
  </si>
  <si>
    <t xml:space="preserve">HB-4105071</t>
  </si>
  <si>
    <t xml:space="preserve">841229111763</t>
  </si>
  <si>
    <t xml:space="preserve">HB-4102098</t>
  </si>
  <si>
    <t xml:space="preserve">852801560063</t>
  </si>
  <si>
    <t xml:space="preserve">HB-4103727</t>
  </si>
  <si>
    <t xml:space="preserve">850856639827</t>
  </si>
  <si>
    <t xml:space="preserve">HB-4103948</t>
  </si>
  <si>
    <t xml:space="preserve">885812600027</t>
  </si>
  <si>
    <t xml:space="preserve">ITM-700290</t>
  </si>
  <si>
    <t xml:space="preserve">MB.04</t>
  </si>
  <si>
    <t xml:space="preserve">020982-06</t>
  </si>
  <si>
    <t xml:space="preserve">PUMA MB.04 "Blue/Orange" Men's Shoe</t>
  </si>
  <si>
    <t xml:space="preserve">Blue/Orange</t>
  </si>
  <si>
    <t xml:space="preserve">HB-4101852</t>
  </si>
  <si>
    <t xml:space="preserve">801648863392</t>
  </si>
  <si>
    <t xml:space="preserve">HB-4101623</t>
  </si>
  <si>
    <t xml:space="preserve">800792422076</t>
  </si>
  <si>
    <t xml:space="preserve">HB-4100455</t>
  </si>
  <si>
    <t xml:space="preserve">854919938988</t>
  </si>
  <si>
    <t xml:space="preserve">HB-4104760</t>
  </si>
  <si>
    <t xml:space="preserve">864793369858</t>
  </si>
  <si>
    <t xml:space="preserve">HB-4105207</t>
  </si>
  <si>
    <t xml:space="preserve">866334776825</t>
  </si>
  <si>
    <t xml:space="preserve">HB-4100418</t>
  </si>
  <si>
    <t xml:space="preserve">849032918261</t>
  </si>
  <si>
    <t xml:space="preserve">HB-4103526</t>
  </si>
  <si>
    <t xml:space="preserve">856313378096</t>
  </si>
  <si>
    <t xml:space="preserve">HB-4104164</t>
  </si>
  <si>
    <t xml:space="preserve">871685509558</t>
  </si>
  <si>
    <t xml:space="preserve">HB-4102887</t>
  </si>
  <si>
    <t xml:space="preserve">806661565058</t>
  </si>
  <si>
    <t xml:space="preserve">HB-4103822</t>
  </si>
  <si>
    <t xml:space="preserve">847545220505</t>
  </si>
  <si>
    <t xml:space="preserve">HB-4102293</t>
  </si>
  <si>
    <t xml:space="preserve">873507542339</t>
  </si>
  <si>
    <t xml:space="preserve">HB-4102247</t>
  </si>
  <si>
    <t xml:space="preserve">849627563872</t>
  </si>
  <si>
    <t xml:space="preserve">HB-4104739</t>
  </si>
  <si>
    <t xml:space="preserve">834494229728</t>
  </si>
  <si>
    <t xml:space="preserve">HB-4103013</t>
  </si>
  <si>
    <t xml:space="preserve">842232978820</t>
  </si>
  <si>
    <t xml:space="preserve">HB-4105569</t>
  </si>
  <si>
    <t xml:space="preserve">878441192745</t>
  </si>
  <si>
    <t xml:space="preserve">HB-4104319</t>
  </si>
  <si>
    <t xml:space="preserve">853054309369</t>
  </si>
  <si>
    <t xml:space="preserve">HB-4101883</t>
  </si>
  <si>
    <t xml:space="preserve">881524286623</t>
  </si>
  <si>
    <t xml:space="preserve">HB-4102528</t>
  </si>
  <si>
    <t xml:space="preserve">873842134262</t>
  </si>
  <si>
    <t xml:space="preserve">HB-4103932</t>
  </si>
  <si>
    <t xml:space="preserve">871344591400</t>
  </si>
  <si>
    <t xml:space="preserve">HB-4105736</t>
  </si>
  <si>
    <t xml:space="preserve">858238648214</t>
  </si>
  <si>
    <t xml:space="preserve">HB-4101485</t>
  </si>
  <si>
    <t xml:space="preserve">804722849291</t>
  </si>
  <si>
    <t xml:space="preserve">HB-4100760</t>
  </si>
  <si>
    <t xml:space="preserve">853467288946</t>
  </si>
  <si>
    <t xml:space="preserve">HB-4103843</t>
  </si>
  <si>
    <t xml:space="preserve">830702865964</t>
  </si>
  <si>
    <t xml:space="preserve">HB-4101411</t>
  </si>
  <si>
    <t xml:space="preserve">873233173773</t>
  </si>
  <si>
    <t xml:space="preserve">HB-4104175</t>
  </si>
  <si>
    <t xml:space="preserve">856159578372</t>
  </si>
  <si>
    <t xml:space="preserve">HB-4104461</t>
  </si>
  <si>
    <t xml:space="preserve">877231218642</t>
  </si>
  <si>
    <t xml:space="preserve">HB-4105664</t>
  </si>
  <si>
    <t xml:space="preserve">823947474514</t>
  </si>
  <si>
    <t xml:space="preserve">HB-4100284</t>
  </si>
  <si>
    <t xml:space="preserve">836295784801</t>
  </si>
  <si>
    <t xml:space="preserve">HB-4102006</t>
  </si>
  <si>
    <t xml:space="preserve">863019321947</t>
  </si>
  <si>
    <t xml:space="preserve">HB-4104203</t>
  </si>
  <si>
    <t xml:space="preserve">876458462134</t>
  </si>
  <si>
    <t xml:space="preserve">HB-4104977</t>
  </si>
  <si>
    <t xml:space="preserve">848869726231</t>
  </si>
  <si>
    <t xml:space="preserve">HB-4101291</t>
  </si>
  <si>
    <t xml:space="preserve">807193048915</t>
  </si>
  <si>
    <t xml:space="preserve">HB-4104011</t>
  </si>
  <si>
    <t xml:space="preserve">825346881934</t>
  </si>
  <si>
    <t xml:space="preserve">HB-4104589</t>
  </si>
  <si>
    <t xml:space="preserve">833583516857</t>
  </si>
  <si>
    <t xml:space="preserve">HB-4103032</t>
  </si>
  <si>
    <t xml:space="preserve">858729531460</t>
  </si>
  <si>
    <t xml:space="preserve">HB-4104700</t>
  </si>
  <si>
    <t xml:space="preserve">810443843958</t>
  </si>
  <si>
    <t xml:space="preserve">HB-4104822</t>
  </si>
  <si>
    <t xml:space="preserve">867547738564</t>
  </si>
  <si>
    <t xml:space="preserve">HB-4104298</t>
  </si>
  <si>
    <t xml:space="preserve">843556313047</t>
  </si>
  <si>
    <t xml:space="preserve">HB-4101608</t>
  </si>
  <si>
    <t xml:space="preserve">858318220733</t>
  </si>
  <si>
    <t xml:space="preserve">HB-4100435</t>
  </si>
  <si>
    <t xml:space="preserve">890448724210</t>
  </si>
  <si>
    <t xml:space="preserve">HB-4102786</t>
  </si>
  <si>
    <t xml:space="preserve">805676845036</t>
  </si>
  <si>
    <t xml:space="preserve">HB-4101730</t>
  </si>
  <si>
    <t xml:space="preserve">851827519997</t>
  </si>
  <si>
    <t xml:space="preserve">HB-4103902</t>
  </si>
  <si>
    <t xml:space="preserve">859767391549</t>
  </si>
  <si>
    <t xml:space="preserve">HB-4100916</t>
  </si>
  <si>
    <t xml:space="preserve">839166487044</t>
  </si>
  <si>
    <t xml:space="preserve">HB-4105537</t>
  </si>
  <si>
    <t xml:space="preserve">860962166096</t>
  </si>
  <si>
    <t xml:space="preserve">HB-4101739</t>
  </si>
  <si>
    <t xml:space="preserve">878690572384</t>
  </si>
  <si>
    <t xml:space="preserve">HB-4102206</t>
  </si>
  <si>
    <t xml:space="preserve">818891512617</t>
  </si>
  <si>
    <t xml:space="preserve">HB-4103441</t>
  </si>
  <si>
    <t xml:space="preserve">850590923477</t>
  </si>
  <si>
    <t xml:space="preserve">HB-4105197</t>
  </si>
  <si>
    <t xml:space="preserve">823611119198</t>
  </si>
  <si>
    <t xml:space="preserve">HB-4104001</t>
  </si>
  <si>
    <t xml:space="preserve">832580520950</t>
  </si>
  <si>
    <t xml:space="preserve">HB-4102089</t>
  </si>
  <si>
    <t xml:space="preserve">831694394235</t>
  </si>
  <si>
    <t xml:space="preserve">HB-4102563</t>
  </si>
  <si>
    <t xml:space="preserve">835218701043</t>
  </si>
  <si>
    <t xml:space="preserve">HB-4105318</t>
  </si>
  <si>
    <t xml:space="preserve">871372101845</t>
  </si>
  <si>
    <t xml:space="preserve">HB-4105012</t>
  </si>
  <si>
    <t xml:space="preserve">800832412041</t>
  </si>
  <si>
    <t xml:space="preserve">HB-4100900</t>
  </si>
  <si>
    <t xml:space="preserve">830876399817</t>
  </si>
  <si>
    <t xml:space="preserve">HB-4104863</t>
  </si>
  <si>
    <t xml:space="preserve">893005214271</t>
  </si>
  <si>
    <t xml:space="preserve">HB-4101957</t>
  </si>
  <si>
    <t xml:space="preserve">893288157110</t>
  </si>
  <si>
    <t xml:space="preserve">HB-4100992</t>
  </si>
  <si>
    <t xml:space="preserve">895098633160</t>
  </si>
  <si>
    <t xml:space="preserve">HB-4104240</t>
  </si>
  <si>
    <t xml:space="preserve">893127336271</t>
  </si>
  <si>
    <t xml:space="preserve">HB-4101050</t>
  </si>
  <si>
    <t xml:space="preserve">882210126560</t>
  </si>
  <si>
    <t xml:space="preserve">HB-4104451</t>
  </si>
  <si>
    <t xml:space="preserve">867161974461</t>
  </si>
  <si>
    <t xml:space="preserve">HB-4104709</t>
  </si>
  <si>
    <t xml:space="preserve">860300835221</t>
  </si>
  <si>
    <t xml:space="preserve">HB-4101105</t>
  </si>
  <si>
    <t xml:space="preserve">849985624217</t>
  </si>
  <si>
    <t xml:space="preserve">HB-4105614</t>
  </si>
  <si>
    <t xml:space="preserve">826774408846</t>
  </si>
  <si>
    <t xml:space="preserve">HB-4103762</t>
  </si>
  <si>
    <t xml:space="preserve">819092422001</t>
  </si>
  <si>
    <t xml:space="preserve">HB-4100707</t>
  </si>
  <si>
    <t xml:space="preserve">869590157710</t>
  </si>
  <si>
    <t xml:space="preserve">HB-4105279</t>
  </si>
  <si>
    <t xml:space="preserve">889565656266</t>
  </si>
  <si>
    <t xml:space="preserve">HB-4102544</t>
  </si>
  <si>
    <t xml:space="preserve">886443590914</t>
  </si>
  <si>
    <t xml:space="preserve">HB-4105282</t>
  </si>
  <si>
    <t xml:space="preserve">889774886041</t>
  </si>
  <si>
    <t xml:space="preserve">HB-4102435</t>
  </si>
  <si>
    <t xml:space="preserve">809781766211</t>
  </si>
  <si>
    <t xml:space="preserve">HB-4104391</t>
  </si>
  <si>
    <t xml:space="preserve">887493342552</t>
  </si>
  <si>
    <t xml:space="preserve">HB-4101420</t>
  </si>
  <si>
    <t xml:space="preserve">883333808475</t>
  </si>
  <si>
    <t xml:space="preserve">HB-4105609</t>
  </si>
  <si>
    <t xml:space="preserve">863149977558</t>
  </si>
  <si>
    <t xml:space="preserve">HB-4103735</t>
  </si>
  <si>
    <t xml:space="preserve">810700910047</t>
  </si>
  <si>
    <t xml:space="preserve">HB-4104340</t>
  </si>
  <si>
    <t xml:space="preserve">890267919528</t>
  </si>
  <si>
    <t xml:space="preserve">HB-4103311</t>
  </si>
  <si>
    <t xml:space="preserve">813237311815</t>
  </si>
  <si>
    <t xml:space="preserve">HB-4103704</t>
  </si>
  <si>
    <t xml:space="preserve">811625018465</t>
  </si>
  <si>
    <t xml:space="preserve">HB-4104973</t>
  </si>
  <si>
    <t xml:space="preserve">809405311669</t>
  </si>
  <si>
    <t xml:space="preserve">HB-4100847</t>
  </si>
  <si>
    <t xml:space="preserve">869756494537</t>
  </si>
  <si>
    <t xml:space="preserve">HB-4101316</t>
  </si>
  <si>
    <t xml:space="preserve">883060078397</t>
  </si>
  <si>
    <t xml:space="preserve">HB-4103655</t>
  </si>
  <si>
    <t xml:space="preserve">885062097781</t>
  </si>
  <si>
    <t xml:space="preserve">HB-4102646</t>
  </si>
  <si>
    <t xml:space="preserve">829710176366</t>
  </si>
  <si>
    <t xml:space="preserve">HB-4100440</t>
  </si>
  <si>
    <t xml:space="preserve">830439416192</t>
  </si>
  <si>
    <t xml:space="preserve">HB-4102462</t>
  </si>
  <si>
    <t xml:space="preserve">815276507364</t>
  </si>
  <si>
    <t xml:space="preserve">HB-4100016</t>
  </si>
  <si>
    <t xml:space="preserve">837998978419</t>
  </si>
  <si>
    <t xml:space="preserve">HB-4104437</t>
  </si>
  <si>
    <t xml:space="preserve">880813056362</t>
  </si>
  <si>
    <t xml:space="preserve">HB-4102064</t>
  </si>
  <si>
    <t xml:space="preserve">813050236929</t>
  </si>
  <si>
    <t xml:space="preserve">HB-4100217</t>
  </si>
  <si>
    <t xml:space="preserve">801918288796</t>
  </si>
  <si>
    <t xml:space="preserve">HB-4100941</t>
  </si>
  <si>
    <t xml:space="preserve">847776776109</t>
  </si>
  <si>
    <t xml:space="preserve">HB-4102556</t>
  </si>
  <si>
    <t xml:space="preserve">820033552764</t>
  </si>
  <si>
    <t xml:space="preserve">HB-4103381</t>
  </si>
  <si>
    <t xml:space="preserve">885458628641</t>
  </si>
  <si>
    <t xml:space="preserve">HB-4101438</t>
  </si>
  <si>
    <t xml:space="preserve">847271897245</t>
  </si>
  <si>
    <t xml:space="preserve">HB-4101771</t>
  </si>
  <si>
    <t xml:space="preserve">827210281511</t>
  </si>
  <si>
    <t xml:space="preserve">HB-4100657</t>
  </si>
  <si>
    <t xml:space="preserve">828824850382</t>
  </si>
  <si>
    <t xml:space="preserve">HB-4103592</t>
  </si>
  <si>
    <t xml:space="preserve">839679967647</t>
  </si>
  <si>
    <t xml:space="preserve">HB-4104192</t>
  </si>
  <si>
    <t xml:space="preserve">809910703873</t>
  </si>
  <si>
    <t xml:space="preserve">HB-4105156</t>
  </si>
  <si>
    <t xml:space="preserve">880512487990</t>
  </si>
  <si>
    <t xml:space="preserve">HB-4104896</t>
  </si>
  <si>
    <t xml:space="preserve">891171714052</t>
  </si>
  <si>
    <t xml:space="preserve">HB-4100316</t>
  </si>
  <si>
    <t xml:space="preserve">894545692950</t>
  </si>
  <si>
    <t xml:space="preserve">HB-4103532</t>
  </si>
  <si>
    <t xml:space="preserve">831886071731</t>
  </si>
  <si>
    <t xml:space="preserve">HB-4101067</t>
  </si>
  <si>
    <t xml:space="preserve">894754153023</t>
  </si>
  <si>
    <t xml:space="preserve">HB-4103644</t>
  </si>
  <si>
    <t xml:space="preserve">813157885370</t>
  </si>
  <si>
    <t xml:space="preserve">HB-4105135</t>
  </si>
  <si>
    <t xml:space="preserve">826437450505</t>
  </si>
  <si>
    <t xml:space="preserve">HB-4102214</t>
  </si>
  <si>
    <t xml:space="preserve">859065719953</t>
  </si>
  <si>
    <t xml:space="preserve">HB-4103887</t>
  </si>
  <si>
    <t xml:space="preserve">806896448439</t>
  </si>
  <si>
    <t xml:space="preserve">HB-4104615</t>
  </si>
  <si>
    <t xml:space="preserve">891951405761</t>
  </si>
  <si>
    <t xml:space="preserve">ITM-700340</t>
  </si>
  <si>
    <t xml:space="preserve">Shadow 5000</t>
  </si>
  <si>
    <t xml:space="preserve">S38656-15</t>
  </si>
  <si>
    <t xml:space="preserve">Saucony Shadow 5000 "Grey/Navy/Cream" Unisex Shoe</t>
  </si>
  <si>
    <t xml:space="preserve">Grey/Navy/Cream</t>
  </si>
  <si>
    <t xml:space="preserve">HB-4101116</t>
  </si>
  <si>
    <t xml:space="preserve">886097148228</t>
  </si>
  <si>
    <t xml:space="preserve">HB-4103318</t>
  </si>
  <si>
    <t xml:space="preserve">801633052940</t>
  </si>
  <si>
    <t xml:space="preserve">HB-4104042</t>
  </si>
  <si>
    <t xml:space="preserve">818474894825</t>
  </si>
  <si>
    <t xml:space="preserve">HB-4102697</t>
  </si>
  <si>
    <t xml:space="preserve">819893327396</t>
  </si>
  <si>
    <t xml:space="preserve">HB-4104088</t>
  </si>
  <si>
    <t xml:space="preserve">848629257426</t>
  </si>
  <si>
    <t xml:space="preserve">HB-4102503</t>
  </si>
  <si>
    <t xml:space="preserve">884431513064</t>
  </si>
  <si>
    <t xml:space="preserve">HB-4101797</t>
  </si>
  <si>
    <t xml:space="preserve">835212244992</t>
  </si>
  <si>
    <t xml:space="preserve">HB-4104803</t>
  </si>
  <si>
    <t xml:space="preserve">846985993360</t>
  </si>
  <si>
    <t xml:space="preserve">HB-4104537</t>
  </si>
  <si>
    <t xml:space="preserve">834592493859</t>
  </si>
  <si>
    <t xml:space="preserve">HB-4100553</t>
  </si>
  <si>
    <t xml:space="preserve">824797658630</t>
  </si>
  <si>
    <t xml:space="preserve">HB-4103827</t>
  </si>
  <si>
    <t xml:space="preserve">870925646558</t>
  </si>
  <si>
    <t xml:space="preserve">HB-4102308</t>
  </si>
  <si>
    <t xml:space="preserve">865128646747</t>
  </si>
  <si>
    <t xml:space="preserve">HB-4101907</t>
  </si>
  <si>
    <t xml:space="preserve">878843971471</t>
  </si>
  <si>
    <t xml:space="preserve">HB-4103191</t>
  </si>
  <si>
    <t xml:space="preserve">869833677761</t>
  </si>
  <si>
    <t xml:space="preserve">HB-4101154</t>
  </si>
  <si>
    <t xml:space="preserve">819574276038</t>
  </si>
  <si>
    <t xml:space="preserve">HB-4100882</t>
  </si>
  <si>
    <t xml:space="preserve">885641473048</t>
  </si>
  <si>
    <t xml:space="preserve">HB-4100623</t>
  </si>
  <si>
    <t xml:space="preserve">816455381119</t>
  </si>
  <si>
    <t xml:space="preserve">HB-4102918</t>
  </si>
  <si>
    <t xml:space="preserve">818944612825</t>
  </si>
  <si>
    <t xml:space="preserve">HB-4100194</t>
  </si>
  <si>
    <t xml:space="preserve">872728997882</t>
  </si>
  <si>
    <t xml:space="preserve">HB-4102879</t>
  </si>
  <si>
    <t xml:space="preserve">840634602993</t>
  </si>
  <si>
    <t xml:space="preserve">HB-4105040</t>
  </si>
  <si>
    <t xml:space="preserve">873525865133</t>
  </si>
  <si>
    <t xml:space="preserve">HB-4103179</t>
  </si>
  <si>
    <t xml:space="preserve">803047340565</t>
  </si>
  <si>
    <t xml:space="preserve">HB-4101343</t>
  </si>
  <si>
    <t xml:space="preserve">886220708243</t>
  </si>
  <si>
    <t xml:space="preserve">HB-4100693</t>
  </si>
  <si>
    <t xml:space="preserve">803940752190</t>
  </si>
  <si>
    <t xml:space="preserve">HB-4101921</t>
  </si>
  <si>
    <t xml:space="preserve">801386083648</t>
  </si>
  <si>
    <t xml:space="preserve">HB-4100345</t>
  </si>
  <si>
    <t xml:space="preserve">888105625560</t>
  </si>
  <si>
    <t xml:space="preserve">HB-4103275</t>
  </si>
  <si>
    <t xml:space="preserve">806552473164</t>
  </si>
  <si>
    <t xml:space="preserve">HB-4104688</t>
  </si>
  <si>
    <t xml:space="preserve">847880790881</t>
  </si>
  <si>
    <t xml:space="preserve">HB-4104930</t>
  </si>
  <si>
    <t xml:space="preserve">896478763499</t>
  </si>
  <si>
    <t xml:space="preserve">HB-4104257</t>
  </si>
  <si>
    <t xml:space="preserve">884901547345</t>
  </si>
  <si>
    <t xml:space="preserve">HB-4100105</t>
  </si>
  <si>
    <t xml:space="preserve">893387012843</t>
  </si>
  <si>
    <t xml:space="preserve">HB-4103220</t>
  </si>
  <si>
    <t xml:space="preserve">881047819437</t>
  </si>
  <si>
    <t xml:space="preserve">HB-4100932</t>
  </si>
  <si>
    <t xml:space="preserve">855543974628</t>
  </si>
  <si>
    <t xml:space="preserve">HB-4101865</t>
  </si>
  <si>
    <t xml:space="preserve">872763203653</t>
  </si>
  <si>
    <t xml:space="preserve">HB-4102115</t>
  </si>
  <si>
    <t xml:space="preserve">857442645003</t>
  </si>
  <si>
    <t xml:space="preserve">HB-4102751</t>
  </si>
  <si>
    <t xml:space="preserve">828610217203</t>
  </si>
  <si>
    <t xml:space="preserve">HB-4101809</t>
  </si>
  <si>
    <t xml:space="preserve">860825543385</t>
  </si>
  <si>
    <t xml:space="preserve">HB-4103515</t>
  </si>
  <si>
    <t xml:space="preserve">804522100838</t>
  </si>
  <si>
    <t xml:space="preserve">HB-4101504</t>
  </si>
  <si>
    <t xml:space="preserve">881802405568</t>
  </si>
  <si>
    <t xml:space="preserve">HB-4102365</t>
  </si>
  <si>
    <t xml:space="preserve">830472746749</t>
  </si>
  <si>
    <t xml:space="preserve">HB-4100675</t>
  </si>
  <si>
    <t xml:space="preserve">877665049590</t>
  </si>
  <si>
    <t xml:space="preserve">HB-4100635</t>
  </si>
  <si>
    <t xml:space="preserve">897123475658</t>
  </si>
  <si>
    <t xml:space="preserve">HB-4104356</t>
  </si>
  <si>
    <t xml:space="preserve">828482212075</t>
  </si>
  <si>
    <t xml:space="preserve">HB-4104871</t>
  </si>
  <si>
    <t xml:space="preserve">826276563150</t>
  </si>
  <si>
    <t xml:space="preserve">HB-4100129</t>
  </si>
  <si>
    <t xml:space="preserve">823318905107</t>
  </si>
  <si>
    <t xml:space="preserve">HB-4104663</t>
  </si>
  <si>
    <t xml:space="preserve">830146263297</t>
  </si>
  <si>
    <t xml:space="preserve">HB-4101574</t>
  </si>
  <si>
    <t xml:space="preserve">875089612587</t>
  </si>
  <si>
    <t xml:space="preserve">HB-4100592</t>
  </si>
  <si>
    <t xml:space="preserve">814507590257</t>
  </si>
  <si>
    <t xml:space="preserve">HB-4103009</t>
  </si>
  <si>
    <t xml:space="preserve">846892088896</t>
  </si>
  <si>
    <t xml:space="preserve">HB-4104028</t>
  </si>
  <si>
    <t xml:space="preserve">838703968260</t>
  </si>
  <si>
    <t xml:space="preserve">HB-4104292</t>
  </si>
  <si>
    <t xml:space="preserve">896826526176</t>
  </si>
  <si>
    <t xml:space="preserve">HB-4100585</t>
  </si>
  <si>
    <t xml:space="preserve">825075868021</t>
  </si>
  <si>
    <t xml:space="preserve">HB-4100632</t>
  </si>
  <si>
    <t xml:space="preserve">815318944740</t>
  </si>
  <si>
    <t xml:space="preserve">HB-4103357</t>
  </si>
  <si>
    <t xml:space="preserve">850344252826</t>
  </si>
  <si>
    <t xml:space="preserve">HB-4100832</t>
  </si>
  <si>
    <t xml:space="preserve">823063960615</t>
  </si>
  <si>
    <t xml:space="preserve">HB-4100767</t>
  </si>
  <si>
    <t xml:space="preserve">833254015053</t>
  </si>
  <si>
    <t xml:space="preserve">HB-4101039</t>
  </si>
  <si>
    <t xml:space="preserve">874279026488</t>
  </si>
  <si>
    <t xml:space="preserve">HB-4102038</t>
  </si>
  <si>
    <t xml:space="preserve">857247881578</t>
  </si>
  <si>
    <t xml:space="preserve">HB-4101163</t>
  </si>
  <si>
    <t xml:space="preserve">875479210247</t>
  </si>
  <si>
    <t xml:space="preserve">HB-4101523</t>
  </si>
  <si>
    <t xml:space="preserve">857708322031</t>
  </si>
  <si>
    <t xml:space="preserve">HB-4102080</t>
  </si>
  <si>
    <t xml:space="preserve">813631265738</t>
  </si>
  <si>
    <t xml:space="preserve">HB-4101939</t>
  </si>
  <si>
    <t xml:space="preserve">872298664840</t>
  </si>
  <si>
    <t xml:space="preserve">HB-4103482</t>
  </si>
  <si>
    <t xml:space="preserve">813159746309</t>
  </si>
  <si>
    <t xml:space="preserve">HB-4102965</t>
  </si>
  <si>
    <t xml:space="preserve">831596179427</t>
  </si>
  <si>
    <t xml:space="preserve">HB-4104054</t>
  </si>
  <si>
    <t xml:space="preserve">855904345660</t>
  </si>
  <si>
    <t xml:space="preserve">HB-4103344</t>
  </si>
  <si>
    <t xml:space="preserve">853304574831</t>
  </si>
  <si>
    <t xml:space="preserve">HB-4104908</t>
  </si>
  <si>
    <t xml:space="preserve">825798156244</t>
  </si>
  <si>
    <t xml:space="preserve">HB-4105186</t>
  </si>
  <si>
    <t xml:space="preserve">846271577115</t>
  </si>
  <si>
    <t xml:space="preserve">HB-4103915</t>
  </si>
  <si>
    <t xml:space="preserve">828400586913</t>
  </si>
  <si>
    <t xml:space="preserve">HB-4102280</t>
  </si>
  <si>
    <t xml:space="preserve">835362031294</t>
  </si>
  <si>
    <t xml:space="preserve">HB-4100733</t>
  </si>
  <si>
    <t xml:space="preserve">876211963338</t>
  </si>
  <si>
    <t xml:space="preserve">HB-4104650</t>
  </si>
  <si>
    <t xml:space="preserve">868782584675</t>
  </si>
  <si>
    <t xml:space="preserve">HB-4105229</t>
  </si>
  <si>
    <t xml:space="preserve">893676387746</t>
  </si>
  <si>
    <t xml:space="preserve">HB-4103958</t>
  </si>
  <si>
    <t xml:space="preserve">834888017546</t>
  </si>
  <si>
    <t xml:space="preserve">HB-4104019</t>
  </si>
  <si>
    <t xml:space="preserve">867118254008</t>
  </si>
  <si>
    <t xml:space="preserve">HB-4102458</t>
  </si>
  <si>
    <t xml:space="preserve">897108191447</t>
  </si>
  <si>
    <t xml:space="preserve">HB-4104231</t>
  </si>
  <si>
    <t xml:space="preserve">890961395515</t>
  </si>
  <si>
    <t xml:space="preserve">HB-4102506</t>
  </si>
  <si>
    <t xml:space="preserve">830582496374</t>
  </si>
  <si>
    <t xml:space="preserve">HB-4101846</t>
  </si>
  <si>
    <t xml:space="preserve">892300319349</t>
  </si>
  <si>
    <t xml:space="preserve">HB-4101274</t>
  </si>
  <si>
    <t xml:space="preserve">892544492400</t>
  </si>
  <si>
    <t xml:space="preserve">HB-4104603</t>
  </si>
  <si>
    <t xml:space="preserve">880874148712</t>
  </si>
  <si>
    <t xml:space="preserve">HB-4104510</t>
  </si>
  <si>
    <t xml:space="preserve">865412536276</t>
  </si>
  <si>
    <t xml:space="preserve">HB-4103632</t>
  </si>
  <si>
    <t xml:space="preserve">836818497967</t>
  </si>
  <si>
    <t xml:space="preserve">HB-4100149</t>
  </si>
  <si>
    <t xml:space="preserve">837967276595</t>
  </si>
  <si>
    <t xml:space="preserve">HB-4103159</t>
  </si>
  <si>
    <t xml:space="preserve">866919445570</t>
  </si>
  <si>
    <t xml:space="preserve">HB-4105526</t>
  </si>
  <si>
    <t xml:space="preserve">814187631987</t>
  </si>
  <si>
    <t xml:space="preserve">HB-4100797</t>
  </si>
  <si>
    <t xml:space="preserve">815049747045</t>
  </si>
  <si>
    <t xml:space="preserve">HB-4104069</t>
  </si>
  <si>
    <t xml:space="preserve">811895179780</t>
  </si>
  <si>
    <t xml:space="preserve">HB-4103986</t>
  </si>
  <si>
    <t xml:space="preserve">896127507987</t>
  </si>
  <si>
    <t xml:space="preserve">HB-4103373</t>
  </si>
  <si>
    <t xml:space="preserve">845380016525</t>
  </si>
  <si>
    <t xml:space="preserve">HB-4100719</t>
  </si>
  <si>
    <t xml:space="preserve">825412850349</t>
  </si>
  <si>
    <t xml:space="preserve">HB-4102408</t>
  </si>
  <si>
    <t xml:space="preserve">806934489974</t>
  </si>
  <si>
    <t xml:space="preserve">HB-4104619</t>
  </si>
  <si>
    <t xml:space="preserve">865948106934</t>
  </si>
  <si>
    <t xml:space="preserve">HB-4104788</t>
  </si>
  <si>
    <t xml:space="preserve">896446538152</t>
  </si>
  <si>
    <t xml:space="preserve">HB-4100159</t>
  </si>
  <si>
    <t xml:space="preserve">877676342481</t>
  </si>
  <si>
    <t xml:space="preserve">HB-4102661</t>
  </si>
  <si>
    <t xml:space="preserve">857854648600</t>
  </si>
  <si>
    <t xml:space="preserve">HB-4102397</t>
  </si>
  <si>
    <t xml:space="preserve">862410431259</t>
  </si>
  <si>
    <t xml:space="preserve">HB-4101230</t>
  </si>
  <si>
    <t xml:space="preserve">894671872894</t>
  </si>
  <si>
    <t xml:space="preserve">HB-4101678</t>
  </si>
  <si>
    <t xml:space="preserve">881295909069</t>
  </si>
  <si>
    <t xml:space="preserve">HB-4100472</t>
  </si>
  <si>
    <t xml:space="preserve">858384065454</t>
  </si>
  <si>
    <t xml:space="preserve">HB-4105422</t>
  </si>
  <si>
    <t xml:space="preserve">834569887609</t>
  </si>
  <si>
    <t xml:space="preserve">HB-4100261</t>
  </si>
  <si>
    <t xml:space="preserve">887610013003</t>
  </si>
  <si>
    <t xml:space="preserve">HB-4103691</t>
  </si>
  <si>
    <t xml:space="preserve">822828644599</t>
  </si>
  <si>
    <t xml:space="preserve">HB-4105746</t>
  </si>
  <si>
    <t xml:space="preserve">838528238573</t>
  </si>
  <si>
    <t xml:space="preserve">HB-4104656</t>
  </si>
  <si>
    <t xml:space="preserve">881371231203</t>
  </si>
  <si>
    <t xml:space="preserve">HB-4102937</t>
  </si>
  <si>
    <t xml:space="preserve">805093434387</t>
  </si>
  <si>
    <t xml:space="preserve">HB-4103604</t>
  </si>
  <si>
    <t xml:space="preserve">828095113448</t>
  </si>
  <si>
    <t xml:space="preserve">HB-4104032</t>
  </si>
  <si>
    <t xml:space="preserve">896827673126</t>
  </si>
  <si>
    <t xml:space="preserve">HB-4103468</t>
  </si>
  <si>
    <t xml:space="preserve">887354413481</t>
  </si>
  <si>
    <t xml:space="preserve">HB-4103710</t>
  </si>
  <si>
    <t xml:space="preserve">880261488044</t>
  </si>
  <si>
    <t xml:space="preserve">HB-4101195</t>
  </si>
  <si>
    <t xml:space="preserve">851309862868</t>
  </si>
  <si>
    <t xml:space="preserve">HB-4100402</t>
  </si>
  <si>
    <t xml:space="preserve">847583776279</t>
  </si>
  <si>
    <t xml:space="preserve">HB-4102179</t>
  </si>
  <si>
    <t xml:space="preserve">838047948705</t>
  </si>
  <si>
    <t xml:space="preserve">HB-4102520</t>
  </si>
  <si>
    <t xml:space="preserve">874996353754</t>
  </si>
  <si>
    <t xml:space="preserve">HB-4102900</t>
  </si>
  <si>
    <t xml:space="preserve">847822561699</t>
  </si>
  <si>
    <t xml:space="preserve">HB-4104137</t>
  </si>
  <si>
    <t xml:space="preserve">812161567843</t>
  </si>
  <si>
    <t xml:space="preserve">HB-4102490</t>
  </si>
  <si>
    <t xml:space="preserve">853920084506</t>
  </si>
  <si>
    <t xml:space="preserve">HB-4104445</t>
  </si>
  <si>
    <t xml:space="preserve">879649178295</t>
  </si>
  <si>
    <t xml:space="preserve">On Hand - Store 0146</t>
  </si>
  <si>
    <t xml:space="preserve">Sales Floor Units</t>
  </si>
  <si>
    <t xml:space="preserve">Back Room Units</t>
  </si>
  <si>
    <t xml:space="preserve">Stock Status</t>
  </si>
  <si>
    <t xml:space="preserve">Zone</t>
  </si>
  <si>
    <t xml:space="preserve">Zone Description</t>
  </si>
  <si>
    <t xml:space="preserve">Bay</t>
  </si>
  <si>
    <t xml:space="preserve">Shelf Level</t>
  </si>
  <si>
    <t xml:space="preserve">Bin</t>
  </si>
  <si>
    <t xml:space="preserve">Location ID</t>
  </si>
  <si>
    <t xml:space="preserve">Shelf Label</t>
  </si>
  <si>
    <t xml:space="preserve">Shelf Height / Reach</t>
  </si>
  <si>
    <t xml:space="preserve">Overstock Location</t>
  </si>
  <si>
    <t xml:space="preserve">Pick Sequence</t>
  </si>
  <si>
    <t xml:space="preserve">Last Counted</t>
  </si>
  <si>
    <t xml:space="preserve">Suggested Agent Response</t>
  </si>
  <si>
    <t xml:space="preserve">A</t>
  </si>
  <si>
    <t xml:space="preserve">Men's Running &amp; Training</t>
  </si>
  <si>
    <t xml:space="preserve">Floor level - no reach</t>
  </si>
  <si>
    <t xml:space="preserve">n/a</t>
  </si>
  <si>
    <t xml:space="preserve">Waist height</t>
  </si>
  <si>
    <t xml:space="preserve">Eye level</t>
  </si>
  <si>
    <t xml:space="preserve">Overhead - step stool</t>
  </si>
  <si>
    <t xml:space="preserve">Top shelf - ladder required</t>
  </si>
  <si>
    <t xml:space="preserve">F-12-4-07</t>
  </si>
  <si>
    <t xml:space="preserve">B</t>
  </si>
  <si>
    <t xml:space="preserve">Men's Basketball, Court &amp; Team Sport</t>
  </si>
  <si>
    <t xml:space="preserve">C</t>
  </si>
  <si>
    <t xml:space="preserve">Women's Athletic &amp; Lifestyle</t>
  </si>
  <si>
    <t xml:space="preserve">F-12-4-04</t>
  </si>
  <si>
    <t xml:space="preserve">F-14-2-12</t>
  </si>
  <si>
    <t xml:space="preserve">F-13-1-02</t>
  </si>
  <si>
    <t xml:space="preserve">D</t>
  </si>
  <si>
    <t xml:space="preserve">Kids' &amp; Youth</t>
  </si>
  <si>
    <t xml:space="preserve">F-14-3-02</t>
  </si>
  <si>
    <t xml:space="preserve">F-14-5-10</t>
  </si>
  <si>
    <t xml:space="preserve">E</t>
  </si>
  <si>
    <t xml:space="preserve">Men's &amp; Unisex Casual / Lifestyle</t>
  </si>
  <si>
    <t xml:space="preserve">F-14-3-12</t>
  </si>
  <si>
    <t xml:space="preserve">F-14-3-09</t>
  </si>
  <si>
    <t xml:space="preserve">F-15-3-03</t>
  </si>
  <si>
    <t xml:space="preserve">F</t>
  </si>
  <si>
    <t xml:space="preserve">Sandals, Slides, Clogs &amp; Boots</t>
  </si>
  <si>
    <t xml:space="preserve">F-13-3-05</t>
  </si>
  <si>
    <t xml:space="preserve">Location ID grammar:  ZONE - BAY - SHELF - BIN   (e.g. C-07-3-04 = Zone C, Bay 07, Shelf 3, Bin 04). Every size of a given style shares one shelf, running left to right in ascending size order, so a whole style can be pulled from a single shelf. Rows are sorted in pick-walk sequence.</t>
  </si>
  <si>
    <t xml:space="preserve">Assortment Tier</t>
  </si>
  <si>
    <t xml:space="preserve">Stores Assorted</t>
  </si>
  <si>
    <t xml:space="preserve">SKUs (Sizes)</t>
  </si>
  <si>
    <t xml:space="preserve">Total Units On Hand</t>
  </si>
  <si>
    <t xml:space="preserve">B (3 of 4 stores)</t>
  </si>
  <si>
    <t xml:space="preserve">D (1 of 4 stores)</t>
  </si>
  <si>
    <t xml:space="preserve">A (4 of 4 stores)</t>
  </si>
  <si>
    <t xml:space="preserve">C (2 of 4 stores)</t>
  </si>
  <si>
    <t xml:space="preserve">Store Summary — Units On Hand</t>
  </si>
  <si>
    <t xml:space="preserve">Live SUMIFS against Inventory Master. Filtering Inventory Master does not change these figures.</t>
  </si>
  <si>
    <t xml:space="preserve">Units On Hand by Brand</t>
  </si>
  <si>
    <t xml:space="preserve">Store 0146</t>
  </si>
  <si>
    <t xml:space="preserve">Store 1382</t>
  </si>
  <si>
    <t xml:space="preserve">Store 2071</t>
  </si>
  <si>
    <t xml:space="preserve">Store 3719</t>
  </si>
  <si>
    <t xml:space="preserve">All Stores</t>
  </si>
  <si>
    <t xml:space="preserve">% of Chain</t>
  </si>
  <si>
    <t xml:space="preserve">Total</t>
  </si>
  <si>
    <t xml:space="preserve">Units On Hand by Category</t>
  </si>
  <si>
    <t xml:space="preserve">Units On Hand by Gender / Size Range</t>
  </si>
</sst>
</file>

<file path=xl/styles.xml><?xml version="1.0" encoding="utf-8"?>
<styleSheet xmlns="http://schemas.openxmlformats.org/spreadsheetml/2006/main">
  <numFmts count="8">
    <numFmt numFmtId="164" formatCode="General"/>
    <numFmt numFmtId="165" formatCode="#,##0"/>
    <numFmt numFmtId="166" formatCode="yyyy\-mm\-dd"/>
    <numFmt numFmtId="167" formatCode="0.00"/>
    <numFmt numFmtId="168" formatCode="\$#,##0.00"/>
    <numFmt numFmtId="169" formatCode="#,##0;\-#,##0;0"/>
    <numFmt numFmtId="170" formatCode="0"/>
    <numFmt numFmtId="171" formatCode="0.0%"/>
  </numFmts>
  <fonts count="12">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i val="true"/>
      <sz val="11"/>
      <color rgb="FF595959"/>
      <name val="Arial"/>
      <family val="0"/>
      <charset val="1"/>
    </font>
    <font>
      <sz val="10"/>
      <name val="Arial"/>
      <family val="0"/>
      <charset val="1"/>
    </font>
    <font>
      <b val="true"/>
      <sz val="12"/>
      <color rgb="FF2E75B6"/>
      <name val="Arial"/>
      <family val="0"/>
      <charset val="1"/>
    </font>
    <font>
      <b val="true"/>
      <sz val="14"/>
      <color rgb="FF1F3864"/>
      <name val="Arial"/>
      <family val="0"/>
      <charset val="1"/>
    </font>
    <font>
      <b val="true"/>
      <sz val="10"/>
      <color rgb="FFFFFFFF"/>
      <name val="Arial"/>
      <family val="0"/>
      <charset val="1"/>
    </font>
    <font>
      <b val="true"/>
      <sz val="10"/>
      <name val="Arial"/>
      <family val="0"/>
      <charset val="1"/>
    </font>
    <font>
      <i val="true"/>
      <sz val="9"/>
      <color rgb="FF595959"/>
      <name val="Arial"/>
      <family val="0"/>
      <charset val="1"/>
    </font>
  </fonts>
  <fills count="6">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548235"/>
        <bgColor rgb="FF339966"/>
      </patternFill>
    </fill>
    <fill>
      <patternFill patternType="solid">
        <fgColor rgb="FF7030A0"/>
        <bgColor rgb="FF993366"/>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medium">
        <color rgb="FF1F3864"/>
      </top>
      <bottom/>
      <diagonal/>
    </border>
    <border diagonalUp="false" diagonalDown="false">
      <left/>
      <right/>
      <top style="medium">
        <color rgb="FF1F3864"/>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1"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7" fontId="6" fillId="0" borderId="1" xfId="0" applyFont="true" applyBorder="true" applyAlignment="true" applyProtection="false">
      <alignment horizontal="center" vertical="bottom" textRotation="0" wrapText="false" indent="0" shrinkToFit="false"/>
      <protection locked="true" hidden="false"/>
    </xf>
    <xf numFmtId="168" fontId="6" fillId="0" borderId="1" xfId="0" applyFont="true" applyBorder="true" applyAlignment="true" applyProtection="false">
      <alignment horizontal="general" vertical="bottom" textRotation="0" wrapText="false" indent="0" shrinkToFit="false"/>
      <protection locked="true" hidden="false"/>
    </xf>
    <xf numFmtId="164" fontId="10" fillId="0" borderId="2" xfId="0" applyFont="true" applyBorder="true" applyAlignment="tru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5" fontId="10" fillId="0" borderId="2" xfId="0" applyFont="true" applyBorder="true" applyAlignment="true" applyProtection="false">
      <alignment horizontal="general" vertical="bottom" textRotation="0" wrapText="false" indent="0" shrinkToFit="false"/>
      <protection locked="true" hidden="false"/>
    </xf>
    <xf numFmtId="168" fontId="10" fillId="0" borderId="2"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8" fontId="6" fillId="0" borderId="0" xfId="0" applyFont="true" applyBorder="false" applyAlignment="true" applyProtection="false">
      <alignment horizontal="general" vertical="bottom" textRotation="0" wrapText="false" indent="0" shrinkToFit="false"/>
      <protection locked="true" hidden="false"/>
    </xf>
    <xf numFmtId="169" fontId="6" fillId="0" borderId="0" xfId="0" applyFont="true" applyBorder="false" applyAlignment="true" applyProtection="false">
      <alignment horizontal="center"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70" fontId="6" fillId="0" borderId="0" xfId="0" applyFont="true" applyBorder="false" applyAlignment="true" applyProtection="false">
      <alignment horizontal="center" vertical="bottom" textRotation="0" wrapText="false" indent="0" shrinkToFit="false"/>
      <protection locked="true" hidden="false"/>
    </xf>
    <xf numFmtId="168" fontId="6" fillId="0" borderId="0" xfId="0" applyFont="true" applyBorder="false" applyAlignment="true" applyProtection="false">
      <alignment horizontal="center" vertical="bottom" textRotation="0" wrapText="false" indent="0" shrinkToFit="false"/>
      <protection locked="true" hidden="false"/>
    </xf>
    <xf numFmtId="166" fontId="6" fillId="0" borderId="0" xfId="0" applyFont="true" applyBorder="false" applyAlignment="true" applyProtection="false">
      <alignment horizontal="center" vertical="bottom" textRotation="0" wrapText="false" indent="0" shrinkToFit="false"/>
      <protection locked="true" hidden="false"/>
    </xf>
    <xf numFmtId="165" fontId="10" fillId="0" borderId="2" xfId="0" applyFont="true" applyBorder="true" applyAlignment="true" applyProtection="false">
      <alignment horizontal="center" vertical="bottom" textRotation="0" wrapText="false" indent="0" shrinkToFit="false"/>
      <protection locked="true" hidden="false"/>
    </xf>
    <xf numFmtId="168" fontId="10" fillId="0" borderId="2" xfId="0" applyFont="true" applyBorder="true" applyAlignment="true" applyProtection="false">
      <alignment horizontal="center" vertical="bottom" textRotation="0" wrapText="fals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0" fillId="0" borderId="2"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general" vertical="bottom" textRotation="0" wrapText="false" indent="0" shrinkToFit="false"/>
      <protection locked="true" hidden="false"/>
    </xf>
    <xf numFmtId="171" fontId="6"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10" fillId="0" borderId="3" xfId="0" applyFont="true" applyBorder="true" applyAlignment="true" applyProtection="false">
      <alignment horizontal="general" vertical="bottom" textRotation="0" wrapText="false" indent="0" shrinkToFit="false"/>
      <protection locked="true" hidden="false"/>
    </xf>
    <xf numFmtId="171" fontId="10" fillId="0" borderId="2"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1">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00000"/>
          <bgColor rgb="FF000000"/>
        </patternFill>
      </fill>
    </dxf>
    <dxf>
      <fill>
        <patternFill patternType="solid">
          <fgColor rgb="FF2E75B6"/>
          <bgColor rgb="FF000000"/>
        </patternFill>
      </fill>
    </dxf>
    <dxf>
      <fill>
        <patternFill patternType="solid">
          <fgColor rgb="FFC6E0B4"/>
          <bgColor rgb="FF000000"/>
        </patternFill>
      </fill>
    </dxf>
    <dxf>
      <fill>
        <patternFill patternType="solid">
          <fgColor rgb="FFD2E4B9"/>
          <bgColor rgb="FF000000"/>
        </patternFill>
      </fill>
    </dxf>
    <dxf>
      <fill>
        <patternFill patternType="solid">
          <fgColor rgb="FFDDE8BE"/>
          <bgColor rgb="FF000000"/>
        </patternFill>
      </fill>
    </dxf>
    <dxf>
      <fill>
        <patternFill patternType="solid">
          <fgColor rgb="FFE9EBC3"/>
          <bgColor rgb="FF000000"/>
        </patternFill>
      </fill>
    </dxf>
    <dxf>
      <fill>
        <patternFill patternType="solid">
          <fgColor rgb="FFF4EFC8"/>
          <bgColor rgb="FF000000"/>
        </patternFill>
      </fill>
    </dxf>
    <dxf>
      <fill>
        <patternFill patternType="solid">
          <fgColor rgb="FFF8CBAD"/>
          <bgColor rgb="FF000000"/>
        </patternFill>
      </fill>
    </dxf>
    <dxf>
      <fill>
        <patternFill patternType="solid">
          <fgColor rgb="FFFAD8B7"/>
          <bgColor rgb="FF000000"/>
        </patternFill>
      </fill>
    </dxf>
    <dxf>
      <fill>
        <patternFill patternType="solid">
          <fgColor rgb="FFFCE5C1"/>
          <bgColor rgb="FF000000"/>
        </patternFill>
      </fill>
    </dxf>
    <dxf>
      <fill>
        <patternFill patternType="solid">
          <fgColor rgb="FFFFF2CC"/>
          <bgColor rgb="FF000000"/>
        </patternFill>
      </fill>
    </dxf>
    <dxf>
      <fill>
        <patternFill patternType="solid">
          <fgColor rgb="FF548235"/>
          <bgColor rgb="FF000000"/>
        </patternFill>
      </fill>
    </dxf>
    <dxf>
      <font>
        <name val="Arial"/>
        <charset val="1"/>
        <family val="0"/>
        <b val="1"/>
        <color rgb="FFC00000"/>
        <sz val="10"/>
      </font>
    </dxf>
    <dxf>
      <fill>
        <patternFill patternType="solid">
          <fgColor rgb="FFFCE4E4"/>
          <bgColor rgb="FF000000"/>
        </patternFill>
      </fill>
    </dxf>
    <dxf>
      <fill>
        <patternFill patternType="solid">
          <fgColor rgb="FF375623"/>
          <bgColor rgb="FF000000"/>
        </patternFill>
      </fill>
    </dxf>
    <dxf>
      <fill>
        <patternFill patternType="solid">
          <fgColor rgb="FF7030A0"/>
          <bgColor rgb="FF000000"/>
        </patternFill>
      </fill>
    </dxf>
    <dxf>
      <font>
        <name val="Arial"/>
        <charset val="1"/>
        <family val="0"/>
        <b val="1"/>
        <color rgb="FFC00000"/>
        <sz val="10"/>
      </font>
      <fill>
        <patternFill>
          <bgColor rgb="FFFCE4E4"/>
        </patternFill>
      </fill>
    </dxf>
    <dxf>
      <font>
        <name val="Arial"/>
        <charset val="1"/>
        <family val="0"/>
        <color rgb="FF375623"/>
        <sz val="1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7030A0"/>
      <rgbColor rgb="FFFCE4E4"/>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8"/>
  </cols>
  <sheetData>
    <row r="1" customFormat="false" ht="21.7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row>
    <row r="4" customFormat="false" ht="15" hidden="false" customHeight="true" outlineLevel="0" collapsed="false">
      <c r="A4" s="5" t="s">
        <v>2</v>
      </c>
    </row>
    <row r="5" customFormat="false" ht="42" hidden="false" customHeight="true" outlineLevel="0" collapsed="false">
      <c r="A5" s="6" t="s">
        <v>3</v>
      </c>
    </row>
    <row r="6" customFormat="false" ht="15" hidden="false" customHeight="true" outlineLevel="0" collapsed="false">
      <c r="A6" s="4"/>
    </row>
    <row r="7" customFormat="false" ht="15" hidden="false" customHeight="true" outlineLevel="0" collapsed="false">
      <c r="A7" s="5" t="s">
        <v>4</v>
      </c>
    </row>
    <row r="8" customFormat="false" ht="27.75" hidden="false" customHeight="true" outlineLevel="0" collapsed="false">
      <c r="A8" s="7" t="s">
        <v>5</v>
      </c>
    </row>
    <row r="9" customFormat="false" ht="27.75" hidden="false" customHeight="true" outlineLevel="0" collapsed="false">
      <c r="A9" s="7" t="s">
        <v>6</v>
      </c>
    </row>
    <row r="10" customFormat="false" ht="13.5" hidden="false" customHeight="true" outlineLevel="0" collapsed="false">
      <c r="A10" s="7" t="s">
        <v>7</v>
      </c>
    </row>
    <row r="11" customFormat="false" ht="13.5" hidden="false" customHeight="true" outlineLevel="0" collapsed="false">
      <c r="A11" s="7" t="s">
        <v>8</v>
      </c>
    </row>
    <row r="12" customFormat="false" ht="15" hidden="false" customHeight="true" outlineLevel="0" collapsed="false">
      <c r="A12" s="4"/>
    </row>
    <row r="13" customFormat="false" ht="15" hidden="false" customHeight="true" outlineLevel="0" collapsed="false">
      <c r="A13" s="5" t="s">
        <v>9</v>
      </c>
    </row>
    <row r="14" customFormat="false" ht="13.5" hidden="false" customHeight="true" outlineLevel="0" collapsed="false">
      <c r="A14" s="7" t="s">
        <v>10</v>
      </c>
    </row>
    <row r="15" customFormat="false" ht="13.5" hidden="false" customHeight="true" outlineLevel="0" collapsed="false">
      <c r="A15" s="7" t="s">
        <v>11</v>
      </c>
    </row>
    <row r="16" customFormat="false" ht="27.75" hidden="false" customHeight="true" outlineLevel="0" collapsed="false">
      <c r="A16" s="7" t="s">
        <v>12</v>
      </c>
    </row>
    <row r="17" customFormat="false" ht="15" hidden="false" customHeight="true" outlineLevel="0" collapsed="false">
      <c r="A17" s="4"/>
    </row>
    <row r="18" customFormat="false" ht="15" hidden="false" customHeight="true" outlineLevel="0" collapsed="false">
      <c r="A18" s="5" t="s">
        <v>13</v>
      </c>
    </row>
    <row r="19" customFormat="false" ht="27.75" hidden="false" customHeight="true" outlineLevel="0" collapsed="false">
      <c r="A19" s="7" t="s">
        <v>14</v>
      </c>
    </row>
    <row r="20" customFormat="false" ht="13.5" hidden="false" customHeight="true" outlineLevel="0" collapsed="false">
      <c r="A20" s="7" t="s">
        <v>15</v>
      </c>
    </row>
    <row r="21" customFormat="false" ht="27.75" hidden="false" customHeight="true" outlineLevel="0" collapsed="false">
      <c r="A21" s="7" t="s">
        <v>16</v>
      </c>
    </row>
    <row r="22" customFormat="false" ht="27.75" hidden="false" customHeight="true" outlineLevel="0" collapsed="false">
      <c r="A22" s="7" t="s">
        <v>17</v>
      </c>
    </row>
    <row r="23" customFormat="false" ht="27.75" hidden="false" customHeight="true" outlineLevel="0" collapsed="false">
      <c r="A23" s="7" t="s">
        <v>18</v>
      </c>
    </row>
    <row r="24" customFormat="false" ht="13.5" hidden="false" customHeight="true" outlineLevel="0" collapsed="false">
      <c r="A24" s="7" t="s">
        <v>19</v>
      </c>
    </row>
    <row r="25" customFormat="false" ht="13.5" hidden="false" customHeight="true" outlineLevel="0" collapsed="false">
      <c r="A25" s="7" t="s">
        <v>20</v>
      </c>
    </row>
    <row r="26" customFormat="false" ht="15" hidden="false" customHeight="true" outlineLevel="0" collapsed="false">
      <c r="A26" s="4"/>
    </row>
    <row r="27" customFormat="false" ht="15" hidden="false" customHeight="true" outlineLevel="0" collapsed="false">
      <c r="A27" s="5" t="s">
        <v>21</v>
      </c>
    </row>
    <row r="28" customFormat="false" ht="13.5" hidden="false" customHeight="true" outlineLevel="0" collapsed="false">
      <c r="A28" s="7" t="s">
        <v>22</v>
      </c>
    </row>
    <row r="29" customFormat="false" ht="27.75" hidden="false" customHeight="true" outlineLevel="0" collapsed="false">
      <c r="A29" s="7" t="s">
        <v>23</v>
      </c>
    </row>
    <row r="30" customFormat="false" ht="15" hidden="false" customHeight="true" outlineLevel="0" collapsed="false">
      <c r="A30" s="4"/>
    </row>
    <row r="31" customFormat="false" ht="15" hidden="false" customHeight="true" outlineLevel="0" collapsed="false">
      <c r="A31" s="5" t="s">
        <v>24</v>
      </c>
    </row>
    <row r="32" customFormat="false" ht="27.75" hidden="false" customHeight="true" outlineLevel="0" collapsed="false">
      <c r="A32" s="7" t="s">
        <v>25</v>
      </c>
    </row>
    <row r="34" customFormat="false" ht="15" hidden="false" customHeight="false" outlineLevel="0" collapsed="false">
      <c r="A34" s="8" t="s">
        <v>26</v>
      </c>
    </row>
    <row r="35" customFormat="false" ht="27.75" hidden="false" customHeight="true" outlineLevel="0" collapsed="false">
      <c r="A35" s="7" t="s">
        <v>27</v>
      </c>
    </row>
    <row r="36" customFormat="false" ht="27.75" hidden="false" customHeight="true" outlineLevel="0" collapsed="false">
      <c r="A36" s="7" t="s">
        <v>28</v>
      </c>
    </row>
    <row r="37" customFormat="false" ht="27.75" hidden="false" customHeight="true" outlineLevel="0" collapsed="false">
      <c r="A37" s="7" t="s">
        <v>29</v>
      </c>
    </row>
    <row r="38" customFormat="false" ht="27.75" hidden="false" customHeight="true" outlineLevel="0" collapsed="false">
      <c r="A38" s="7" t="s">
        <v>30</v>
      </c>
    </row>
    <row r="39" customFormat="false" ht="27.75" hidden="false" customHeight="true" outlineLevel="0" collapsed="false">
      <c r="A39" s="7" t="s">
        <v>31</v>
      </c>
    </row>
    <row r="40" customFormat="false" ht="27.75" hidden="false" customHeight="true" outlineLevel="0" collapsed="false">
      <c r="A40" s="7" t="s">
        <v>32</v>
      </c>
    </row>
    <row r="41" customFormat="false" ht="27.75" hidden="false" customHeight="true" outlineLevel="0" collapsed="false">
      <c r="A41" s="7" t="s">
        <v>33</v>
      </c>
    </row>
    <row r="42" customFormat="false" ht="27.75" hidden="false" customHeight="true" outlineLevel="0" collapsed="false">
      <c r="A42" s="7" t="s">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6"/>
    <col collapsed="false" customWidth="true" hidden="false" outlineLevel="0" max="3" min="3" style="1" width="15"/>
    <col collapsed="false" customWidth="true" hidden="false" outlineLevel="0" max="4" min="4" style="1" width="8"/>
    <col collapsed="false" customWidth="true" hidden="false" outlineLevel="0" max="5" min="5" style="1" width="22"/>
    <col collapsed="false" customWidth="true" hidden="false" outlineLevel="0" max="6" min="6" style="1" width="16"/>
    <col collapsed="false" customWidth="true" hidden="false" outlineLevel="0" max="9" min="7" style="1" width="13"/>
    <col collapsed="false" customWidth="true" hidden="false" outlineLevel="0" max="10" min="10" style="1" width="22"/>
    <col collapsed="false" customWidth="true" hidden="false" outlineLevel="0" max="12" min="11" style="1" width="14"/>
    <col collapsed="false" customWidth="true" hidden="false" outlineLevel="0" max="13" min="13" style="1" width="20"/>
  </cols>
  <sheetData>
    <row r="1" customFormat="false" ht="17.25" hidden="false" customHeight="true" outlineLevel="0" collapsed="false">
      <c r="A1" s="9" t="s">
        <v>35</v>
      </c>
    </row>
    <row r="3" customFormat="false" ht="30" hidden="false" customHeight="true" outlineLevel="0" collapsed="false">
      <c r="A3" s="10" t="s">
        <v>36</v>
      </c>
      <c r="B3" s="10" t="s">
        <v>37</v>
      </c>
      <c r="C3" s="10" t="s">
        <v>38</v>
      </c>
      <c r="D3" s="10" t="s">
        <v>39</v>
      </c>
      <c r="E3" s="10" t="s">
        <v>40</v>
      </c>
      <c r="F3" s="10" t="s">
        <v>41</v>
      </c>
      <c r="G3" s="10" t="s">
        <v>42</v>
      </c>
      <c r="H3" s="10" t="s">
        <v>43</v>
      </c>
      <c r="I3" s="10" t="s">
        <v>44</v>
      </c>
      <c r="J3" s="10" t="s">
        <v>45</v>
      </c>
      <c r="K3" s="10" t="s">
        <v>46</v>
      </c>
      <c r="L3" s="10" t="s">
        <v>47</v>
      </c>
      <c r="M3" s="10" t="s">
        <v>48</v>
      </c>
    </row>
    <row r="4" customFormat="false" ht="15" hidden="false" customHeight="true" outlineLevel="0" collapsed="false">
      <c r="A4" s="11" t="s">
        <v>49</v>
      </c>
      <c r="B4" s="12" t="s">
        <v>50</v>
      </c>
      <c r="C4" s="12" t="s">
        <v>51</v>
      </c>
      <c r="D4" s="12" t="s">
        <v>52</v>
      </c>
      <c r="E4" s="12" t="s">
        <v>53</v>
      </c>
      <c r="F4" s="12" t="s">
        <v>54</v>
      </c>
      <c r="G4" s="13" t="n">
        <v>5200</v>
      </c>
      <c r="H4" s="14" t="n">
        <v>40620</v>
      </c>
      <c r="I4" s="15" t="n">
        <v>1</v>
      </c>
      <c r="J4" s="12" t="s">
        <v>55</v>
      </c>
      <c r="K4" s="13" t="n">
        <f aca="false">COUNT('Inventory Master'!$T$2:$T$525)</f>
        <v>443</v>
      </c>
      <c r="L4" s="13" t="n">
        <f aca="false">SUM('Inventory Master'!$T$2:$T$525)</f>
        <v>1152</v>
      </c>
      <c r="M4" s="16" t="n">
        <f aca="false">SUMPRODUCT('Inventory Master'!$R$2:$R$525,'Inventory Master'!$T$2:$T$525)</f>
        <v>128139.48</v>
      </c>
    </row>
    <row r="5" customFormat="false" ht="15" hidden="false" customHeight="true" outlineLevel="0" collapsed="false">
      <c r="A5" s="11" t="s">
        <v>56</v>
      </c>
      <c r="B5" s="12" t="s">
        <v>57</v>
      </c>
      <c r="C5" s="12" t="s">
        <v>58</v>
      </c>
      <c r="D5" s="12" t="s">
        <v>59</v>
      </c>
      <c r="E5" s="12" t="s">
        <v>60</v>
      </c>
      <c r="F5" s="12" t="s">
        <v>54</v>
      </c>
      <c r="G5" s="13" t="n">
        <v>4400</v>
      </c>
      <c r="H5" s="14" t="n">
        <v>41853</v>
      </c>
      <c r="I5" s="15" t="n">
        <v>0.7</v>
      </c>
      <c r="J5" s="12" t="s">
        <v>61</v>
      </c>
      <c r="K5" s="13" t="n">
        <f aca="false">COUNT('Inventory Master'!$U$2:$U$525)</f>
        <v>342</v>
      </c>
      <c r="L5" s="13" t="n">
        <f aca="false">SUM('Inventory Master'!$U$2:$U$525)</f>
        <v>663</v>
      </c>
      <c r="M5" s="16" t="n">
        <f aca="false">SUMPRODUCT('Inventory Master'!$R$2:$R$525,'Inventory Master'!$U$2:$U$525)</f>
        <v>75894.37</v>
      </c>
    </row>
    <row r="6" customFormat="false" ht="15" hidden="false" customHeight="true" outlineLevel="0" collapsed="false">
      <c r="A6" s="11" t="s">
        <v>62</v>
      </c>
      <c r="B6" s="12" t="s">
        <v>63</v>
      </c>
      <c r="C6" s="12" t="s">
        <v>64</v>
      </c>
      <c r="D6" s="12" t="s">
        <v>65</v>
      </c>
      <c r="E6" s="12" t="s">
        <v>66</v>
      </c>
      <c r="F6" s="12" t="s">
        <v>67</v>
      </c>
      <c r="G6" s="13" t="n">
        <v>6800</v>
      </c>
      <c r="H6" s="14" t="n">
        <v>40110</v>
      </c>
      <c r="I6" s="15" t="n">
        <v>1.35</v>
      </c>
      <c r="J6" s="12" t="s">
        <v>68</v>
      </c>
      <c r="K6" s="13" t="n">
        <f aca="false">COUNT('Inventory Master'!$V$2:$V$525)</f>
        <v>514</v>
      </c>
      <c r="L6" s="13" t="n">
        <f aca="false">SUM('Inventory Master'!$V$2:$V$525)</f>
        <v>1831</v>
      </c>
      <c r="M6" s="16" t="n">
        <f aca="false">SUMPRODUCT('Inventory Master'!$R$2:$R$525,'Inventory Master'!$V$2:$V$525)</f>
        <v>202513.69</v>
      </c>
    </row>
    <row r="7" customFormat="false" ht="15" hidden="false" customHeight="true" outlineLevel="0" collapsed="false">
      <c r="A7" s="11" t="s">
        <v>69</v>
      </c>
      <c r="B7" s="12" t="s">
        <v>70</v>
      </c>
      <c r="C7" s="12" t="s">
        <v>71</v>
      </c>
      <c r="D7" s="12" t="s">
        <v>72</v>
      </c>
      <c r="E7" s="12" t="s">
        <v>73</v>
      </c>
      <c r="F7" s="12" t="s">
        <v>54</v>
      </c>
      <c r="G7" s="13" t="n">
        <v>3900</v>
      </c>
      <c r="H7" s="14" t="n">
        <v>43231</v>
      </c>
      <c r="I7" s="15" t="n">
        <v>0.55</v>
      </c>
      <c r="J7" s="12" t="s">
        <v>74</v>
      </c>
      <c r="K7" s="13" t="n">
        <f aca="false">COUNT('Inventory Master'!$W$2:$W$525)</f>
        <v>248</v>
      </c>
      <c r="L7" s="13" t="n">
        <f aca="false">SUM('Inventory Master'!$W$2:$W$525)</f>
        <v>375</v>
      </c>
      <c r="M7" s="16" t="n">
        <f aca="false">SUMPRODUCT('Inventory Master'!$R$2:$R$525,'Inventory Master'!$W$2:$W$525)</f>
        <v>39906.25</v>
      </c>
    </row>
    <row r="8" customFormat="false" ht="15" hidden="false" customHeight="true" outlineLevel="0" collapsed="false">
      <c r="A8" s="17" t="s">
        <v>75</v>
      </c>
      <c r="B8" s="18"/>
      <c r="C8" s="18"/>
      <c r="D8" s="18"/>
      <c r="E8" s="18"/>
      <c r="F8" s="18"/>
      <c r="G8" s="18"/>
      <c r="H8" s="18"/>
      <c r="I8" s="18"/>
      <c r="J8" s="18"/>
      <c r="K8" s="19" t="n">
        <f aca="false">SUM(K4:K7)</f>
        <v>1547</v>
      </c>
      <c r="L8" s="19" t="n">
        <f aca="false">SUM(L4:L7)</f>
        <v>4021</v>
      </c>
      <c r="M8" s="20" t="n">
        <f aca="false">SUM(M4:M7)</f>
        <v>446453.79</v>
      </c>
    </row>
    <row r="10" customFormat="false" ht="15" hidden="false" customHeight="true" outlineLevel="0" collapsed="false">
      <c r="A10" s="21" t="s">
        <v>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5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15"/>
    <col collapsed="false" customWidth="true" hidden="false" outlineLevel="0" max="3" min="3" style="1" width="13"/>
    <col collapsed="false" customWidth="true" hidden="false" outlineLevel="0" max="4" min="4" style="1" width="24"/>
    <col collapsed="false" customWidth="true" hidden="false" outlineLevel="0" max="5" min="5" style="1" width="17"/>
    <col collapsed="false" customWidth="true" hidden="false" outlineLevel="0" max="6" min="6" style="1" width="30"/>
    <col collapsed="false" customWidth="true" hidden="false" outlineLevel="0" max="7" min="7" style="1" width="15"/>
    <col collapsed="false" customWidth="true" hidden="false" outlineLevel="0" max="8" min="8" style="1" width="52"/>
    <col collapsed="false" customWidth="true" hidden="false" outlineLevel="0" max="9" min="9" style="1" width="12"/>
    <col collapsed="false" customWidth="true" hidden="false" outlineLevel="0" max="10" min="10" style="1" width="22"/>
    <col collapsed="false" customWidth="true" hidden="false" outlineLevel="0" max="11" min="11" style="1" width="12"/>
    <col collapsed="false" customWidth="true" hidden="false" outlineLevel="0" max="12" min="12" style="1" width="30"/>
    <col collapsed="false" customWidth="true" hidden="false" outlineLevel="0" max="13" min="13" style="1" width="8"/>
    <col collapsed="false" customWidth="true" hidden="false" outlineLevel="0" max="14" min="14" style="1" width="13"/>
    <col collapsed="false" customWidth="true" hidden="false" outlineLevel="0" max="15" min="15" style="1" width="9"/>
    <col collapsed="false" customWidth="true" hidden="false" outlineLevel="0" max="16" min="16" style="1" width="15"/>
    <col collapsed="false" customWidth="true" hidden="false" outlineLevel="0" max="17" min="17" style="1" width="11"/>
    <col collapsed="false" customWidth="true" hidden="false" outlineLevel="0" max="18" min="18" style="1" width="13"/>
    <col collapsed="false" customWidth="true" hidden="false" outlineLevel="0" max="19" min="19" style="1" width="11"/>
    <col collapsed="false" customWidth="true" hidden="false" outlineLevel="0" max="23" min="20" style="1" width="15"/>
    <col collapsed="false" customWidth="true" hidden="false" outlineLevel="0" max="25" min="24" style="1" width="13"/>
    <col collapsed="false" customWidth="true" hidden="false" outlineLevel="0" max="26" min="26" style="1" width="17"/>
    <col collapsed="false" customWidth="true" hidden="false" outlineLevel="0" max="27" min="27" style="1" width="14"/>
  </cols>
  <sheetData>
    <row r="1" customFormat="false" ht="31.5" hidden="false" customHeight="true" outlineLevel="0" collapsed="false">
      <c r="A1" s="10" t="s">
        <v>77</v>
      </c>
      <c r="B1" s="10" t="s">
        <v>78</v>
      </c>
      <c r="C1" s="10" t="s">
        <v>79</v>
      </c>
      <c r="D1" s="10" t="s">
        <v>80</v>
      </c>
      <c r="E1" s="10" t="s">
        <v>81</v>
      </c>
      <c r="F1" s="10" t="s">
        <v>82</v>
      </c>
      <c r="G1" s="10" t="s">
        <v>83</v>
      </c>
      <c r="H1" s="10" t="s">
        <v>84</v>
      </c>
      <c r="I1" s="10" t="s">
        <v>85</v>
      </c>
      <c r="J1" s="10" t="s">
        <v>86</v>
      </c>
      <c r="K1" s="10" t="s">
        <v>87</v>
      </c>
      <c r="L1" s="10" t="s">
        <v>88</v>
      </c>
      <c r="M1" s="10" t="s">
        <v>89</v>
      </c>
      <c r="N1" s="10" t="s">
        <v>90</v>
      </c>
      <c r="O1" s="10" t="s">
        <v>91</v>
      </c>
      <c r="P1" s="10" t="s">
        <v>92</v>
      </c>
      <c r="Q1" s="10" t="s">
        <v>93</v>
      </c>
      <c r="R1" s="10" t="s">
        <v>94</v>
      </c>
      <c r="S1" s="10" t="s">
        <v>95</v>
      </c>
      <c r="T1" s="22" t="s">
        <v>96</v>
      </c>
      <c r="U1" s="22" t="s">
        <v>97</v>
      </c>
      <c r="V1" s="22" t="s">
        <v>98</v>
      </c>
      <c r="W1" s="22" t="s">
        <v>99</v>
      </c>
      <c r="X1" s="23" t="s">
        <v>100</v>
      </c>
      <c r="Y1" s="23" t="s">
        <v>101</v>
      </c>
      <c r="Z1" s="23" t="s">
        <v>48</v>
      </c>
      <c r="AA1" s="23" t="s">
        <v>102</v>
      </c>
    </row>
    <row r="2" customFormat="false" ht="15" hidden="false" customHeight="true" outlineLevel="0" collapsed="false">
      <c r="A2" s="4" t="s">
        <v>103</v>
      </c>
      <c r="B2" s="4" t="s">
        <v>104</v>
      </c>
      <c r="C2" s="4" t="s">
        <v>105</v>
      </c>
      <c r="D2" s="4" t="s">
        <v>106</v>
      </c>
      <c r="E2" s="4" t="s">
        <v>107</v>
      </c>
      <c r="F2" s="4" t="s">
        <v>108</v>
      </c>
      <c r="G2" s="4" t="s">
        <v>109</v>
      </c>
      <c r="H2" s="4" t="s">
        <v>110</v>
      </c>
      <c r="I2" s="4" t="s">
        <v>111</v>
      </c>
      <c r="J2" s="4" t="s">
        <v>112</v>
      </c>
      <c r="K2" s="4" t="s">
        <v>113</v>
      </c>
      <c r="L2" s="4" t="s">
        <v>114</v>
      </c>
      <c r="M2" s="24" t="s">
        <v>115</v>
      </c>
      <c r="N2" s="4" t="s">
        <v>116</v>
      </c>
      <c r="O2" s="4" t="s">
        <v>117</v>
      </c>
      <c r="P2" s="4" t="s">
        <v>118</v>
      </c>
      <c r="Q2" s="25" t="n">
        <v>34.99</v>
      </c>
      <c r="R2" s="25" t="n">
        <v>34.99</v>
      </c>
      <c r="S2" s="25" t="n">
        <v>19.22</v>
      </c>
      <c r="T2" s="26" t="n">
        <v>3</v>
      </c>
      <c r="U2" s="26" t="n">
        <v>0</v>
      </c>
      <c r="V2" s="26" t="n">
        <v>5</v>
      </c>
      <c r="W2" s="26"/>
      <c r="X2" s="27" t="n">
        <f aca="false">SUM(T2:W2)</f>
        <v>8</v>
      </c>
      <c r="Y2" s="28" t="n">
        <f aca="false">COUNT(T2:W2)</f>
        <v>3</v>
      </c>
      <c r="Z2" s="29" t="n">
        <f aca="false">R2*X2</f>
        <v>279.92</v>
      </c>
      <c r="AA2" s="30" t="n">
        <v>46212</v>
      </c>
    </row>
    <row r="3" customFormat="false" ht="15" hidden="false" customHeight="true" outlineLevel="0" collapsed="false">
      <c r="A3" s="4" t="s">
        <v>119</v>
      </c>
      <c r="B3" s="4" t="s">
        <v>120</v>
      </c>
      <c r="C3" s="4" t="s">
        <v>121</v>
      </c>
      <c r="D3" s="4" t="s">
        <v>122</v>
      </c>
      <c r="E3" s="4" t="s">
        <v>123</v>
      </c>
      <c r="F3" s="4" t="s">
        <v>124</v>
      </c>
      <c r="G3" s="4" t="s">
        <v>125</v>
      </c>
      <c r="H3" s="4" t="s">
        <v>126</v>
      </c>
      <c r="I3" s="4" t="s">
        <v>127</v>
      </c>
      <c r="J3" s="4" t="s">
        <v>128</v>
      </c>
      <c r="K3" s="4" t="s">
        <v>113</v>
      </c>
      <c r="L3" s="4" t="s">
        <v>129</v>
      </c>
      <c r="M3" s="24" t="s">
        <v>130</v>
      </c>
      <c r="N3" s="4" t="s">
        <v>116</v>
      </c>
      <c r="O3" s="4" t="s">
        <v>131</v>
      </c>
      <c r="P3" s="4" t="s">
        <v>118</v>
      </c>
      <c r="Q3" s="25" t="n">
        <v>74.99</v>
      </c>
      <c r="R3" s="25" t="n">
        <v>74.99</v>
      </c>
      <c r="S3" s="25" t="n">
        <v>36.3</v>
      </c>
      <c r="T3" s="26" t="n">
        <v>0</v>
      </c>
      <c r="U3" s="26"/>
      <c r="V3" s="26" t="n">
        <v>2</v>
      </c>
      <c r="W3" s="26"/>
      <c r="X3" s="27" t="n">
        <f aca="false">SUM(T3:W3)</f>
        <v>2</v>
      </c>
      <c r="Y3" s="28" t="n">
        <f aca="false">COUNT(T3:W3)</f>
        <v>2</v>
      </c>
      <c r="Z3" s="29" t="n">
        <f aca="false">R3*X3</f>
        <v>149.98</v>
      </c>
      <c r="AA3" s="30" t="n">
        <v>46212</v>
      </c>
    </row>
    <row r="4" customFormat="false" ht="15" hidden="false" customHeight="true" outlineLevel="0" collapsed="false">
      <c r="A4" s="4" t="s">
        <v>132</v>
      </c>
      <c r="B4" s="4" t="s">
        <v>133</v>
      </c>
      <c r="C4" s="4" t="s">
        <v>134</v>
      </c>
      <c r="D4" s="4" t="s">
        <v>135</v>
      </c>
      <c r="E4" s="4" t="s">
        <v>136</v>
      </c>
      <c r="F4" s="4" t="s">
        <v>137</v>
      </c>
      <c r="G4" s="4" t="s">
        <v>138</v>
      </c>
      <c r="H4" s="4" t="s">
        <v>139</v>
      </c>
      <c r="I4" s="4" t="s">
        <v>127</v>
      </c>
      <c r="J4" s="4" t="s">
        <v>128</v>
      </c>
      <c r="K4" s="4" t="s">
        <v>113</v>
      </c>
      <c r="L4" s="4" t="s">
        <v>140</v>
      </c>
      <c r="M4" s="24" t="s">
        <v>141</v>
      </c>
      <c r="N4" s="4" t="s">
        <v>116</v>
      </c>
      <c r="O4" s="4" t="s">
        <v>117</v>
      </c>
      <c r="P4" s="4" t="s">
        <v>118</v>
      </c>
      <c r="Q4" s="25" t="n">
        <v>79.99</v>
      </c>
      <c r="R4" s="25" t="n">
        <v>79.99</v>
      </c>
      <c r="S4" s="25" t="n">
        <v>39.84</v>
      </c>
      <c r="T4" s="26" t="n">
        <v>2</v>
      </c>
      <c r="U4" s="26"/>
      <c r="V4" s="26" t="n">
        <v>3</v>
      </c>
      <c r="W4" s="26"/>
      <c r="X4" s="27" t="n">
        <f aca="false">SUM(T4:W4)</f>
        <v>5</v>
      </c>
      <c r="Y4" s="28" t="n">
        <f aca="false">COUNT(T4:W4)</f>
        <v>2</v>
      </c>
      <c r="Z4" s="29" t="n">
        <f aca="false">R4*X4</f>
        <v>399.95</v>
      </c>
      <c r="AA4" s="30" t="n">
        <v>46147</v>
      </c>
    </row>
    <row r="5" customFormat="false" ht="15" hidden="false" customHeight="true" outlineLevel="0" collapsed="false">
      <c r="A5" s="4" t="s">
        <v>142</v>
      </c>
      <c r="B5" s="4" t="s">
        <v>143</v>
      </c>
      <c r="C5" s="4" t="s">
        <v>144</v>
      </c>
      <c r="D5" s="4" t="s">
        <v>145</v>
      </c>
      <c r="E5" s="4" t="s">
        <v>146</v>
      </c>
      <c r="F5" s="4" t="s">
        <v>147</v>
      </c>
      <c r="G5" s="4" t="s">
        <v>148</v>
      </c>
      <c r="H5" s="4" t="s">
        <v>149</v>
      </c>
      <c r="I5" s="4" t="s">
        <v>127</v>
      </c>
      <c r="J5" s="4" t="s">
        <v>128</v>
      </c>
      <c r="K5" s="4" t="s">
        <v>150</v>
      </c>
      <c r="L5" s="4" t="s">
        <v>151</v>
      </c>
      <c r="M5" s="24" t="s">
        <v>152</v>
      </c>
      <c r="N5" s="4" t="s">
        <v>153</v>
      </c>
      <c r="O5" s="4" t="s">
        <v>131</v>
      </c>
      <c r="P5" s="4" t="s">
        <v>118</v>
      </c>
      <c r="Q5" s="25" t="n">
        <v>64.99</v>
      </c>
      <c r="R5" s="25" t="n">
        <v>64.99</v>
      </c>
      <c r="S5" s="25" t="n">
        <v>32.11</v>
      </c>
      <c r="T5" s="26"/>
      <c r="U5" s="26"/>
      <c r="V5" s="26" t="n">
        <v>3</v>
      </c>
      <c r="W5" s="26"/>
      <c r="X5" s="27" t="n">
        <f aca="false">SUM(T5:W5)</f>
        <v>3</v>
      </c>
      <c r="Y5" s="28" t="n">
        <f aca="false">COUNT(T5:W5)</f>
        <v>1</v>
      </c>
      <c r="Z5" s="29" t="n">
        <f aca="false">R5*X5</f>
        <v>194.97</v>
      </c>
      <c r="AA5" s="30" t="n">
        <v>46174</v>
      </c>
    </row>
    <row r="6" customFormat="false" ht="15" hidden="false" customHeight="true" outlineLevel="0" collapsed="false">
      <c r="A6" s="4" t="s">
        <v>154</v>
      </c>
      <c r="B6" s="4" t="s">
        <v>155</v>
      </c>
      <c r="C6" s="4" t="s">
        <v>156</v>
      </c>
      <c r="D6" s="4" t="s">
        <v>106</v>
      </c>
      <c r="E6" s="4" t="s">
        <v>157</v>
      </c>
      <c r="F6" s="4" t="s">
        <v>158</v>
      </c>
      <c r="G6" s="4" t="s">
        <v>159</v>
      </c>
      <c r="H6" s="4" t="s">
        <v>160</v>
      </c>
      <c r="I6" s="4" t="s">
        <v>161</v>
      </c>
      <c r="J6" s="4" t="s">
        <v>162</v>
      </c>
      <c r="K6" s="4" t="s">
        <v>113</v>
      </c>
      <c r="L6" s="4" t="s">
        <v>163</v>
      </c>
      <c r="M6" s="24" t="s">
        <v>164</v>
      </c>
      <c r="N6" s="4" t="s">
        <v>116</v>
      </c>
      <c r="O6" s="4" t="s">
        <v>165</v>
      </c>
      <c r="P6" s="4" t="s">
        <v>118</v>
      </c>
      <c r="Q6" s="25" t="n">
        <v>109.99</v>
      </c>
      <c r="R6" s="25" t="n">
        <v>109.99</v>
      </c>
      <c r="S6" s="25" t="n">
        <v>54.53</v>
      </c>
      <c r="T6" s="26" t="n">
        <v>2</v>
      </c>
      <c r="U6" s="26" t="n">
        <v>4</v>
      </c>
      <c r="V6" s="26" t="n">
        <v>3</v>
      </c>
      <c r="W6" s="26" t="n">
        <v>3</v>
      </c>
      <c r="X6" s="27" t="n">
        <f aca="false">SUM(T6:W6)</f>
        <v>12</v>
      </c>
      <c r="Y6" s="28" t="n">
        <f aca="false">COUNT(T6:W6)</f>
        <v>4</v>
      </c>
      <c r="Z6" s="29" t="n">
        <f aca="false">R6*X6</f>
        <v>1319.88</v>
      </c>
      <c r="AA6" s="30" t="n">
        <v>46142</v>
      </c>
    </row>
    <row r="7" customFormat="false" ht="15" hidden="false" customHeight="true" outlineLevel="0" collapsed="false">
      <c r="A7" s="4" t="s">
        <v>166</v>
      </c>
      <c r="B7" s="4" t="s">
        <v>167</v>
      </c>
      <c r="C7" s="4" t="s">
        <v>168</v>
      </c>
      <c r="D7" s="4" t="s">
        <v>169</v>
      </c>
      <c r="E7" s="4" t="s">
        <v>170</v>
      </c>
      <c r="F7" s="4" t="s">
        <v>171</v>
      </c>
      <c r="G7" s="4" t="s">
        <v>172</v>
      </c>
      <c r="H7" s="4" t="s">
        <v>173</v>
      </c>
      <c r="I7" s="4" t="s">
        <v>174</v>
      </c>
      <c r="J7" s="4" t="s">
        <v>175</v>
      </c>
      <c r="K7" s="4" t="s">
        <v>113</v>
      </c>
      <c r="L7" s="4" t="s">
        <v>176</v>
      </c>
      <c r="M7" s="24" t="s">
        <v>177</v>
      </c>
      <c r="N7" s="4" t="s">
        <v>116</v>
      </c>
      <c r="O7" s="4" t="s">
        <v>165</v>
      </c>
      <c r="P7" s="4" t="s">
        <v>118</v>
      </c>
      <c r="Q7" s="25" t="n">
        <v>89.99</v>
      </c>
      <c r="R7" s="25" t="n">
        <v>89.99</v>
      </c>
      <c r="S7" s="25" t="n">
        <v>44.22</v>
      </c>
      <c r="T7" s="26" t="n">
        <v>3</v>
      </c>
      <c r="U7" s="26" t="n">
        <v>0</v>
      </c>
      <c r="V7" s="26" t="n">
        <v>7</v>
      </c>
      <c r="W7" s="26"/>
      <c r="X7" s="27" t="n">
        <f aca="false">SUM(T7:W7)</f>
        <v>10</v>
      </c>
      <c r="Y7" s="28" t="n">
        <f aca="false">COUNT(T7:W7)</f>
        <v>3</v>
      </c>
      <c r="Z7" s="29" t="n">
        <f aca="false">R7*X7</f>
        <v>899.9</v>
      </c>
      <c r="AA7" s="30" t="n">
        <v>46142</v>
      </c>
    </row>
    <row r="8" customFormat="false" ht="15" hidden="false" customHeight="true" outlineLevel="0" collapsed="false">
      <c r="A8" s="4" t="s">
        <v>178</v>
      </c>
      <c r="B8" s="4" t="s">
        <v>179</v>
      </c>
      <c r="C8" s="4" t="s">
        <v>180</v>
      </c>
      <c r="D8" s="4" t="s">
        <v>181</v>
      </c>
      <c r="E8" s="4" t="s">
        <v>182</v>
      </c>
      <c r="F8" s="4" t="s">
        <v>183</v>
      </c>
      <c r="G8" s="4" t="s">
        <v>184</v>
      </c>
      <c r="H8" s="4" t="s">
        <v>185</v>
      </c>
      <c r="I8" s="4" t="s">
        <v>161</v>
      </c>
      <c r="J8" s="4" t="s">
        <v>186</v>
      </c>
      <c r="K8" s="4" t="s">
        <v>187</v>
      </c>
      <c r="L8" s="4" t="s">
        <v>176</v>
      </c>
      <c r="M8" s="24" t="s">
        <v>188</v>
      </c>
      <c r="N8" s="4" t="s">
        <v>189</v>
      </c>
      <c r="O8" s="4" t="s">
        <v>131</v>
      </c>
      <c r="P8" s="4" t="s">
        <v>118</v>
      </c>
      <c r="Q8" s="25" t="n">
        <v>89.99</v>
      </c>
      <c r="R8" s="25" t="n">
        <v>89.99</v>
      </c>
      <c r="S8" s="25" t="n">
        <v>45.49</v>
      </c>
      <c r="T8" s="26" t="n">
        <v>4</v>
      </c>
      <c r="U8" s="26" t="n">
        <v>0</v>
      </c>
      <c r="V8" s="26" t="n">
        <v>4</v>
      </c>
      <c r="W8" s="26"/>
      <c r="X8" s="27" t="n">
        <f aca="false">SUM(T8:W8)</f>
        <v>8</v>
      </c>
      <c r="Y8" s="28" t="n">
        <f aca="false">COUNT(T8:W8)</f>
        <v>3</v>
      </c>
      <c r="Z8" s="29" t="n">
        <f aca="false">R8*X8</f>
        <v>719.92</v>
      </c>
      <c r="AA8" s="30" t="n">
        <v>46111</v>
      </c>
    </row>
    <row r="9" customFormat="false" ht="15" hidden="false" customHeight="true" outlineLevel="0" collapsed="false">
      <c r="A9" s="4" t="s">
        <v>190</v>
      </c>
      <c r="B9" s="4" t="s">
        <v>191</v>
      </c>
      <c r="C9" s="4" t="s">
        <v>192</v>
      </c>
      <c r="D9" s="4" t="s">
        <v>193</v>
      </c>
      <c r="E9" s="4" t="s">
        <v>194</v>
      </c>
      <c r="F9" s="4" t="s">
        <v>195</v>
      </c>
      <c r="G9" s="4" t="s">
        <v>196</v>
      </c>
      <c r="H9" s="4" t="s">
        <v>197</v>
      </c>
      <c r="I9" s="4" t="s">
        <v>111</v>
      </c>
      <c r="J9" s="4" t="s">
        <v>198</v>
      </c>
      <c r="K9" s="4" t="s">
        <v>199</v>
      </c>
      <c r="L9" s="4" t="s">
        <v>200</v>
      </c>
      <c r="M9" s="24" t="s">
        <v>201</v>
      </c>
      <c r="N9" s="4" t="s">
        <v>153</v>
      </c>
      <c r="O9" s="4" t="s">
        <v>117</v>
      </c>
      <c r="P9" s="4" t="s">
        <v>202</v>
      </c>
      <c r="Q9" s="25" t="n">
        <v>44.99</v>
      </c>
      <c r="R9" s="25" t="n">
        <v>44.99</v>
      </c>
      <c r="S9" s="25" t="n">
        <v>22.09</v>
      </c>
      <c r="T9" s="26" t="n">
        <v>3</v>
      </c>
      <c r="U9" s="26" t="n">
        <v>5</v>
      </c>
      <c r="V9" s="26" t="n">
        <v>4</v>
      </c>
      <c r="W9" s="26" t="n">
        <v>6</v>
      </c>
      <c r="X9" s="27" t="n">
        <f aca="false">SUM(T9:W9)</f>
        <v>18</v>
      </c>
      <c r="Y9" s="28" t="n">
        <f aca="false">COUNT(T9:W9)</f>
        <v>4</v>
      </c>
      <c r="Z9" s="29" t="n">
        <f aca="false">R9*X9</f>
        <v>809.82</v>
      </c>
      <c r="AA9" s="30" t="n">
        <v>46188</v>
      </c>
    </row>
    <row r="10" customFormat="false" ht="15" hidden="false" customHeight="true" outlineLevel="0" collapsed="false">
      <c r="A10" s="4" t="s">
        <v>203</v>
      </c>
      <c r="B10" s="4" t="s">
        <v>204</v>
      </c>
      <c r="C10" s="4" t="s">
        <v>205</v>
      </c>
      <c r="D10" s="4" t="s">
        <v>181</v>
      </c>
      <c r="E10" s="4" t="s">
        <v>182</v>
      </c>
      <c r="F10" s="4" t="s">
        <v>206</v>
      </c>
      <c r="G10" s="4" t="s">
        <v>207</v>
      </c>
      <c r="H10" s="4" t="s">
        <v>208</v>
      </c>
      <c r="I10" s="4" t="s">
        <v>161</v>
      </c>
      <c r="J10" s="4" t="s">
        <v>186</v>
      </c>
      <c r="K10" s="4" t="s">
        <v>209</v>
      </c>
      <c r="L10" s="4" t="s">
        <v>210</v>
      </c>
      <c r="M10" s="24" t="s">
        <v>211</v>
      </c>
      <c r="N10" s="4" t="s">
        <v>153</v>
      </c>
      <c r="O10" s="4" t="s">
        <v>131</v>
      </c>
      <c r="P10" s="4" t="s">
        <v>118</v>
      </c>
      <c r="Q10" s="25" t="n">
        <v>69.99</v>
      </c>
      <c r="R10" s="25" t="n">
        <v>69.99</v>
      </c>
      <c r="S10" s="25" t="n">
        <v>37.84</v>
      </c>
      <c r="T10" s="26" t="n">
        <v>4</v>
      </c>
      <c r="U10" s="26" t="n">
        <v>2</v>
      </c>
      <c r="V10" s="26" t="n">
        <v>4</v>
      </c>
      <c r="W10" s="26" t="n">
        <v>0</v>
      </c>
      <c r="X10" s="27" t="n">
        <f aca="false">SUM(T10:W10)</f>
        <v>10</v>
      </c>
      <c r="Y10" s="28" t="n">
        <f aca="false">COUNT(T10:W10)</f>
        <v>4</v>
      </c>
      <c r="Z10" s="29" t="n">
        <f aca="false">R10*X10</f>
        <v>699.9</v>
      </c>
      <c r="AA10" s="30" t="n">
        <v>46086</v>
      </c>
    </row>
    <row r="11" customFormat="false" ht="15" hidden="false" customHeight="true" outlineLevel="0" collapsed="false">
      <c r="A11" s="4" t="s">
        <v>212</v>
      </c>
      <c r="B11" s="4" t="s">
        <v>213</v>
      </c>
      <c r="C11" s="4" t="s">
        <v>214</v>
      </c>
      <c r="D11" s="4" t="s">
        <v>122</v>
      </c>
      <c r="E11" s="4" t="s">
        <v>123</v>
      </c>
      <c r="F11" s="4" t="s">
        <v>215</v>
      </c>
      <c r="G11" s="4" t="s">
        <v>216</v>
      </c>
      <c r="H11" s="4" t="s">
        <v>217</v>
      </c>
      <c r="I11" s="4" t="s">
        <v>161</v>
      </c>
      <c r="J11" s="4" t="s">
        <v>218</v>
      </c>
      <c r="K11" s="4" t="s">
        <v>113</v>
      </c>
      <c r="L11" s="4" t="s">
        <v>219</v>
      </c>
      <c r="M11" s="24" t="s">
        <v>115</v>
      </c>
      <c r="N11" s="4" t="s">
        <v>116</v>
      </c>
      <c r="O11" s="4" t="s">
        <v>165</v>
      </c>
      <c r="P11" s="4" t="s">
        <v>118</v>
      </c>
      <c r="Q11" s="25" t="n">
        <v>169.99</v>
      </c>
      <c r="R11" s="25" t="n">
        <v>169.99</v>
      </c>
      <c r="S11" s="25" t="n">
        <v>82.49</v>
      </c>
      <c r="T11" s="26"/>
      <c r="U11" s="26"/>
      <c r="V11" s="26" t="n">
        <v>4</v>
      </c>
      <c r="W11" s="26"/>
      <c r="X11" s="27" t="n">
        <f aca="false">SUM(T11:W11)</f>
        <v>4</v>
      </c>
      <c r="Y11" s="28" t="n">
        <f aca="false">COUNT(T11:W11)</f>
        <v>1</v>
      </c>
      <c r="Z11" s="29" t="n">
        <f aca="false">R11*X11</f>
        <v>679.96</v>
      </c>
      <c r="AA11" s="30" t="n">
        <v>46048</v>
      </c>
    </row>
    <row r="12" customFormat="false" ht="15" hidden="false" customHeight="true" outlineLevel="0" collapsed="false">
      <c r="A12" s="4" t="s">
        <v>220</v>
      </c>
      <c r="B12" s="4" t="s">
        <v>221</v>
      </c>
      <c r="C12" s="4" t="s">
        <v>222</v>
      </c>
      <c r="D12" s="4" t="s">
        <v>122</v>
      </c>
      <c r="E12" s="4" t="s">
        <v>123</v>
      </c>
      <c r="F12" s="4" t="s">
        <v>223</v>
      </c>
      <c r="G12" s="4" t="s">
        <v>224</v>
      </c>
      <c r="H12" s="4" t="s">
        <v>225</v>
      </c>
      <c r="I12" s="4" t="s">
        <v>226</v>
      </c>
      <c r="J12" s="4" t="s">
        <v>227</v>
      </c>
      <c r="K12" s="4" t="s">
        <v>113</v>
      </c>
      <c r="L12" s="4" t="s">
        <v>228</v>
      </c>
      <c r="M12" s="24" t="s">
        <v>211</v>
      </c>
      <c r="N12" s="4" t="s">
        <v>116</v>
      </c>
      <c r="O12" s="4" t="s">
        <v>165</v>
      </c>
      <c r="P12" s="4" t="s">
        <v>118</v>
      </c>
      <c r="Q12" s="25" t="n">
        <v>199.99</v>
      </c>
      <c r="R12" s="25" t="n">
        <v>199.99</v>
      </c>
      <c r="S12" s="25" t="n">
        <v>102.88</v>
      </c>
      <c r="T12" s="26" t="n">
        <v>5</v>
      </c>
      <c r="U12" s="26" t="n">
        <v>1</v>
      </c>
      <c r="V12" s="26" t="n">
        <v>5</v>
      </c>
      <c r="W12" s="26" t="n">
        <v>2</v>
      </c>
      <c r="X12" s="27" t="n">
        <f aca="false">SUM(T12:W12)</f>
        <v>13</v>
      </c>
      <c r="Y12" s="28" t="n">
        <f aca="false">COUNT(T12:W12)</f>
        <v>4</v>
      </c>
      <c r="Z12" s="29" t="n">
        <f aca="false">R12*X12</f>
        <v>2599.87</v>
      </c>
      <c r="AA12" s="30" t="n">
        <v>46101</v>
      </c>
    </row>
    <row r="13" customFormat="false" ht="15" hidden="false" customHeight="true" outlineLevel="0" collapsed="false">
      <c r="A13" s="4" t="s">
        <v>229</v>
      </c>
      <c r="B13" s="4" t="s">
        <v>230</v>
      </c>
      <c r="C13" s="4" t="s">
        <v>231</v>
      </c>
      <c r="D13" s="4" t="s">
        <v>122</v>
      </c>
      <c r="E13" s="4" t="s">
        <v>123</v>
      </c>
      <c r="F13" s="4" t="s">
        <v>232</v>
      </c>
      <c r="G13" s="4" t="s">
        <v>233</v>
      </c>
      <c r="H13" s="4" t="s">
        <v>234</v>
      </c>
      <c r="I13" s="4" t="s">
        <v>161</v>
      </c>
      <c r="J13" s="4" t="s">
        <v>235</v>
      </c>
      <c r="K13" s="4" t="s">
        <v>150</v>
      </c>
      <c r="L13" s="4" t="s">
        <v>236</v>
      </c>
      <c r="M13" s="24" t="s">
        <v>237</v>
      </c>
      <c r="N13" s="4" t="s">
        <v>153</v>
      </c>
      <c r="O13" s="4" t="s">
        <v>238</v>
      </c>
      <c r="P13" s="4" t="s">
        <v>239</v>
      </c>
      <c r="Q13" s="25" t="n">
        <v>94.99</v>
      </c>
      <c r="R13" s="25" t="n">
        <v>65.99</v>
      </c>
      <c r="S13" s="25" t="n">
        <v>47.59</v>
      </c>
      <c r="T13" s="26" t="n">
        <v>6</v>
      </c>
      <c r="U13" s="26"/>
      <c r="V13" s="26" t="n">
        <v>4</v>
      </c>
      <c r="W13" s="26" t="n">
        <v>3</v>
      </c>
      <c r="X13" s="27" t="n">
        <f aca="false">SUM(T13:W13)</f>
        <v>13</v>
      </c>
      <c r="Y13" s="28" t="n">
        <f aca="false">COUNT(T13:W13)</f>
        <v>3</v>
      </c>
      <c r="Z13" s="29" t="n">
        <f aca="false">R13*X13</f>
        <v>857.87</v>
      </c>
      <c r="AA13" s="30" t="n">
        <v>46079</v>
      </c>
    </row>
    <row r="14" customFormat="false" ht="15" hidden="false" customHeight="true" outlineLevel="0" collapsed="false">
      <c r="A14" s="4" t="s">
        <v>240</v>
      </c>
      <c r="B14" s="4" t="s">
        <v>241</v>
      </c>
      <c r="C14" s="4" t="s">
        <v>242</v>
      </c>
      <c r="D14" s="4" t="s">
        <v>135</v>
      </c>
      <c r="E14" s="4" t="s">
        <v>136</v>
      </c>
      <c r="F14" s="4" t="s">
        <v>243</v>
      </c>
      <c r="G14" s="4" t="s">
        <v>244</v>
      </c>
      <c r="H14" s="4" t="s">
        <v>245</v>
      </c>
      <c r="I14" s="4" t="s">
        <v>161</v>
      </c>
      <c r="J14" s="4" t="s">
        <v>246</v>
      </c>
      <c r="K14" s="4" t="s">
        <v>113</v>
      </c>
      <c r="L14" s="4" t="s">
        <v>247</v>
      </c>
      <c r="M14" s="24" t="s">
        <v>130</v>
      </c>
      <c r="N14" s="4" t="s">
        <v>116</v>
      </c>
      <c r="O14" s="4" t="s">
        <v>238</v>
      </c>
      <c r="P14" s="4" t="s">
        <v>239</v>
      </c>
      <c r="Q14" s="25" t="n">
        <v>149.99</v>
      </c>
      <c r="R14" s="25" t="n">
        <v>89.99</v>
      </c>
      <c r="S14" s="25" t="n">
        <v>74.84</v>
      </c>
      <c r="T14" s="26"/>
      <c r="U14" s="26" t="n">
        <v>5</v>
      </c>
      <c r="V14" s="26" t="n">
        <v>3</v>
      </c>
      <c r="W14" s="26"/>
      <c r="X14" s="27" t="n">
        <f aca="false">SUM(T14:W14)</f>
        <v>8</v>
      </c>
      <c r="Y14" s="28" t="n">
        <f aca="false">COUNT(T14:W14)</f>
        <v>2</v>
      </c>
      <c r="Z14" s="29" t="n">
        <f aca="false">R14*X14</f>
        <v>719.92</v>
      </c>
      <c r="AA14" s="30" t="n">
        <v>46155</v>
      </c>
    </row>
    <row r="15" customFormat="false" ht="15" hidden="false" customHeight="true" outlineLevel="0" collapsed="false">
      <c r="A15" s="4" t="s">
        <v>248</v>
      </c>
      <c r="B15" s="4" t="s">
        <v>249</v>
      </c>
      <c r="C15" s="4" t="s">
        <v>250</v>
      </c>
      <c r="D15" s="4" t="s">
        <v>251</v>
      </c>
      <c r="E15" s="4" t="s">
        <v>252</v>
      </c>
      <c r="F15" s="4" t="s">
        <v>253</v>
      </c>
      <c r="G15" s="4" t="s">
        <v>254</v>
      </c>
      <c r="H15" s="4" t="s">
        <v>255</v>
      </c>
      <c r="I15" s="4" t="s">
        <v>161</v>
      </c>
      <c r="J15" s="4" t="s">
        <v>256</v>
      </c>
      <c r="K15" s="4" t="s">
        <v>113</v>
      </c>
      <c r="L15" s="4" t="s">
        <v>257</v>
      </c>
      <c r="M15" s="24" t="s">
        <v>258</v>
      </c>
      <c r="N15" s="4" t="s">
        <v>116</v>
      </c>
      <c r="O15" s="4" t="s">
        <v>165</v>
      </c>
      <c r="P15" s="4" t="s">
        <v>118</v>
      </c>
      <c r="Q15" s="25" t="n">
        <v>119.99</v>
      </c>
      <c r="R15" s="25" t="n">
        <v>119.99</v>
      </c>
      <c r="S15" s="25" t="n">
        <v>66.31</v>
      </c>
      <c r="T15" s="26" t="n">
        <v>4</v>
      </c>
      <c r="U15" s="26" t="n">
        <v>2</v>
      </c>
      <c r="V15" s="26" t="n">
        <v>4</v>
      </c>
      <c r="W15" s="26"/>
      <c r="X15" s="27" t="n">
        <f aca="false">SUM(T15:W15)</f>
        <v>10</v>
      </c>
      <c r="Y15" s="28" t="n">
        <f aca="false">COUNT(T15:W15)</f>
        <v>3</v>
      </c>
      <c r="Z15" s="29" t="n">
        <f aca="false">R15*X15</f>
        <v>1199.9</v>
      </c>
      <c r="AA15" s="30" t="n">
        <v>46041</v>
      </c>
    </row>
    <row r="16" customFormat="false" ht="15" hidden="false" customHeight="true" outlineLevel="0" collapsed="false">
      <c r="A16" s="4" t="s">
        <v>259</v>
      </c>
      <c r="B16" s="4" t="s">
        <v>260</v>
      </c>
      <c r="C16" s="4" t="s">
        <v>261</v>
      </c>
      <c r="D16" s="4" t="s">
        <v>122</v>
      </c>
      <c r="E16" s="4" t="s">
        <v>123</v>
      </c>
      <c r="F16" s="4" t="s">
        <v>262</v>
      </c>
      <c r="G16" s="4" t="s">
        <v>263</v>
      </c>
      <c r="H16" s="4" t="s">
        <v>264</v>
      </c>
      <c r="I16" s="4" t="s">
        <v>226</v>
      </c>
      <c r="J16" s="4" t="s">
        <v>265</v>
      </c>
      <c r="K16" s="4" t="s">
        <v>150</v>
      </c>
      <c r="L16" s="4" t="s">
        <v>266</v>
      </c>
      <c r="M16" s="24" t="s">
        <v>237</v>
      </c>
      <c r="N16" s="4" t="s">
        <v>153</v>
      </c>
      <c r="O16" s="4" t="s">
        <v>165</v>
      </c>
      <c r="P16" s="4" t="s">
        <v>118</v>
      </c>
      <c r="Q16" s="25" t="n">
        <v>84.99</v>
      </c>
      <c r="R16" s="25" t="n">
        <v>84.99</v>
      </c>
      <c r="S16" s="25" t="n">
        <v>46.96</v>
      </c>
      <c r="T16" s="26" t="n">
        <v>0</v>
      </c>
      <c r="U16" s="26" t="n">
        <v>3</v>
      </c>
      <c r="V16" s="26"/>
      <c r="W16" s="26"/>
      <c r="X16" s="27" t="n">
        <f aca="false">SUM(T16:W16)</f>
        <v>3</v>
      </c>
      <c r="Y16" s="28" t="n">
        <f aca="false">COUNT(T16:W16)</f>
        <v>2</v>
      </c>
      <c r="Z16" s="29" t="n">
        <f aca="false">R16*X16</f>
        <v>254.97</v>
      </c>
      <c r="AA16" s="30" t="n">
        <v>46080</v>
      </c>
    </row>
    <row r="17" customFormat="false" ht="15" hidden="false" customHeight="true" outlineLevel="0" collapsed="false">
      <c r="A17" s="4" t="s">
        <v>267</v>
      </c>
      <c r="B17" s="4" t="s">
        <v>268</v>
      </c>
      <c r="C17" s="4" t="s">
        <v>269</v>
      </c>
      <c r="D17" s="4" t="s">
        <v>122</v>
      </c>
      <c r="E17" s="4" t="s">
        <v>123</v>
      </c>
      <c r="F17" s="4" t="s">
        <v>270</v>
      </c>
      <c r="G17" s="4" t="s">
        <v>271</v>
      </c>
      <c r="H17" s="4" t="s">
        <v>272</v>
      </c>
      <c r="I17" s="4" t="s">
        <v>161</v>
      </c>
      <c r="J17" s="4" t="s">
        <v>235</v>
      </c>
      <c r="K17" s="4" t="s">
        <v>113</v>
      </c>
      <c r="L17" s="4" t="s">
        <v>273</v>
      </c>
      <c r="M17" s="24" t="s">
        <v>177</v>
      </c>
      <c r="N17" s="4" t="s">
        <v>116</v>
      </c>
      <c r="O17" s="4" t="s">
        <v>165</v>
      </c>
      <c r="P17" s="4" t="s">
        <v>118</v>
      </c>
      <c r="Q17" s="25" t="n">
        <v>79.99</v>
      </c>
      <c r="R17" s="25" t="n">
        <v>79.99</v>
      </c>
      <c r="S17" s="25" t="n">
        <v>42.84</v>
      </c>
      <c r="T17" s="26" t="n">
        <v>2</v>
      </c>
      <c r="U17" s="26" t="n">
        <v>1</v>
      </c>
      <c r="V17" s="26" t="n">
        <v>4</v>
      </c>
      <c r="W17" s="26" t="n">
        <v>0</v>
      </c>
      <c r="X17" s="27" t="n">
        <f aca="false">SUM(T17:W17)</f>
        <v>7</v>
      </c>
      <c r="Y17" s="28" t="n">
        <f aca="false">COUNT(T17:W17)</f>
        <v>4</v>
      </c>
      <c r="Z17" s="29" t="n">
        <f aca="false">R17*X17</f>
        <v>559.93</v>
      </c>
      <c r="AA17" s="30" t="n">
        <v>46147</v>
      </c>
    </row>
    <row r="18" customFormat="false" ht="15" hidden="false" customHeight="true" outlineLevel="0" collapsed="false">
      <c r="A18" s="4" t="s">
        <v>274</v>
      </c>
      <c r="B18" s="4" t="s">
        <v>275</v>
      </c>
      <c r="C18" s="4" t="s">
        <v>276</v>
      </c>
      <c r="D18" s="4" t="s">
        <v>106</v>
      </c>
      <c r="E18" s="4" t="s">
        <v>107</v>
      </c>
      <c r="F18" s="4" t="s">
        <v>277</v>
      </c>
      <c r="G18" s="4" t="s">
        <v>278</v>
      </c>
      <c r="H18" s="4" t="s">
        <v>279</v>
      </c>
      <c r="I18" s="4" t="s">
        <v>127</v>
      </c>
      <c r="J18" s="4" t="s">
        <v>280</v>
      </c>
      <c r="K18" s="4" t="s">
        <v>113</v>
      </c>
      <c r="L18" s="4" t="s">
        <v>281</v>
      </c>
      <c r="M18" s="24" t="s">
        <v>258</v>
      </c>
      <c r="N18" s="4" t="s">
        <v>116</v>
      </c>
      <c r="O18" s="4" t="s">
        <v>165</v>
      </c>
      <c r="P18" s="4" t="s">
        <v>118</v>
      </c>
      <c r="Q18" s="25" t="n">
        <v>189.99</v>
      </c>
      <c r="R18" s="25" t="n">
        <v>189.99</v>
      </c>
      <c r="S18" s="25" t="n">
        <v>103.72</v>
      </c>
      <c r="T18" s="26" t="n">
        <v>3</v>
      </c>
      <c r="U18" s="26" t="n">
        <v>1</v>
      </c>
      <c r="V18" s="26" t="n">
        <v>5</v>
      </c>
      <c r="W18" s="26"/>
      <c r="X18" s="27" t="n">
        <f aca="false">SUM(T18:W18)</f>
        <v>9</v>
      </c>
      <c r="Y18" s="28" t="n">
        <f aca="false">COUNT(T18:W18)</f>
        <v>3</v>
      </c>
      <c r="Z18" s="29" t="n">
        <f aca="false">R18*X18</f>
        <v>1709.91</v>
      </c>
      <c r="AA18" s="30" t="n">
        <v>46168</v>
      </c>
    </row>
    <row r="19" customFormat="false" ht="15" hidden="false" customHeight="true" outlineLevel="0" collapsed="false">
      <c r="A19" s="4" t="s">
        <v>282</v>
      </c>
      <c r="B19" s="4" t="s">
        <v>283</v>
      </c>
      <c r="C19" s="4" t="s">
        <v>284</v>
      </c>
      <c r="D19" s="4" t="s">
        <v>122</v>
      </c>
      <c r="E19" s="4" t="s">
        <v>285</v>
      </c>
      <c r="F19" s="4" t="s">
        <v>286</v>
      </c>
      <c r="G19" s="4" t="s">
        <v>287</v>
      </c>
      <c r="H19" s="4" t="s">
        <v>288</v>
      </c>
      <c r="I19" s="4" t="s">
        <v>161</v>
      </c>
      <c r="J19" s="4" t="s">
        <v>289</v>
      </c>
      <c r="K19" s="4" t="s">
        <v>187</v>
      </c>
      <c r="L19" s="4" t="s">
        <v>290</v>
      </c>
      <c r="M19" s="24" t="s">
        <v>291</v>
      </c>
      <c r="N19" s="4" t="s">
        <v>189</v>
      </c>
      <c r="O19" s="4" t="s">
        <v>165</v>
      </c>
      <c r="P19" s="4" t="s">
        <v>239</v>
      </c>
      <c r="Q19" s="25" t="n">
        <v>129.99</v>
      </c>
      <c r="R19" s="25" t="n">
        <v>77.99</v>
      </c>
      <c r="S19" s="25" t="n">
        <v>70.91</v>
      </c>
      <c r="T19" s="26"/>
      <c r="U19" s="26"/>
      <c r="V19" s="26" t="n">
        <v>0</v>
      </c>
      <c r="W19" s="26"/>
      <c r="X19" s="27" t="n">
        <f aca="false">SUM(T19:W19)</f>
        <v>0</v>
      </c>
      <c r="Y19" s="28" t="n">
        <f aca="false">COUNT(T19:W19)</f>
        <v>1</v>
      </c>
      <c r="Z19" s="29" t="n">
        <f aca="false">R19*X19</f>
        <v>0</v>
      </c>
      <c r="AA19" s="30" t="n">
        <v>46133</v>
      </c>
    </row>
    <row r="20" customFormat="false" ht="15" hidden="false" customHeight="true" outlineLevel="0" collapsed="false">
      <c r="A20" s="4" t="s">
        <v>292</v>
      </c>
      <c r="B20" s="4" t="s">
        <v>293</v>
      </c>
      <c r="C20" s="4" t="s">
        <v>294</v>
      </c>
      <c r="D20" s="4" t="s">
        <v>251</v>
      </c>
      <c r="E20" s="4" t="s">
        <v>252</v>
      </c>
      <c r="F20" s="4" t="s">
        <v>295</v>
      </c>
      <c r="G20" s="4" t="s">
        <v>296</v>
      </c>
      <c r="H20" s="4" t="s">
        <v>297</v>
      </c>
      <c r="I20" s="4" t="s">
        <v>127</v>
      </c>
      <c r="J20" s="4" t="s">
        <v>298</v>
      </c>
      <c r="K20" s="4" t="s">
        <v>113</v>
      </c>
      <c r="L20" s="4" t="s">
        <v>299</v>
      </c>
      <c r="M20" s="24" t="s">
        <v>211</v>
      </c>
      <c r="N20" s="4" t="s">
        <v>116</v>
      </c>
      <c r="O20" s="4" t="s">
        <v>165</v>
      </c>
      <c r="P20" s="4" t="s">
        <v>118</v>
      </c>
      <c r="Q20" s="25" t="n">
        <v>79.99</v>
      </c>
      <c r="R20" s="25" t="n">
        <v>79.99</v>
      </c>
      <c r="S20" s="25" t="n">
        <v>41.96</v>
      </c>
      <c r="T20" s="26" t="n">
        <v>3</v>
      </c>
      <c r="U20" s="26"/>
      <c r="V20" s="26" t="n">
        <v>5</v>
      </c>
      <c r="W20" s="26" t="n">
        <v>1</v>
      </c>
      <c r="X20" s="27" t="n">
        <f aca="false">SUM(T20:W20)</f>
        <v>9</v>
      </c>
      <c r="Y20" s="28" t="n">
        <f aca="false">COUNT(T20:W20)</f>
        <v>3</v>
      </c>
      <c r="Z20" s="29" t="n">
        <f aca="false">R20*X20</f>
        <v>719.91</v>
      </c>
      <c r="AA20" s="30" t="n">
        <v>46228</v>
      </c>
    </row>
    <row r="21" customFormat="false" ht="15" hidden="false" customHeight="true" outlineLevel="0" collapsed="false">
      <c r="A21" s="4" t="s">
        <v>300</v>
      </c>
      <c r="B21" s="4" t="s">
        <v>301</v>
      </c>
      <c r="C21" s="4" t="s">
        <v>302</v>
      </c>
      <c r="D21" s="4" t="s">
        <v>122</v>
      </c>
      <c r="E21" s="4" t="s">
        <v>123</v>
      </c>
      <c r="F21" s="4" t="s">
        <v>303</v>
      </c>
      <c r="G21" s="4" t="s">
        <v>304</v>
      </c>
      <c r="H21" s="4" t="s">
        <v>305</v>
      </c>
      <c r="I21" s="4" t="s">
        <v>127</v>
      </c>
      <c r="J21" s="4" t="s">
        <v>306</v>
      </c>
      <c r="K21" s="4" t="s">
        <v>187</v>
      </c>
      <c r="L21" s="4" t="s">
        <v>307</v>
      </c>
      <c r="M21" s="24" t="s">
        <v>308</v>
      </c>
      <c r="N21" s="4" t="s">
        <v>189</v>
      </c>
      <c r="O21" s="4" t="s">
        <v>165</v>
      </c>
      <c r="P21" s="4" t="s">
        <v>118</v>
      </c>
      <c r="Q21" s="25" t="n">
        <v>164.99</v>
      </c>
      <c r="R21" s="25" t="n">
        <v>164.99</v>
      </c>
      <c r="S21" s="25" t="n">
        <v>89.57</v>
      </c>
      <c r="T21" s="26" t="n">
        <v>0</v>
      </c>
      <c r="U21" s="26" t="n">
        <v>0</v>
      </c>
      <c r="V21" s="26" t="n">
        <v>4</v>
      </c>
      <c r="W21" s="26" t="n">
        <v>2</v>
      </c>
      <c r="X21" s="27" t="n">
        <f aca="false">SUM(T21:W21)</f>
        <v>6</v>
      </c>
      <c r="Y21" s="28" t="n">
        <f aca="false">COUNT(T21:W21)</f>
        <v>4</v>
      </c>
      <c r="Z21" s="29" t="n">
        <f aca="false">R21*X21</f>
        <v>989.94</v>
      </c>
      <c r="AA21" s="30" t="n">
        <v>46060</v>
      </c>
    </row>
    <row r="22" customFormat="false" ht="15" hidden="false" customHeight="true" outlineLevel="0" collapsed="false">
      <c r="A22" s="4" t="s">
        <v>309</v>
      </c>
      <c r="B22" s="4" t="s">
        <v>310</v>
      </c>
      <c r="C22" s="4" t="s">
        <v>294</v>
      </c>
      <c r="D22" s="4" t="s">
        <v>251</v>
      </c>
      <c r="E22" s="4" t="s">
        <v>252</v>
      </c>
      <c r="F22" s="4" t="s">
        <v>295</v>
      </c>
      <c r="G22" s="4" t="s">
        <v>296</v>
      </c>
      <c r="H22" s="4" t="s">
        <v>297</v>
      </c>
      <c r="I22" s="4" t="s">
        <v>127</v>
      </c>
      <c r="J22" s="4" t="s">
        <v>298</v>
      </c>
      <c r="K22" s="4" t="s">
        <v>113</v>
      </c>
      <c r="L22" s="4" t="s">
        <v>299</v>
      </c>
      <c r="M22" s="24" t="s">
        <v>188</v>
      </c>
      <c r="N22" s="4" t="s">
        <v>116</v>
      </c>
      <c r="O22" s="4" t="s">
        <v>165</v>
      </c>
      <c r="P22" s="4" t="s">
        <v>118</v>
      </c>
      <c r="Q22" s="25" t="n">
        <v>79.99</v>
      </c>
      <c r="R22" s="25" t="n">
        <v>79.99</v>
      </c>
      <c r="S22" s="25" t="n">
        <v>41.96</v>
      </c>
      <c r="T22" s="26" t="n">
        <v>4</v>
      </c>
      <c r="U22" s="26"/>
      <c r="V22" s="26" t="n">
        <v>5</v>
      </c>
      <c r="W22" s="26" t="n">
        <v>1</v>
      </c>
      <c r="X22" s="27" t="n">
        <f aca="false">SUM(T22:W22)</f>
        <v>10</v>
      </c>
      <c r="Y22" s="28" t="n">
        <f aca="false">COUNT(T22:W22)</f>
        <v>3</v>
      </c>
      <c r="Z22" s="29" t="n">
        <f aca="false">R22*X22</f>
        <v>799.9</v>
      </c>
      <c r="AA22" s="30" t="n">
        <v>46168</v>
      </c>
    </row>
    <row r="23" customFormat="false" ht="15" hidden="false" customHeight="true" outlineLevel="0" collapsed="false">
      <c r="A23" s="4" t="s">
        <v>311</v>
      </c>
      <c r="B23" s="4" t="s">
        <v>312</v>
      </c>
      <c r="C23" s="4" t="s">
        <v>313</v>
      </c>
      <c r="D23" s="4" t="s">
        <v>145</v>
      </c>
      <c r="E23" s="4" t="s">
        <v>146</v>
      </c>
      <c r="F23" s="4" t="s">
        <v>314</v>
      </c>
      <c r="G23" s="4" t="s">
        <v>315</v>
      </c>
      <c r="H23" s="4" t="s">
        <v>316</v>
      </c>
      <c r="I23" s="4" t="s">
        <v>226</v>
      </c>
      <c r="J23" s="4" t="s">
        <v>265</v>
      </c>
      <c r="K23" s="4" t="s">
        <v>113</v>
      </c>
      <c r="L23" s="4" t="s">
        <v>317</v>
      </c>
      <c r="M23" s="24" t="s">
        <v>211</v>
      </c>
      <c r="N23" s="4" t="s">
        <v>116</v>
      </c>
      <c r="O23" s="4" t="s">
        <v>165</v>
      </c>
      <c r="P23" s="4" t="s">
        <v>118</v>
      </c>
      <c r="Q23" s="25" t="n">
        <v>169.99</v>
      </c>
      <c r="R23" s="25" t="n">
        <v>169.99</v>
      </c>
      <c r="S23" s="25" t="n">
        <v>86.49</v>
      </c>
      <c r="T23" s="26" t="n">
        <v>0</v>
      </c>
      <c r="U23" s="26" t="n">
        <v>3</v>
      </c>
      <c r="V23" s="26" t="n">
        <v>8</v>
      </c>
      <c r="W23" s="26"/>
      <c r="X23" s="27" t="n">
        <f aca="false">SUM(T23:W23)</f>
        <v>11</v>
      </c>
      <c r="Y23" s="28" t="n">
        <f aca="false">COUNT(T23:W23)</f>
        <v>3</v>
      </c>
      <c r="Z23" s="29" t="n">
        <f aca="false">R23*X23</f>
        <v>1869.89</v>
      </c>
      <c r="AA23" s="30" t="n">
        <v>46199</v>
      </c>
    </row>
    <row r="24" customFormat="false" ht="15" hidden="false" customHeight="true" outlineLevel="0" collapsed="false">
      <c r="A24" s="4" t="s">
        <v>318</v>
      </c>
      <c r="B24" s="4" t="s">
        <v>319</v>
      </c>
      <c r="C24" s="4" t="s">
        <v>320</v>
      </c>
      <c r="D24" s="4" t="s">
        <v>181</v>
      </c>
      <c r="E24" s="4" t="s">
        <v>321</v>
      </c>
      <c r="F24" s="4" t="s">
        <v>322</v>
      </c>
      <c r="G24" s="4" t="s">
        <v>323</v>
      </c>
      <c r="H24" s="4" t="s">
        <v>324</v>
      </c>
      <c r="I24" s="4" t="s">
        <v>161</v>
      </c>
      <c r="J24" s="4" t="s">
        <v>325</v>
      </c>
      <c r="K24" s="4" t="s">
        <v>113</v>
      </c>
      <c r="L24" s="4" t="s">
        <v>326</v>
      </c>
      <c r="M24" s="24" t="s">
        <v>327</v>
      </c>
      <c r="N24" s="4" t="s">
        <v>116</v>
      </c>
      <c r="O24" s="4" t="s">
        <v>131</v>
      </c>
      <c r="P24" s="4" t="s">
        <v>118</v>
      </c>
      <c r="Q24" s="25" t="n">
        <v>209.99</v>
      </c>
      <c r="R24" s="25" t="n">
        <v>209.99</v>
      </c>
      <c r="S24" s="25" t="n">
        <v>110.54</v>
      </c>
      <c r="T24" s="26" t="n">
        <v>5</v>
      </c>
      <c r="U24" s="26"/>
      <c r="V24" s="26" t="n">
        <v>5</v>
      </c>
      <c r="W24" s="26"/>
      <c r="X24" s="27" t="n">
        <f aca="false">SUM(T24:W24)</f>
        <v>10</v>
      </c>
      <c r="Y24" s="28" t="n">
        <f aca="false">COUNT(T24:W24)</f>
        <v>2</v>
      </c>
      <c r="Z24" s="29" t="n">
        <f aca="false">R24*X24</f>
        <v>2099.9</v>
      </c>
      <c r="AA24" s="30" t="n">
        <v>46037</v>
      </c>
    </row>
    <row r="25" customFormat="false" ht="15" hidden="false" customHeight="true" outlineLevel="0" collapsed="false">
      <c r="A25" s="4" t="s">
        <v>328</v>
      </c>
      <c r="B25" s="4" t="s">
        <v>329</v>
      </c>
      <c r="C25" s="4" t="s">
        <v>330</v>
      </c>
      <c r="D25" s="4" t="s">
        <v>331</v>
      </c>
      <c r="E25" s="4" t="s">
        <v>332</v>
      </c>
      <c r="F25" s="4" t="s">
        <v>333</v>
      </c>
      <c r="G25" s="4" t="s">
        <v>334</v>
      </c>
      <c r="H25" s="4" t="s">
        <v>335</v>
      </c>
      <c r="I25" s="4" t="s">
        <v>161</v>
      </c>
      <c r="J25" s="4" t="s">
        <v>336</v>
      </c>
      <c r="K25" s="4" t="s">
        <v>187</v>
      </c>
      <c r="L25" s="4" t="s">
        <v>337</v>
      </c>
      <c r="M25" s="24" t="s">
        <v>338</v>
      </c>
      <c r="N25" s="4" t="s">
        <v>189</v>
      </c>
      <c r="O25" s="4" t="s">
        <v>165</v>
      </c>
      <c r="P25" s="4" t="s">
        <v>118</v>
      </c>
      <c r="Q25" s="25" t="n">
        <v>159.99</v>
      </c>
      <c r="R25" s="25" t="n">
        <v>159.99</v>
      </c>
      <c r="S25" s="25" t="n">
        <v>87.47</v>
      </c>
      <c r="T25" s="26" t="n">
        <v>5</v>
      </c>
      <c r="U25" s="26" t="n">
        <v>4</v>
      </c>
      <c r="V25" s="26" t="n">
        <v>7</v>
      </c>
      <c r="W25" s="26"/>
      <c r="X25" s="27" t="n">
        <f aca="false">SUM(T25:W25)</f>
        <v>16</v>
      </c>
      <c r="Y25" s="28" t="n">
        <f aca="false">COUNT(T25:W25)</f>
        <v>3</v>
      </c>
      <c r="Z25" s="29" t="n">
        <f aca="false">R25*X25</f>
        <v>2559.84</v>
      </c>
      <c r="AA25" s="30" t="n">
        <v>46166</v>
      </c>
    </row>
    <row r="26" customFormat="false" ht="15" hidden="false" customHeight="true" outlineLevel="0" collapsed="false">
      <c r="A26" s="4" t="s">
        <v>339</v>
      </c>
      <c r="B26" s="4" t="s">
        <v>340</v>
      </c>
      <c r="C26" s="4" t="s">
        <v>341</v>
      </c>
      <c r="D26" s="4" t="s">
        <v>342</v>
      </c>
      <c r="E26" s="4" t="s">
        <v>343</v>
      </c>
      <c r="F26" s="4" t="s">
        <v>344</v>
      </c>
      <c r="G26" s="4" t="s">
        <v>345</v>
      </c>
      <c r="H26" s="4" t="s">
        <v>346</v>
      </c>
      <c r="I26" s="4" t="s">
        <v>127</v>
      </c>
      <c r="J26" s="4" t="s">
        <v>347</v>
      </c>
      <c r="K26" s="4" t="s">
        <v>113</v>
      </c>
      <c r="L26" s="4" t="s">
        <v>348</v>
      </c>
      <c r="M26" s="24" t="s">
        <v>211</v>
      </c>
      <c r="N26" s="4" t="s">
        <v>116</v>
      </c>
      <c r="O26" s="4" t="s">
        <v>131</v>
      </c>
      <c r="P26" s="4" t="s">
        <v>118</v>
      </c>
      <c r="Q26" s="25" t="n">
        <v>154.99</v>
      </c>
      <c r="R26" s="25" t="n">
        <v>154.99</v>
      </c>
      <c r="S26" s="25" t="n">
        <v>78.28</v>
      </c>
      <c r="T26" s="26" t="n">
        <v>3</v>
      </c>
      <c r="U26" s="26" t="n">
        <v>4</v>
      </c>
      <c r="V26" s="26" t="n">
        <v>3</v>
      </c>
      <c r="W26" s="26" t="n">
        <v>0</v>
      </c>
      <c r="X26" s="27" t="n">
        <f aca="false">SUM(T26:W26)</f>
        <v>10</v>
      </c>
      <c r="Y26" s="28" t="n">
        <f aca="false">COUNT(T26:W26)</f>
        <v>4</v>
      </c>
      <c r="Z26" s="29" t="n">
        <f aca="false">R26*X26</f>
        <v>1549.9</v>
      </c>
      <c r="AA26" s="30" t="n">
        <v>46185</v>
      </c>
    </row>
    <row r="27" customFormat="false" ht="15" hidden="false" customHeight="true" outlineLevel="0" collapsed="false">
      <c r="A27" s="4" t="s">
        <v>349</v>
      </c>
      <c r="B27" s="4" t="s">
        <v>350</v>
      </c>
      <c r="C27" s="4" t="s">
        <v>351</v>
      </c>
      <c r="D27" s="4" t="s">
        <v>342</v>
      </c>
      <c r="E27" s="4" t="s">
        <v>343</v>
      </c>
      <c r="F27" s="4" t="s">
        <v>352</v>
      </c>
      <c r="G27" s="4" t="s">
        <v>353</v>
      </c>
      <c r="H27" s="4" t="s">
        <v>354</v>
      </c>
      <c r="I27" s="4" t="s">
        <v>127</v>
      </c>
      <c r="J27" s="4" t="s">
        <v>306</v>
      </c>
      <c r="K27" s="4" t="s">
        <v>187</v>
      </c>
      <c r="L27" s="4" t="s">
        <v>355</v>
      </c>
      <c r="M27" s="24" t="s">
        <v>356</v>
      </c>
      <c r="N27" s="4" t="s">
        <v>189</v>
      </c>
      <c r="O27" s="4" t="s">
        <v>165</v>
      </c>
      <c r="P27" s="4" t="s">
        <v>118</v>
      </c>
      <c r="Q27" s="25" t="n">
        <v>154.99</v>
      </c>
      <c r="R27" s="25" t="n">
        <v>154.99</v>
      </c>
      <c r="S27" s="25" t="n">
        <v>85.1</v>
      </c>
      <c r="T27" s="26" t="n">
        <v>0</v>
      </c>
      <c r="U27" s="26" t="n">
        <v>3</v>
      </c>
      <c r="V27" s="26" t="n">
        <v>5</v>
      </c>
      <c r="W27" s="26"/>
      <c r="X27" s="27" t="n">
        <f aca="false">SUM(T27:W27)</f>
        <v>8</v>
      </c>
      <c r="Y27" s="28" t="n">
        <f aca="false">COUNT(T27:W27)</f>
        <v>3</v>
      </c>
      <c r="Z27" s="29" t="n">
        <f aca="false">R27*X27</f>
        <v>1239.92</v>
      </c>
      <c r="AA27" s="30" t="n">
        <v>46167</v>
      </c>
    </row>
    <row r="28" customFormat="false" ht="15" hidden="false" customHeight="true" outlineLevel="0" collapsed="false">
      <c r="A28" s="4" t="s">
        <v>357</v>
      </c>
      <c r="B28" s="4" t="s">
        <v>358</v>
      </c>
      <c r="C28" s="4" t="s">
        <v>250</v>
      </c>
      <c r="D28" s="4" t="s">
        <v>251</v>
      </c>
      <c r="E28" s="4" t="s">
        <v>252</v>
      </c>
      <c r="F28" s="4" t="s">
        <v>253</v>
      </c>
      <c r="G28" s="4" t="s">
        <v>254</v>
      </c>
      <c r="H28" s="4" t="s">
        <v>255</v>
      </c>
      <c r="I28" s="4" t="s">
        <v>161</v>
      </c>
      <c r="J28" s="4" t="s">
        <v>256</v>
      </c>
      <c r="K28" s="4" t="s">
        <v>113</v>
      </c>
      <c r="L28" s="4" t="s">
        <v>257</v>
      </c>
      <c r="M28" s="24" t="s">
        <v>211</v>
      </c>
      <c r="N28" s="4" t="s">
        <v>116</v>
      </c>
      <c r="O28" s="4" t="s">
        <v>165</v>
      </c>
      <c r="P28" s="4" t="s">
        <v>118</v>
      </c>
      <c r="Q28" s="25" t="n">
        <v>119.99</v>
      </c>
      <c r="R28" s="25" t="n">
        <v>119.99</v>
      </c>
      <c r="S28" s="25" t="n">
        <v>66.31</v>
      </c>
      <c r="T28" s="26" t="n">
        <v>1</v>
      </c>
      <c r="U28" s="26" t="n">
        <v>3</v>
      </c>
      <c r="V28" s="26" t="n">
        <v>5</v>
      </c>
      <c r="W28" s="26"/>
      <c r="X28" s="27" t="n">
        <f aca="false">SUM(T28:W28)</f>
        <v>9</v>
      </c>
      <c r="Y28" s="28" t="n">
        <f aca="false">COUNT(T28:W28)</f>
        <v>3</v>
      </c>
      <c r="Z28" s="29" t="n">
        <f aca="false">R28*X28</f>
        <v>1079.91</v>
      </c>
      <c r="AA28" s="30" t="n">
        <v>46157</v>
      </c>
    </row>
    <row r="29" customFormat="false" ht="15" hidden="false" customHeight="true" outlineLevel="0" collapsed="false">
      <c r="A29" s="4" t="s">
        <v>359</v>
      </c>
      <c r="B29" s="4" t="s">
        <v>360</v>
      </c>
      <c r="C29" s="4" t="s">
        <v>284</v>
      </c>
      <c r="D29" s="4" t="s">
        <v>122</v>
      </c>
      <c r="E29" s="4" t="s">
        <v>285</v>
      </c>
      <c r="F29" s="4" t="s">
        <v>286</v>
      </c>
      <c r="G29" s="4" t="s">
        <v>287</v>
      </c>
      <c r="H29" s="4" t="s">
        <v>288</v>
      </c>
      <c r="I29" s="4" t="s">
        <v>161</v>
      </c>
      <c r="J29" s="4" t="s">
        <v>289</v>
      </c>
      <c r="K29" s="4" t="s">
        <v>187</v>
      </c>
      <c r="L29" s="4" t="s">
        <v>290</v>
      </c>
      <c r="M29" s="24" t="s">
        <v>356</v>
      </c>
      <c r="N29" s="4" t="s">
        <v>189</v>
      </c>
      <c r="O29" s="4" t="s">
        <v>165</v>
      </c>
      <c r="P29" s="4" t="s">
        <v>239</v>
      </c>
      <c r="Q29" s="25" t="n">
        <v>129.99</v>
      </c>
      <c r="R29" s="25" t="n">
        <v>77.99</v>
      </c>
      <c r="S29" s="25" t="n">
        <v>70.91</v>
      </c>
      <c r="T29" s="26"/>
      <c r="U29" s="26"/>
      <c r="V29" s="26" t="n">
        <v>2</v>
      </c>
      <c r="W29" s="26"/>
      <c r="X29" s="27" t="n">
        <f aca="false">SUM(T29:W29)</f>
        <v>2</v>
      </c>
      <c r="Y29" s="28" t="n">
        <f aca="false">COUNT(T29:W29)</f>
        <v>1</v>
      </c>
      <c r="Z29" s="29" t="n">
        <f aca="false">R29*X29</f>
        <v>155.98</v>
      </c>
      <c r="AA29" s="30" t="n">
        <v>46119</v>
      </c>
    </row>
    <row r="30" customFormat="false" ht="15" hidden="false" customHeight="true" outlineLevel="0" collapsed="false">
      <c r="A30" s="4" t="s">
        <v>361</v>
      </c>
      <c r="B30" s="4" t="s">
        <v>362</v>
      </c>
      <c r="C30" s="4" t="s">
        <v>231</v>
      </c>
      <c r="D30" s="4" t="s">
        <v>122</v>
      </c>
      <c r="E30" s="4" t="s">
        <v>123</v>
      </c>
      <c r="F30" s="4" t="s">
        <v>232</v>
      </c>
      <c r="G30" s="4" t="s">
        <v>233</v>
      </c>
      <c r="H30" s="4" t="s">
        <v>234</v>
      </c>
      <c r="I30" s="4" t="s">
        <v>161</v>
      </c>
      <c r="J30" s="4" t="s">
        <v>235</v>
      </c>
      <c r="K30" s="4" t="s">
        <v>150</v>
      </c>
      <c r="L30" s="4" t="s">
        <v>236</v>
      </c>
      <c r="M30" s="24" t="s">
        <v>363</v>
      </c>
      <c r="N30" s="4" t="s">
        <v>153</v>
      </c>
      <c r="O30" s="4" t="s">
        <v>238</v>
      </c>
      <c r="P30" s="4" t="s">
        <v>239</v>
      </c>
      <c r="Q30" s="25" t="n">
        <v>94.99</v>
      </c>
      <c r="R30" s="25" t="n">
        <v>65.99</v>
      </c>
      <c r="S30" s="25" t="n">
        <v>47.59</v>
      </c>
      <c r="T30" s="26" t="n">
        <v>2</v>
      </c>
      <c r="U30" s="26"/>
      <c r="V30" s="26" t="n">
        <v>6</v>
      </c>
      <c r="W30" s="26" t="n">
        <v>0</v>
      </c>
      <c r="X30" s="27" t="n">
        <f aca="false">SUM(T30:W30)</f>
        <v>8</v>
      </c>
      <c r="Y30" s="28" t="n">
        <f aca="false">COUNT(T30:W30)</f>
        <v>3</v>
      </c>
      <c r="Z30" s="29" t="n">
        <f aca="false">R30*X30</f>
        <v>527.92</v>
      </c>
      <c r="AA30" s="30" t="n">
        <v>46224</v>
      </c>
    </row>
    <row r="31" customFormat="false" ht="15" hidden="false" customHeight="true" outlineLevel="0" collapsed="false">
      <c r="A31" s="4" t="s">
        <v>364</v>
      </c>
      <c r="B31" s="4" t="s">
        <v>365</v>
      </c>
      <c r="C31" s="4" t="s">
        <v>366</v>
      </c>
      <c r="D31" s="4" t="s">
        <v>251</v>
      </c>
      <c r="E31" s="4" t="s">
        <v>252</v>
      </c>
      <c r="F31" s="4" t="s">
        <v>367</v>
      </c>
      <c r="G31" s="4" t="s">
        <v>368</v>
      </c>
      <c r="H31" s="4" t="s">
        <v>369</v>
      </c>
      <c r="I31" s="4" t="s">
        <v>161</v>
      </c>
      <c r="J31" s="4" t="s">
        <v>162</v>
      </c>
      <c r="K31" s="4" t="s">
        <v>187</v>
      </c>
      <c r="L31" s="4" t="s">
        <v>370</v>
      </c>
      <c r="M31" s="24" t="s">
        <v>338</v>
      </c>
      <c r="N31" s="4" t="s">
        <v>189</v>
      </c>
      <c r="O31" s="4" t="s">
        <v>117</v>
      </c>
      <c r="P31" s="4" t="s">
        <v>118</v>
      </c>
      <c r="Q31" s="25" t="n">
        <v>89.99</v>
      </c>
      <c r="R31" s="25" t="n">
        <v>89.99</v>
      </c>
      <c r="S31" s="25" t="n">
        <v>45.15</v>
      </c>
      <c r="T31" s="26" t="n">
        <v>0</v>
      </c>
      <c r="U31" s="26"/>
      <c r="V31" s="26" t="n">
        <v>4</v>
      </c>
      <c r="W31" s="26" t="n">
        <v>0</v>
      </c>
      <c r="X31" s="27" t="n">
        <f aca="false">SUM(T31:W31)</f>
        <v>4</v>
      </c>
      <c r="Y31" s="28" t="n">
        <f aca="false">COUNT(T31:W31)</f>
        <v>3</v>
      </c>
      <c r="Z31" s="29" t="n">
        <f aca="false">R31*X31</f>
        <v>359.96</v>
      </c>
      <c r="AA31" s="30" t="n">
        <v>46054</v>
      </c>
    </row>
    <row r="32" customFormat="false" ht="15" hidden="false" customHeight="true" outlineLevel="0" collapsed="false">
      <c r="A32" s="4" t="s">
        <v>371</v>
      </c>
      <c r="B32" s="4" t="s">
        <v>372</v>
      </c>
      <c r="C32" s="4" t="s">
        <v>373</v>
      </c>
      <c r="D32" s="4" t="s">
        <v>374</v>
      </c>
      <c r="E32" s="4" t="s">
        <v>375</v>
      </c>
      <c r="F32" s="4" t="s">
        <v>376</v>
      </c>
      <c r="G32" s="4" t="s">
        <v>377</v>
      </c>
      <c r="H32" s="4" t="s">
        <v>378</v>
      </c>
      <c r="I32" s="4" t="s">
        <v>161</v>
      </c>
      <c r="J32" s="4" t="s">
        <v>235</v>
      </c>
      <c r="K32" s="4" t="s">
        <v>113</v>
      </c>
      <c r="L32" s="4" t="s">
        <v>379</v>
      </c>
      <c r="M32" s="24" t="s">
        <v>177</v>
      </c>
      <c r="N32" s="4" t="s">
        <v>116</v>
      </c>
      <c r="O32" s="4" t="s">
        <v>380</v>
      </c>
      <c r="P32" s="4" t="s">
        <v>239</v>
      </c>
      <c r="Q32" s="25" t="n">
        <v>89.99</v>
      </c>
      <c r="R32" s="25" t="n">
        <v>62.99</v>
      </c>
      <c r="S32" s="25" t="n">
        <v>49.53</v>
      </c>
      <c r="T32" s="26" t="n">
        <v>3</v>
      </c>
      <c r="U32" s="26" t="n">
        <v>2</v>
      </c>
      <c r="V32" s="26" t="n">
        <v>2</v>
      </c>
      <c r="W32" s="26" t="n">
        <v>4</v>
      </c>
      <c r="X32" s="27" t="n">
        <f aca="false">SUM(T32:W32)</f>
        <v>11</v>
      </c>
      <c r="Y32" s="28" t="n">
        <f aca="false">COUNT(T32:W32)</f>
        <v>4</v>
      </c>
      <c r="Z32" s="29" t="n">
        <f aca="false">R32*X32</f>
        <v>692.89</v>
      </c>
      <c r="AA32" s="30" t="n">
        <v>46226</v>
      </c>
    </row>
    <row r="33" customFormat="false" ht="15" hidden="false" customHeight="true" outlineLevel="0" collapsed="false">
      <c r="A33" s="4" t="s">
        <v>381</v>
      </c>
      <c r="B33" s="4" t="s">
        <v>382</v>
      </c>
      <c r="C33" s="4" t="s">
        <v>383</v>
      </c>
      <c r="D33" s="4" t="s">
        <v>135</v>
      </c>
      <c r="E33" s="4" t="s">
        <v>136</v>
      </c>
      <c r="F33" s="4" t="s">
        <v>384</v>
      </c>
      <c r="G33" s="4" t="s">
        <v>385</v>
      </c>
      <c r="H33" s="4" t="s">
        <v>386</v>
      </c>
      <c r="I33" s="4" t="s">
        <v>127</v>
      </c>
      <c r="J33" s="4" t="s">
        <v>280</v>
      </c>
      <c r="K33" s="4" t="s">
        <v>113</v>
      </c>
      <c r="L33" s="4" t="s">
        <v>387</v>
      </c>
      <c r="M33" s="24" t="s">
        <v>130</v>
      </c>
      <c r="N33" s="4" t="s">
        <v>116</v>
      </c>
      <c r="O33" s="4" t="s">
        <v>117</v>
      </c>
      <c r="P33" s="4" t="s">
        <v>202</v>
      </c>
      <c r="Q33" s="25" t="n">
        <v>149.99</v>
      </c>
      <c r="R33" s="25" t="n">
        <v>149.99</v>
      </c>
      <c r="S33" s="25" t="n">
        <v>72.91</v>
      </c>
      <c r="T33" s="26" t="n">
        <v>5</v>
      </c>
      <c r="U33" s="26" t="n">
        <v>0</v>
      </c>
      <c r="V33" s="26" t="n">
        <v>6</v>
      </c>
      <c r="W33" s="26"/>
      <c r="X33" s="27" t="n">
        <f aca="false">SUM(T33:W33)</f>
        <v>11</v>
      </c>
      <c r="Y33" s="28" t="n">
        <f aca="false">COUNT(T33:W33)</f>
        <v>3</v>
      </c>
      <c r="Z33" s="29" t="n">
        <f aca="false">R33*X33</f>
        <v>1649.89</v>
      </c>
      <c r="AA33" s="30" t="n">
        <v>46122</v>
      </c>
    </row>
    <row r="34" customFormat="false" ht="15" hidden="false" customHeight="true" outlineLevel="0" collapsed="false">
      <c r="A34" s="4" t="s">
        <v>388</v>
      </c>
      <c r="B34" s="4" t="s">
        <v>389</v>
      </c>
      <c r="C34" s="4" t="s">
        <v>390</v>
      </c>
      <c r="D34" s="4" t="s">
        <v>135</v>
      </c>
      <c r="E34" s="4" t="s">
        <v>136</v>
      </c>
      <c r="F34" s="4" t="s">
        <v>391</v>
      </c>
      <c r="G34" s="4" t="s">
        <v>392</v>
      </c>
      <c r="H34" s="4" t="s">
        <v>393</v>
      </c>
      <c r="I34" s="4" t="s">
        <v>161</v>
      </c>
      <c r="J34" s="4" t="s">
        <v>235</v>
      </c>
      <c r="K34" s="4" t="s">
        <v>150</v>
      </c>
      <c r="L34" s="4" t="s">
        <v>273</v>
      </c>
      <c r="M34" s="24" t="s">
        <v>237</v>
      </c>
      <c r="N34" s="4" t="s">
        <v>153</v>
      </c>
      <c r="O34" s="4" t="s">
        <v>165</v>
      </c>
      <c r="P34" s="4" t="s">
        <v>118</v>
      </c>
      <c r="Q34" s="25" t="n">
        <v>69.99</v>
      </c>
      <c r="R34" s="25" t="n">
        <v>69.99</v>
      </c>
      <c r="S34" s="25" t="n">
        <v>39.11</v>
      </c>
      <c r="T34" s="26" t="n">
        <v>4</v>
      </c>
      <c r="U34" s="26"/>
      <c r="V34" s="26" t="n">
        <v>5</v>
      </c>
      <c r="W34" s="26"/>
      <c r="X34" s="27" t="n">
        <f aca="false">SUM(T34:W34)</f>
        <v>9</v>
      </c>
      <c r="Y34" s="28" t="n">
        <f aca="false">COUNT(T34:W34)</f>
        <v>2</v>
      </c>
      <c r="Z34" s="29" t="n">
        <f aca="false">R34*X34</f>
        <v>629.91</v>
      </c>
      <c r="AA34" s="30" t="n">
        <v>46216</v>
      </c>
    </row>
    <row r="35" customFormat="false" ht="15" hidden="false" customHeight="true" outlineLevel="0" collapsed="false">
      <c r="A35" s="4" t="s">
        <v>394</v>
      </c>
      <c r="B35" s="4" t="s">
        <v>395</v>
      </c>
      <c r="C35" s="4" t="s">
        <v>396</v>
      </c>
      <c r="D35" s="4" t="s">
        <v>106</v>
      </c>
      <c r="E35" s="4" t="s">
        <v>107</v>
      </c>
      <c r="F35" s="4" t="s">
        <v>397</v>
      </c>
      <c r="G35" s="4" t="s">
        <v>398</v>
      </c>
      <c r="H35" s="4" t="s">
        <v>399</v>
      </c>
      <c r="I35" s="4" t="s">
        <v>161</v>
      </c>
      <c r="J35" s="4" t="s">
        <v>235</v>
      </c>
      <c r="K35" s="4" t="s">
        <v>199</v>
      </c>
      <c r="L35" s="4" t="s">
        <v>400</v>
      </c>
      <c r="M35" s="24" t="s">
        <v>401</v>
      </c>
      <c r="N35" s="4" t="s">
        <v>153</v>
      </c>
      <c r="O35" s="4" t="s">
        <v>165</v>
      </c>
      <c r="P35" s="4" t="s">
        <v>118</v>
      </c>
      <c r="Q35" s="25" t="n">
        <v>49.99</v>
      </c>
      <c r="R35" s="25" t="n">
        <v>49.99</v>
      </c>
      <c r="S35" s="25" t="n">
        <v>24.93</v>
      </c>
      <c r="T35" s="26" t="n">
        <v>0</v>
      </c>
      <c r="U35" s="26" t="n">
        <v>0</v>
      </c>
      <c r="V35" s="26" t="n">
        <v>3</v>
      </c>
      <c r="W35" s="26" t="n">
        <v>4</v>
      </c>
      <c r="X35" s="27" t="n">
        <f aca="false">SUM(T35:W35)</f>
        <v>7</v>
      </c>
      <c r="Y35" s="28" t="n">
        <f aca="false">COUNT(T35:W35)</f>
        <v>4</v>
      </c>
      <c r="Z35" s="29" t="n">
        <f aca="false">R35*X35</f>
        <v>349.93</v>
      </c>
      <c r="AA35" s="30" t="n">
        <v>46120</v>
      </c>
    </row>
    <row r="36" customFormat="false" ht="15" hidden="false" customHeight="true" outlineLevel="0" collapsed="false">
      <c r="A36" s="4" t="s">
        <v>402</v>
      </c>
      <c r="B36" s="4" t="s">
        <v>403</v>
      </c>
      <c r="C36" s="4" t="s">
        <v>404</v>
      </c>
      <c r="D36" s="4" t="s">
        <v>169</v>
      </c>
      <c r="E36" s="4" t="s">
        <v>170</v>
      </c>
      <c r="F36" s="4" t="s">
        <v>405</v>
      </c>
      <c r="G36" s="4" t="s">
        <v>406</v>
      </c>
      <c r="H36" s="4" t="s">
        <v>407</v>
      </c>
      <c r="I36" s="4" t="s">
        <v>127</v>
      </c>
      <c r="J36" s="4" t="s">
        <v>280</v>
      </c>
      <c r="K36" s="4" t="s">
        <v>113</v>
      </c>
      <c r="L36" s="4" t="s">
        <v>140</v>
      </c>
      <c r="M36" s="24" t="s">
        <v>177</v>
      </c>
      <c r="N36" s="4" t="s">
        <v>116</v>
      </c>
      <c r="O36" s="4" t="s">
        <v>131</v>
      </c>
      <c r="P36" s="4" t="s">
        <v>118</v>
      </c>
      <c r="Q36" s="25" t="n">
        <v>144.99</v>
      </c>
      <c r="R36" s="25" t="n">
        <v>144.99</v>
      </c>
      <c r="S36" s="25" t="n">
        <v>76.41</v>
      </c>
      <c r="T36" s="26" t="n">
        <v>1</v>
      </c>
      <c r="U36" s="26"/>
      <c r="V36" s="26" t="n">
        <v>1</v>
      </c>
      <c r="W36" s="26"/>
      <c r="X36" s="27" t="n">
        <f aca="false">SUM(T36:W36)</f>
        <v>2</v>
      </c>
      <c r="Y36" s="28" t="n">
        <f aca="false">COUNT(T36:W36)</f>
        <v>2</v>
      </c>
      <c r="Z36" s="29" t="n">
        <f aca="false">R36*X36</f>
        <v>289.98</v>
      </c>
      <c r="AA36" s="30" t="n">
        <v>46175</v>
      </c>
    </row>
    <row r="37" customFormat="false" ht="15" hidden="false" customHeight="true" outlineLevel="0" collapsed="false">
      <c r="A37" s="4" t="s">
        <v>408</v>
      </c>
      <c r="B37" s="4" t="s">
        <v>409</v>
      </c>
      <c r="C37" s="4" t="s">
        <v>134</v>
      </c>
      <c r="D37" s="4" t="s">
        <v>135</v>
      </c>
      <c r="E37" s="4" t="s">
        <v>136</v>
      </c>
      <c r="F37" s="4" t="s">
        <v>137</v>
      </c>
      <c r="G37" s="4" t="s">
        <v>138</v>
      </c>
      <c r="H37" s="4" t="s">
        <v>139</v>
      </c>
      <c r="I37" s="4" t="s">
        <v>127</v>
      </c>
      <c r="J37" s="4" t="s">
        <v>128</v>
      </c>
      <c r="K37" s="4" t="s">
        <v>113</v>
      </c>
      <c r="L37" s="4" t="s">
        <v>140</v>
      </c>
      <c r="M37" s="24" t="s">
        <v>327</v>
      </c>
      <c r="N37" s="4" t="s">
        <v>116</v>
      </c>
      <c r="O37" s="4" t="s">
        <v>117</v>
      </c>
      <c r="P37" s="4" t="s">
        <v>118</v>
      </c>
      <c r="Q37" s="25" t="n">
        <v>79.99</v>
      </c>
      <c r="R37" s="25" t="n">
        <v>79.99</v>
      </c>
      <c r="S37" s="25" t="n">
        <v>39.84</v>
      </c>
      <c r="T37" s="26" t="n">
        <v>5</v>
      </c>
      <c r="U37" s="26"/>
      <c r="V37" s="26" t="n">
        <v>4</v>
      </c>
      <c r="W37" s="26"/>
      <c r="X37" s="27" t="n">
        <f aca="false">SUM(T37:W37)</f>
        <v>9</v>
      </c>
      <c r="Y37" s="28" t="n">
        <f aca="false">COUNT(T37:W37)</f>
        <v>2</v>
      </c>
      <c r="Z37" s="29" t="n">
        <f aca="false">R37*X37</f>
        <v>719.91</v>
      </c>
      <c r="AA37" s="30" t="n">
        <v>46161</v>
      </c>
    </row>
    <row r="38" customFormat="false" ht="15" hidden="false" customHeight="true" outlineLevel="0" collapsed="false">
      <c r="A38" s="4" t="s">
        <v>410</v>
      </c>
      <c r="B38" s="4" t="s">
        <v>411</v>
      </c>
      <c r="C38" s="4" t="s">
        <v>412</v>
      </c>
      <c r="D38" s="4" t="s">
        <v>135</v>
      </c>
      <c r="E38" s="4" t="s">
        <v>136</v>
      </c>
      <c r="F38" s="4" t="s">
        <v>413</v>
      </c>
      <c r="G38" s="4" t="s">
        <v>414</v>
      </c>
      <c r="H38" s="4" t="s">
        <v>415</v>
      </c>
      <c r="I38" s="4" t="s">
        <v>161</v>
      </c>
      <c r="J38" s="4" t="s">
        <v>246</v>
      </c>
      <c r="K38" s="4" t="s">
        <v>113</v>
      </c>
      <c r="L38" s="4" t="s">
        <v>416</v>
      </c>
      <c r="M38" s="24" t="s">
        <v>211</v>
      </c>
      <c r="N38" s="4" t="s">
        <v>116</v>
      </c>
      <c r="O38" s="4" t="s">
        <v>238</v>
      </c>
      <c r="P38" s="4" t="s">
        <v>239</v>
      </c>
      <c r="Q38" s="25" t="n">
        <v>89.99</v>
      </c>
      <c r="R38" s="25" t="n">
        <v>53.99</v>
      </c>
      <c r="S38" s="25" t="n">
        <v>46.24</v>
      </c>
      <c r="T38" s="26" t="n">
        <v>4</v>
      </c>
      <c r="U38" s="26" t="n">
        <v>2</v>
      </c>
      <c r="V38" s="26" t="n">
        <v>3</v>
      </c>
      <c r="W38" s="26" t="n">
        <v>1</v>
      </c>
      <c r="X38" s="27" t="n">
        <f aca="false">SUM(T38:W38)</f>
        <v>10</v>
      </c>
      <c r="Y38" s="28" t="n">
        <f aca="false">COUNT(T38:W38)</f>
        <v>4</v>
      </c>
      <c r="Z38" s="29" t="n">
        <f aca="false">R38*X38</f>
        <v>539.9</v>
      </c>
      <c r="AA38" s="30" t="n">
        <v>46218</v>
      </c>
    </row>
    <row r="39" customFormat="false" ht="15" hidden="false" customHeight="true" outlineLevel="0" collapsed="false">
      <c r="A39" s="4" t="s">
        <v>417</v>
      </c>
      <c r="B39" s="4" t="s">
        <v>418</v>
      </c>
      <c r="C39" s="4" t="s">
        <v>419</v>
      </c>
      <c r="D39" s="4" t="s">
        <v>122</v>
      </c>
      <c r="E39" s="4" t="s">
        <v>123</v>
      </c>
      <c r="F39" s="4" t="s">
        <v>420</v>
      </c>
      <c r="G39" s="4" t="s">
        <v>421</v>
      </c>
      <c r="H39" s="4" t="s">
        <v>422</v>
      </c>
      <c r="I39" s="4" t="s">
        <v>161</v>
      </c>
      <c r="J39" s="4" t="s">
        <v>235</v>
      </c>
      <c r="K39" s="4" t="s">
        <v>113</v>
      </c>
      <c r="L39" s="4" t="s">
        <v>423</v>
      </c>
      <c r="M39" s="24" t="s">
        <v>177</v>
      </c>
      <c r="N39" s="4" t="s">
        <v>116</v>
      </c>
      <c r="O39" s="4" t="s">
        <v>131</v>
      </c>
      <c r="P39" s="4" t="s">
        <v>118</v>
      </c>
      <c r="Q39" s="25" t="n">
        <v>124.99</v>
      </c>
      <c r="R39" s="25" t="n">
        <v>124.99</v>
      </c>
      <c r="S39" s="25" t="n">
        <v>68.25</v>
      </c>
      <c r="T39" s="26" t="n">
        <v>1</v>
      </c>
      <c r="U39" s="26" t="n">
        <v>1</v>
      </c>
      <c r="V39" s="26" t="n">
        <v>5</v>
      </c>
      <c r="W39" s="26"/>
      <c r="X39" s="27" t="n">
        <f aca="false">SUM(T39:W39)</f>
        <v>7</v>
      </c>
      <c r="Y39" s="28" t="n">
        <f aca="false">COUNT(T39:W39)</f>
        <v>3</v>
      </c>
      <c r="Z39" s="29" t="n">
        <f aca="false">R39*X39</f>
        <v>874.93</v>
      </c>
      <c r="AA39" s="30" t="n">
        <v>46126</v>
      </c>
    </row>
    <row r="40" customFormat="false" ht="15" hidden="false" customHeight="true" outlineLevel="0" collapsed="false">
      <c r="A40" s="4" t="s">
        <v>424</v>
      </c>
      <c r="B40" s="4" t="s">
        <v>425</v>
      </c>
      <c r="C40" s="4" t="s">
        <v>426</v>
      </c>
      <c r="D40" s="4" t="s">
        <v>427</v>
      </c>
      <c r="E40" s="4" t="s">
        <v>428</v>
      </c>
      <c r="F40" s="4" t="s">
        <v>429</v>
      </c>
      <c r="G40" s="4" t="s">
        <v>430</v>
      </c>
      <c r="H40" s="4" t="s">
        <v>431</v>
      </c>
      <c r="I40" s="4" t="s">
        <v>127</v>
      </c>
      <c r="J40" s="4" t="s">
        <v>298</v>
      </c>
      <c r="K40" s="4" t="s">
        <v>113</v>
      </c>
      <c r="L40" s="4" t="s">
        <v>432</v>
      </c>
      <c r="M40" s="24" t="s">
        <v>258</v>
      </c>
      <c r="N40" s="4" t="s">
        <v>116</v>
      </c>
      <c r="O40" s="4" t="s">
        <v>165</v>
      </c>
      <c r="P40" s="4" t="s">
        <v>118</v>
      </c>
      <c r="Q40" s="25" t="n">
        <v>99.99</v>
      </c>
      <c r="R40" s="25" t="n">
        <v>99.99</v>
      </c>
      <c r="S40" s="25" t="n">
        <v>55.37</v>
      </c>
      <c r="T40" s="26" t="n">
        <v>3</v>
      </c>
      <c r="U40" s="26"/>
      <c r="V40" s="26" t="n">
        <v>2</v>
      </c>
      <c r="W40" s="26" t="n">
        <v>4</v>
      </c>
      <c r="X40" s="27" t="n">
        <f aca="false">SUM(T40:W40)</f>
        <v>9</v>
      </c>
      <c r="Y40" s="28" t="n">
        <f aca="false">COUNT(T40:W40)</f>
        <v>3</v>
      </c>
      <c r="Z40" s="29" t="n">
        <f aca="false">R40*X40</f>
        <v>899.91</v>
      </c>
      <c r="AA40" s="30" t="n">
        <v>46103</v>
      </c>
    </row>
    <row r="41" customFormat="false" ht="15" hidden="false" customHeight="true" outlineLevel="0" collapsed="false">
      <c r="A41" s="4" t="s">
        <v>433</v>
      </c>
      <c r="B41" s="4" t="s">
        <v>434</v>
      </c>
      <c r="C41" s="4" t="s">
        <v>435</v>
      </c>
      <c r="D41" s="4" t="s">
        <v>436</v>
      </c>
      <c r="E41" s="4" t="s">
        <v>437</v>
      </c>
      <c r="F41" s="4" t="s">
        <v>438</v>
      </c>
      <c r="G41" s="4" t="s">
        <v>439</v>
      </c>
      <c r="H41" s="4" t="s">
        <v>440</v>
      </c>
      <c r="I41" s="4" t="s">
        <v>111</v>
      </c>
      <c r="J41" s="4" t="s">
        <v>111</v>
      </c>
      <c r="K41" s="4" t="s">
        <v>209</v>
      </c>
      <c r="L41" s="4" t="s">
        <v>441</v>
      </c>
      <c r="M41" s="24" t="s">
        <v>442</v>
      </c>
      <c r="N41" s="4" t="s">
        <v>153</v>
      </c>
      <c r="O41" s="4" t="s">
        <v>238</v>
      </c>
      <c r="P41" s="4" t="s">
        <v>118</v>
      </c>
      <c r="Q41" s="25" t="n">
        <v>54.99</v>
      </c>
      <c r="R41" s="25" t="n">
        <v>54.99</v>
      </c>
      <c r="S41" s="25" t="n">
        <v>26.61</v>
      </c>
      <c r="T41" s="26" t="n">
        <v>3</v>
      </c>
      <c r="U41" s="26"/>
      <c r="V41" s="26" t="n">
        <v>0</v>
      </c>
      <c r="W41" s="26"/>
      <c r="X41" s="27" t="n">
        <f aca="false">SUM(T41:W41)</f>
        <v>3</v>
      </c>
      <c r="Y41" s="28" t="n">
        <f aca="false">COUNT(T41:W41)</f>
        <v>2</v>
      </c>
      <c r="Z41" s="29" t="n">
        <f aca="false">R41*X41</f>
        <v>164.97</v>
      </c>
      <c r="AA41" s="30" t="n">
        <v>46035</v>
      </c>
    </row>
    <row r="42" customFormat="false" ht="15" hidden="false" customHeight="true" outlineLevel="0" collapsed="false">
      <c r="A42" s="4" t="s">
        <v>443</v>
      </c>
      <c r="B42" s="4" t="s">
        <v>444</v>
      </c>
      <c r="C42" s="4" t="s">
        <v>445</v>
      </c>
      <c r="D42" s="4" t="s">
        <v>122</v>
      </c>
      <c r="E42" s="4" t="s">
        <v>285</v>
      </c>
      <c r="F42" s="4" t="s">
        <v>446</v>
      </c>
      <c r="G42" s="4" t="s">
        <v>447</v>
      </c>
      <c r="H42" s="4" t="s">
        <v>448</v>
      </c>
      <c r="I42" s="4" t="s">
        <v>161</v>
      </c>
      <c r="J42" s="4" t="s">
        <v>289</v>
      </c>
      <c r="K42" s="4" t="s">
        <v>150</v>
      </c>
      <c r="L42" s="4" t="s">
        <v>449</v>
      </c>
      <c r="M42" s="24" t="s">
        <v>450</v>
      </c>
      <c r="N42" s="4" t="s">
        <v>153</v>
      </c>
      <c r="O42" s="4" t="s">
        <v>117</v>
      </c>
      <c r="P42" s="4" t="s">
        <v>118</v>
      </c>
      <c r="Q42" s="25" t="n">
        <v>154.99</v>
      </c>
      <c r="R42" s="25" t="n">
        <v>154.99</v>
      </c>
      <c r="S42" s="25" t="n">
        <v>85.71</v>
      </c>
      <c r="T42" s="26" t="n">
        <v>4</v>
      </c>
      <c r="U42" s="26"/>
      <c r="V42" s="26" t="n">
        <v>0</v>
      </c>
      <c r="W42" s="26" t="n">
        <v>2</v>
      </c>
      <c r="X42" s="27" t="n">
        <f aca="false">SUM(T42:W42)</f>
        <v>6</v>
      </c>
      <c r="Y42" s="28" t="n">
        <f aca="false">COUNT(T42:W42)</f>
        <v>3</v>
      </c>
      <c r="Z42" s="29" t="n">
        <f aca="false">R42*X42</f>
        <v>929.94</v>
      </c>
      <c r="AA42" s="30" t="n">
        <v>46198</v>
      </c>
    </row>
    <row r="43" customFormat="false" ht="15" hidden="false" customHeight="true" outlineLevel="0" collapsed="false">
      <c r="A43" s="4" t="s">
        <v>451</v>
      </c>
      <c r="B43" s="4" t="s">
        <v>452</v>
      </c>
      <c r="C43" s="4" t="s">
        <v>453</v>
      </c>
      <c r="D43" s="4" t="s">
        <v>251</v>
      </c>
      <c r="E43" s="4" t="s">
        <v>252</v>
      </c>
      <c r="F43" s="4" t="s">
        <v>454</v>
      </c>
      <c r="G43" s="4" t="s">
        <v>455</v>
      </c>
      <c r="H43" s="4" t="s">
        <v>456</v>
      </c>
      <c r="I43" s="4" t="s">
        <v>161</v>
      </c>
      <c r="J43" s="4" t="s">
        <v>235</v>
      </c>
      <c r="K43" s="4" t="s">
        <v>199</v>
      </c>
      <c r="L43" s="4" t="s">
        <v>457</v>
      </c>
      <c r="M43" s="24" t="s">
        <v>401</v>
      </c>
      <c r="N43" s="4" t="s">
        <v>153</v>
      </c>
      <c r="O43" s="4" t="s">
        <v>380</v>
      </c>
      <c r="P43" s="4" t="s">
        <v>239</v>
      </c>
      <c r="Q43" s="25" t="n">
        <v>44.99</v>
      </c>
      <c r="R43" s="25" t="n">
        <v>33.99</v>
      </c>
      <c r="S43" s="25" t="n">
        <v>24.11</v>
      </c>
      <c r="T43" s="26"/>
      <c r="U43" s="26"/>
      <c r="V43" s="26" t="n">
        <v>0</v>
      </c>
      <c r="W43" s="26"/>
      <c r="X43" s="27" t="n">
        <f aca="false">SUM(T43:W43)</f>
        <v>0</v>
      </c>
      <c r="Y43" s="28" t="n">
        <f aca="false">COUNT(T43:W43)</f>
        <v>1</v>
      </c>
      <c r="Z43" s="29" t="n">
        <f aca="false">R43*X43</f>
        <v>0</v>
      </c>
      <c r="AA43" s="30" t="n">
        <v>46164</v>
      </c>
    </row>
    <row r="44" customFormat="false" ht="15" hidden="false" customHeight="true" outlineLevel="0" collapsed="false">
      <c r="A44" s="4" t="s">
        <v>458</v>
      </c>
      <c r="B44" s="4" t="s">
        <v>459</v>
      </c>
      <c r="C44" s="4" t="s">
        <v>460</v>
      </c>
      <c r="D44" s="4" t="s">
        <v>181</v>
      </c>
      <c r="E44" s="4" t="s">
        <v>182</v>
      </c>
      <c r="F44" s="4" t="s">
        <v>461</v>
      </c>
      <c r="G44" s="4" t="s">
        <v>462</v>
      </c>
      <c r="H44" s="4" t="s">
        <v>463</v>
      </c>
      <c r="I44" s="4" t="s">
        <v>161</v>
      </c>
      <c r="J44" s="4" t="s">
        <v>186</v>
      </c>
      <c r="K44" s="4" t="s">
        <v>209</v>
      </c>
      <c r="L44" s="4" t="s">
        <v>464</v>
      </c>
      <c r="M44" s="24" t="s">
        <v>164</v>
      </c>
      <c r="N44" s="4" t="s">
        <v>153</v>
      </c>
      <c r="O44" s="4" t="s">
        <v>131</v>
      </c>
      <c r="P44" s="4" t="s">
        <v>118</v>
      </c>
      <c r="Q44" s="25" t="n">
        <v>84.99</v>
      </c>
      <c r="R44" s="25" t="n">
        <v>84.99</v>
      </c>
      <c r="S44" s="25" t="n">
        <v>42.89</v>
      </c>
      <c r="T44" s="26" t="n">
        <v>6</v>
      </c>
      <c r="U44" s="26"/>
      <c r="V44" s="26" t="n">
        <v>2</v>
      </c>
      <c r="W44" s="26" t="n">
        <v>2</v>
      </c>
      <c r="X44" s="27" t="n">
        <f aca="false">SUM(T44:W44)</f>
        <v>10</v>
      </c>
      <c r="Y44" s="28" t="n">
        <f aca="false">COUNT(T44:W44)</f>
        <v>3</v>
      </c>
      <c r="Z44" s="29" t="n">
        <f aca="false">R44*X44</f>
        <v>849.9</v>
      </c>
      <c r="AA44" s="30" t="n">
        <v>46108</v>
      </c>
    </row>
    <row r="45" customFormat="false" ht="15" hidden="false" customHeight="true" outlineLevel="0" collapsed="false">
      <c r="A45" s="4" t="s">
        <v>465</v>
      </c>
      <c r="B45" s="4" t="s">
        <v>466</v>
      </c>
      <c r="C45" s="4" t="s">
        <v>467</v>
      </c>
      <c r="D45" s="4" t="s">
        <v>135</v>
      </c>
      <c r="E45" s="4" t="s">
        <v>136</v>
      </c>
      <c r="F45" s="4" t="s">
        <v>468</v>
      </c>
      <c r="G45" s="4" t="s">
        <v>469</v>
      </c>
      <c r="H45" s="4" t="s">
        <v>470</v>
      </c>
      <c r="I45" s="4" t="s">
        <v>127</v>
      </c>
      <c r="J45" s="4" t="s">
        <v>347</v>
      </c>
      <c r="K45" s="4" t="s">
        <v>187</v>
      </c>
      <c r="L45" s="4" t="s">
        <v>471</v>
      </c>
      <c r="M45" s="24" t="s">
        <v>308</v>
      </c>
      <c r="N45" s="4" t="s">
        <v>189</v>
      </c>
      <c r="O45" s="4" t="s">
        <v>165</v>
      </c>
      <c r="P45" s="4" t="s">
        <v>118</v>
      </c>
      <c r="Q45" s="25" t="n">
        <v>169.99</v>
      </c>
      <c r="R45" s="25" t="n">
        <v>169.99</v>
      </c>
      <c r="S45" s="25" t="n">
        <v>94.08</v>
      </c>
      <c r="T45" s="26" t="n">
        <v>1</v>
      </c>
      <c r="U45" s="26" t="n">
        <v>2</v>
      </c>
      <c r="V45" s="26" t="n">
        <v>4</v>
      </c>
      <c r="W45" s="26" t="n">
        <v>2</v>
      </c>
      <c r="X45" s="27" t="n">
        <f aca="false">SUM(T45:W45)</f>
        <v>9</v>
      </c>
      <c r="Y45" s="28" t="n">
        <f aca="false">COUNT(T45:W45)</f>
        <v>4</v>
      </c>
      <c r="Z45" s="29" t="n">
        <f aca="false">R45*X45</f>
        <v>1529.91</v>
      </c>
      <c r="AA45" s="30" t="n">
        <v>46166</v>
      </c>
    </row>
    <row r="46" customFormat="false" ht="15" hidden="false" customHeight="true" outlineLevel="0" collapsed="false">
      <c r="A46" s="4" t="s">
        <v>472</v>
      </c>
      <c r="B46" s="4" t="s">
        <v>473</v>
      </c>
      <c r="C46" s="4" t="s">
        <v>474</v>
      </c>
      <c r="D46" s="4" t="s">
        <v>475</v>
      </c>
      <c r="E46" s="4" t="s">
        <v>476</v>
      </c>
      <c r="F46" s="4" t="s">
        <v>477</v>
      </c>
      <c r="G46" s="4" t="s">
        <v>478</v>
      </c>
      <c r="H46" s="4" t="s">
        <v>479</v>
      </c>
      <c r="I46" s="4" t="s">
        <v>161</v>
      </c>
      <c r="J46" s="4" t="s">
        <v>186</v>
      </c>
      <c r="K46" s="4" t="s">
        <v>187</v>
      </c>
      <c r="L46" s="4" t="s">
        <v>480</v>
      </c>
      <c r="M46" s="24" t="s">
        <v>308</v>
      </c>
      <c r="N46" s="4" t="s">
        <v>189</v>
      </c>
      <c r="O46" s="4" t="s">
        <v>380</v>
      </c>
      <c r="P46" s="4" t="s">
        <v>239</v>
      </c>
      <c r="Q46" s="25" t="n">
        <v>114.99</v>
      </c>
      <c r="R46" s="25" t="n">
        <v>85.99</v>
      </c>
      <c r="S46" s="25" t="n">
        <v>61.43</v>
      </c>
      <c r="T46" s="26" t="n">
        <v>0</v>
      </c>
      <c r="U46" s="26" t="n">
        <v>1</v>
      </c>
      <c r="V46" s="26" t="n">
        <v>2</v>
      </c>
      <c r="W46" s="26"/>
      <c r="X46" s="27" t="n">
        <f aca="false">SUM(T46:W46)</f>
        <v>3</v>
      </c>
      <c r="Y46" s="28" t="n">
        <f aca="false">COUNT(T46:W46)</f>
        <v>3</v>
      </c>
      <c r="Z46" s="29" t="n">
        <f aca="false">R46*X46</f>
        <v>257.97</v>
      </c>
      <c r="AA46" s="30" t="n">
        <v>46057</v>
      </c>
    </row>
    <row r="47" customFormat="false" ht="15" hidden="false" customHeight="true" outlineLevel="0" collapsed="false">
      <c r="A47" s="4" t="s">
        <v>481</v>
      </c>
      <c r="B47" s="4" t="s">
        <v>482</v>
      </c>
      <c r="C47" s="4" t="s">
        <v>483</v>
      </c>
      <c r="D47" s="4" t="s">
        <v>484</v>
      </c>
      <c r="E47" s="4" t="s">
        <v>485</v>
      </c>
      <c r="F47" s="4" t="s">
        <v>486</v>
      </c>
      <c r="G47" s="4" t="s">
        <v>487</v>
      </c>
      <c r="H47" s="4" t="s">
        <v>488</v>
      </c>
      <c r="I47" s="4" t="s">
        <v>127</v>
      </c>
      <c r="J47" s="4" t="s">
        <v>280</v>
      </c>
      <c r="K47" s="4" t="s">
        <v>113</v>
      </c>
      <c r="L47" s="4" t="s">
        <v>489</v>
      </c>
      <c r="M47" s="24" t="s">
        <v>211</v>
      </c>
      <c r="N47" s="4" t="s">
        <v>116</v>
      </c>
      <c r="O47" s="4" t="s">
        <v>131</v>
      </c>
      <c r="P47" s="4" t="s">
        <v>239</v>
      </c>
      <c r="Q47" s="25" t="n">
        <v>144.99</v>
      </c>
      <c r="R47" s="25" t="n">
        <v>93.99</v>
      </c>
      <c r="S47" s="25" t="n">
        <v>77.83</v>
      </c>
      <c r="T47" s="26" t="n">
        <v>2</v>
      </c>
      <c r="U47" s="26" t="n">
        <v>2</v>
      </c>
      <c r="V47" s="26" t="n">
        <v>0</v>
      </c>
      <c r="W47" s="26" t="n">
        <v>0</v>
      </c>
      <c r="X47" s="27" t="n">
        <f aca="false">SUM(T47:W47)</f>
        <v>4</v>
      </c>
      <c r="Y47" s="28" t="n">
        <f aca="false">COUNT(T47:W47)</f>
        <v>4</v>
      </c>
      <c r="Z47" s="29" t="n">
        <f aca="false">R47*X47</f>
        <v>375.96</v>
      </c>
      <c r="AA47" s="30" t="n">
        <v>46050</v>
      </c>
    </row>
    <row r="48" customFormat="false" ht="15" hidden="false" customHeight="true" outlineLevel="0" collapsed="false">
      <c r="A48" s="4" t="s">
        <v>490</v>
      </c>
      <c r="B48" s="4" t="s">
        <v>491</v>
      </c>
      <c r="C48" s="4" t="s">
        <v>134</v>
      </c>
      <c r="D48" s="4" t="s">
        <v>135</v>
      </c>
      <c r="E48" s="4" t="s">
        <v>136</v>
      </c>
      <c r="F48" s="4" t="s">
        <v>137</v>
      </c>
      <c r="G48" s="4" t="s">
        <v>138</v>
      </c>
      <c r="H48" s="4" t="s">
        <v>139</v>
      </c>
      <c r="I48" s="4" t="s">
        <v>127</v>
      </c>
      <c r="J48" s="4" t="s">
        <v>128</v>
      </c>
      <c r="K48" s="4" t="s">
        <v>113</v>
      </c>
      <c r="L48" s="4" t="s">
        <v>140</v>
      </c>
      <c r="M48" s="24" t="s">
        <v>130</v>
      </c>
      <c r="N48" s="4" t="s">
        <v>116</v>
      </c>
      <c r="O48" s="4" t="s">
        <v>117</v>
      </c>
      <c r="P48" s="4" t="s">
        <v>118</v>
      </c>
      <c r="Q48" s="25" t="n">
        <v>79.99</v>
      </c>
      <c r="R48" s="25" t="n">
        <v>79.99</v>
      </c>
      <c r="S48" s="25" t="n">
        <v>39.84</v>
      </c>
      <c r="T48" s="26" t="n">
        <v>2</v>
      </c>
      <c r="U48" s="26"/>
      <c r="V48" s="26" t="n">
        <v>5</v>
      </c>
      <c r="W48" s="26"/>
      <c r="X48" s="27" t="n">
        <f aca="false">SUM(T48:W48)</f>
        <v>7</v>
      </c>
      <c r="Y48" s="28" t="n">
        <f aca="false">COUNT(T48:W48)</f>
        <v>2</v>
      </c>
      <c r="Z48" s="29" t="n">
        <f aca="false">R48*X48</f>
        <v>559.93</v>
      </c>
      <c r="AA48" s="30" t="n">
        <v>46195</v>
      </c>
    </row>
    <row r="49" customFormat="false" ht="15" hidden="false" customHeight="true" outlineLevel="0" collapsed="false">
      <c r="A49" s="4" t="s">
        <v>492</v>
      </c>
      <c r="B49" s="4" t="s">
        <v>493</v>
      </c>
      <c r="C49" s="4" t="s">
        <v>494</v>
      </c>
      <c r="D49" s="4" t="s">
        <v>106</v>
      </c>
      <c r="E49" s="4" t="s">
        <v>157</v>
      </c>
      <c r="F49" s="4" t="s">
        <v>495</v>
      </c>
      <c r="G49" s="4" t="s">
        <v>496</v>
      </c>
      <c r="H49" s="4" t="s">
        <v>497</v>
      </c>
      <c r="I49" s="4" t="s">
        <v>161</v>
      </c>
      <c r="J49" s="4" t="s">
        <v>162</v>
      </c>
      <c r="K49" s="4" t="s">
        <v>113</v>
      </c>
      <c r="L49" s="4" t="s">
        <v>498</v>
      </c>
      <c r="M49" s="24" t="s">
        <v>356</v>
      </c>
      <c r="N49" s="4" t="s">
        <v>116</v>
      </c>
      <c r="O49" s="4" t="s">
        <v>238</v>
      </c>
      <c r="P49" s="4" t="s">
        <v>239</v>
      </c>
      <c r="Q49" s="25" t="n">
        <v>109.99</v>
      </c>
      <c r="R49" s="25" t="n">
        <v>65.99</v>
      </c>
      <c r="S49" s="25" t="n">
        <v>60.5</v>
      </c>
      <c r="T49" s="26" t="n">
        <v>3</v>
      </c>
      <c r="U49" s="26" t="n">
        <v>6</v>
      </c>
      <c r="V49" s="26" t="n">
        <v>7</v>
      </c>
      <c r="W49" s="26" t="n">
        <v>2</v>
      </c>
      <c r="X49" s="27" t="n">
        <f aca="false">SUM(T49:W49)</f>
        <v>18</v>
      </c>
      <c r="Y49" s="28" t="n">
        <f aca="false">COUNT(T49:W49)</f>
        <v>4</v>
      </c>
      <c r="Z49" s="29" t="n">
        <f aca="false">R49*X49</f>
        <v>1187.82</v>
      </c>
      <c r="AA49" s="30" t="n">
        <v>46180</v>
      </c>
    </row>
    <row r="50" customFormat="false" ht="15" hidden="false" customHeight="true" outlineLevel="0" collapsed="false">
      <c r="A50" s="4" t="s">
        <v>499</v>
      </c>
      <c r="B50" s="4" t="s">
        <v>500</v>
      </c>
      <c r="C50" s="4" t="s">
        <v>313</v>
      </c>
      <c r="D50" s="4" t="s">
        <v>145</v>
      </c>
      <c r="E50" s="4" t="s">
        <v>146</v>
      </c>
      <c r="F50" s="4" t="s">
        <v>314</v>
      </c>
      <c r="G50" s="4" t="s">
        <v>315</v>
      </c>
      <c r="H50" s="4" t="s">
        <v>316</v>
      </c>
      <c r="I50" s="4" t="s">
        <v>226</v>
      </c>
      <c r="J50" s="4" t="s">
        <v>265</v>
      </c>
      <c r="K50" s="4" t="s">
        <v>113</v>
      </c>
      <c r="L50" s="4" t="s">
        <v>317</v>
      </c>
      <c r="M50" s="24" t="s">
        <v>327</v>
      </c>
      <c r="N50" s="4" t="s">
        <v>116</v>
      </c>
      <c r="O50" s="4" t="s">
        <v>165</v>
      </c>
      <c r="P50" s="4" t="s">
        <v>118</v>
      </c>
      <c r="Q50" s="25" t="n">
        <v>169.99</v>
      </c>
      <c r="R50" s="25" t="n">
        <v>169.99</v>
      </c>
      <c r="S50" s="25" t="n">
        <v>86.49</v>
      </c>
      <c r="T50" s="26" t="n">
        <v>3</v>
      </c>
      <c r="U50" s="26" t="n">
        <v>3</v>
      </c>
      <c r="V50" s="26" t="n">
        <v>6</v>
      </c>
      <c r="W50" s="26"/>
      <c r="X50" s="27" t="n">
        <f aca="false">SUM(T50:W50)</f>
        <v>12</v>
      </c>
      <c r="Y50" s="28" t="n">
        <f aca="false">COUNT(T50:W50)</f>
        <v>3</v>
      </c>
      <c r="Z50" s="29" t="n">
        <f aca="false">R50*X50</f>
        <v>2039.88</v>
      </c>
      <c r="AA50" s="30" t="n">
        <v>46115</v>
      </c>
    </row>
    <row r="51" customFormat="false" ht="15" hidden="false" customHeight="true" outlineLevel="0" collapsed="false">
      <c r="A51" s="4" t="s">
        <v>501</v>
      </c>
      <c r="B51" s="4" t="s">
        <v>502</v>
      </c>
      <c r="C51" s="4" t="s">
        <v>503</v>
      </c>
      <c r="D51" s="4" t="s">
        <v>504</v>
      </c>
      <c r="E51" s="4" t="s">
        <v>504</v>
      </c>
      <c r="F51" s="4" t="s">
        <v>505</v>
      </c>
      <c r="G51" s="4" t="s">
        <v>506</v>
      </c>
      <c r="H51" s="4" t="s">
        <v>507</v>
      </c>
      <c r="I51" s="4" t="s">
        <v>161</v>
      </c>
      <c r="J51" s="4" t="s">
        <v>256</v>
      </c>
      <c r="K51" s="4" t="s">
        <v>187</v>
      </c>
      <c r="L51" s="4" t="s">
        <v>508</v>
      </c>
      <c r="M51" s="24" t="s">
        <v>338</v>
      </c>
      <c r="N51" s="4" t="s">
        <v>189</v>
      </c>
      <c r="O51" s="4" t="s">
        <v>380</v>
      </c>
      <c r="P51" s="4" t="s">
        <v>239</v>
      </c>
      <c r="Q51" s="25" t="n">
        <v>74.99</v>
      </c>
      <c r="R51" s="25" t="n">
        <v>51.99</v>
      </c>
      <c r="S51" s="25" t="n">
        <v>36.67</v>
      </c>
      <c r="T51" s="26"/>
      <c r="U51" s="26"/>
      <c r="V51" s="26" t="n">
        <v>3</v>
      </c>
      <c r="W51" s="26"/>
      <c r="X51" s="27" t="n">
        <f aca="false">SUM(T51:W51)</f>
        <v>3</v>
      </c>
      <c r="Y51" s="28" t="n">
        <f aca="false">COUNT(T51:W51)</f>
        <v>1</v>
      </c>
      <c r="Z51" s="29" t="n">
        <f aca="false">R51*X51</f>
        <v>155.97</v>
      </c>
      <c r="AA51" s="30" t="n">
        <v>46199</v>
      </c>
    </row>
    <row r="52" customFormat="false" ht="15" hidden="false" customHeight="true" outlineLevel="0" collapsed="false">
      <c r="A52" s="4" t="s">
        <v>509</v>
      </c>
      <c r="B52" s="4" t="s">
        <v>510</v>
      </c>
      <c r="C52" s="4" t="s">
        <v>511</v>
      </c>
      <c r="D52" s="4" t="s">
        <v>193</v>
      </c>
      <c r="E52" s="4" t="s">
        <v>194</v>
      </c>
      <c r="F52" s="4" t="s">
        <v>195</v>
      </c>
      <c r="G52" s="4" t="s">
        <v>512</v>
      </c>
      <c r="H52" s="4" t="s">
        <v>513</v>
      </c>
      <c r="I52" s="4" t="s">
        <v>111</v>
      </c>
      <c r="J52" s="4" t="s">
        <v>198</v>
      </c>
      <c r="K52" s="4" t="s">
        <v>209</v>
      </c>
      <c r="L52" s="4" t="s">
        <v>441</v>
      </c>
      <c r="M52" s="24" t="s">
        <v>211</v>
      </c>
      <c r="N52" s="4" t="s">
        <v>153</v>
      </c>
      <c r="O52" s="4" t="s">
        <v>165</v>
      </c>
      <c r="P52" s="4" t="s">
        <v>118</v>
      </c>
      <c r="Q52" s="25" t="n">
        <v>54.99</v>
      </c>
      <c r="R52" s="25" t="n">
        <v>54.99</v>
      </c>
      <c r="S52" s="25" t="n">
        <v>29.66</v>
      </c>
      <c r="T52" s="26" t="n">
        <v>2</v>
      </c>
      <c r="U52" s="26" t="n">
        <v>0</v>
      </c>
      <c r="V52" s="26" t="n">
        <v>4</v>
      </c>
      <c r="W52" s="26" t="n">
        <v>3</v>
      </c>
      <c r="X52" s="27" t="n">
        <f aca="false">SUM(T52:W52)</f>
        <v>9</v>
      </c>
      <c r="Y52" s="28" t="n">
        <f aca="false">COUNT(T52:W52)</f>
        <v>4</v>
      </c>
      <c r="Z52" s="29" t="n">
        <f aca="false">R52*X52</f>
        <v>494.91</v>
      </c>
      <c r="AA52" s="30" t="n">
        <v>46099</v>
      </c>
    </row>
    <row r="53" customFormat="false" ht="15" hidden="false" customHeight="true" outlineLevel="0" collapsed="false">
      <c r="A53" s="4" t="s">
        <v>514</v>
      </c>
      <c r="B53" s="4" t="s">
        <v>515</v>
      </c>
      <c r="C53" s="4" t="s">
        <v>276</v>
      </c>
      <c r="D53" s="4" t="s">
        <v>106</v>
      </c>
      <c r="E53" s="4" t="s">
        <v>107</v>
      </c>
      <c r="F53" s="4" t="s">
        <v>277</v>
      </c>
      <c r="G53" s="4" t="s">
        <v>278</v>
      </c>
      <c r="H53" s="4" t="s">
        <v>279</v>
      </c>
      <c r="I53" s="4" t="s">
        <v>127</v>
      </c>
      <c r="J53" s="4" t="s">
        <v>280</v>
      </c>
      <c r="K53" s="4" t="s">
        <v>113</v>
      </c>
      <c r="L53" s="4" t="s">
        <v>281</v>
      </c>
      <c r="M53" s="24" t="s">
        <v>327</v>
      </c>
      <c r="N53" s="4" t="s">
        <v>116</v>
      </c>
      <c r="O53" s="4" t="s">
        <v>165</v>
      </c>
      <c r="P53" s="4" t="s">
        <v>118</v>
      </c>
      <c r="Q53" s="25" t="n">
        <v>189.99</v>
      </c>
      <c r="R53" s="25" t="n">
        <v>189.99</v>
      </c>
      <c r="S53" s="25" t="n">
        <v>103.72</v>
      </c>
      <c r="T53" s="26" t="n">
        <v>2</v>
      </c>
      <c r="U53" s="26" t="n">
        <v>0</v>
      </c>
      <c r="V53" s="26" t="n">
        <v>0</v>
      </c>
      <c r="W53" s="26"/>
      <c r="X53" s="27" t="n">
        <f aca="false">SUM(T53:W53)</f>
        <v>2</v>
      </c>
      <c r="Y53" s="28" t="n">
        <f aca="false">COUNT(T53:W53)</f>
        <v>3</v>
      </c>
      <c r="Z53" s="29" t="n">
        <f aca="false">R53*X53</f>
        <v>379.98</v>
      </c>
      <c r="AA53" s="30" t="n">
        <v>46183</v>
      </c>
    </row>
    <row r="54" customFormat="false" ht="15" hidden="false" customHeight="true" outlineLevel="0" collapsed="false">
      <c r="A54" s="4" t="s">
        <v>516</v>
      </c>
      <c r="B54" s="4" t="s">
        <v>517</v>
      </c>
      <c r="C54" s="4" t="s">
        <v>518</v>
      </c>
      <c r="D54" s="4" t="s">
        <v>106</v>
      </c>
      <c r="E54" s="4" t="s">
        <v>107</v>
      </c>
      <c r="F54" s="4" t="s">
        <v>519</v>
      </c>
      <c r="G54" s="4" t="s">
        <v>520</v>
      </c>
      <c r="H54" s="4" t="s">
        <v>521</v>
      </c>
      <c r="I54" s="4" t="s">
        <v>226</v>
      </c>
      <c r="J54" s="4" t="s">
        <v>265</v>
      </c>
      <c r="K54" s="4" t="s">
        <v>150</v>
      </c>
      <c r="L54" s="4" t="s">
        <v>522</v>
      </c>
      <c r="M54" s="24" t="s">
        <v>237</v>
      </c>
      <c r="N54" s="4" t="s">
        <v>153</v>
      </c>
      <c r="O54" s="4" t="s">
        <v>117</v>
      </c>
      <c r="P54" s="4" t="s">
        <v>202</v>
      </c>
      <c r="Q54" s="25" t="n">
        <v>84.99</v>
      </c>
      <c r="R54" s="25" t="n">
        <v>84.99</v>
      </c>
      <c r="S54" s="25" t="n">
        <v>45.41</v>
      </c>
      <c r="T54" s="26"/>
      <c r="U54" s="26"/>
      <c r="V54" s="26" t="n">
        <v>3</v>
      </c>
      <c r="W54" s="26"/>
      <c r="X54" s="27" t="n">
        <f aca="false">SUM(T54:W54)</f>
        <v>3</v>
      </c>
      <c r="Y54" s="28" t="n">
        <f aca="false">COUNT(T54:W54)</f>
        <v>1</v>
      </c>
      <c r="Z54" s="29" t="n">
        <f aca="false">R54*X54</f>
        <v>254.97</v>
      </c>
      <c r="AA54" s="30" t="n">
        <v>46049</v>
      </c>
    </row>
    <row r="55" customFormat="false" ht="15" hidden="false" customHeight="true" outlineLevel="0" collapsed="false">
      <c r="A55" s="4" t="s">
        <v>523</v>
      </c>
      <c r="B55" s="4" t="s">
        <v>524</v>
      </c>
      <c r="C55" s="4" t="s">
        <v>525</v>
      </c>
      <c r="D55" s="4" t="s">
        <v>122</v>
      </c>
      <c r="E55" s="4" t="s">
        <v>123</v>
      </c>
      <c r="F55" s="4" t="s">
        <v>526</v>
      </c>
      <c r="G55" s="4" t="s">
        <v>527</v>
      </c>
      <c r="H55" s="4" t="s">
        <v>528</v>
      </c>
      <c r="I55" s="4" t="s">
        <v>111</v>
      </c>
      <c r="J55" s="4" t="s">
        <v>112</v>
      </c>
      <c r="K55" s="4" t="s">
        <v>113</v>
      </c>
      <c r="L55" s="4" t="s">
        <v>348</v>
      </c>
      <c r="M55" s="24" t="s">
        <v>188</v>
      </c>
      <c r="N55" s="4" t="s">
        <v>116</v>
      </c>
      <c r="O55" s="4" t="s">
        <v>238</v>
      </c>
      <c r="P55" s="4" t="s">
        <v>239</v>
      </c>
      <c r="Q55" s="25" t="n">
        <v>34.99</v>
      </c>
      <c r="R55" s="25" t="n">
        <v>23.99</v>
      </c>
      <c r="S55" s="25" t="n">
        <v>19</v>
      </c>
      <c r="T55" s="26" t="n">
        <v>2</v>
      </c>
      <c r="U55" s="26" t="n">
        <v>2</v>
      </c>
      <c r="V55" s="26" t="n">
        <v>3</v>
      </c>
      <c r="W55" s="26" t="n">
        <v>0</v>
      </c>
      <c r="X55" s="27" t="n">
        <f aca="false">SUM(T55:W55)</f>
        <v>7</v>
      </c>
      <c r="Y55" s="28" t="n">
        <f aca="false">COUNT(T55:W55)</f>
        <v>4</v>
      </c>
      <c r="Z55" s="29" t="n">
        <f aca="false">R55*X55</f>
        <v>167.93</v>
      </c>
      <c r="AA55" s="30" t="n">
        <v>46185</v>
      </c>
    </row>
    <row r="56" customFormat="false" ht="15" hidden="false" customHeight="true" outlineLevel="0" collapsed="false">
      <c r="A56" s="4" t="s">
        <v>529</v>
      </c>
      <c r="B56" s="4" t="s">
        <v>530</v>
      </c>
      <c r="C56" s="4" t="s">
        <v>242</v>
      </c>
      <c r="D56" s="4" t="s">
        <v>135</v>
      </c>
      <c r="E56" s="4" t="s">
        <v>136</v>
      </c>
      <c r="F56" s="4" t="s">
        <v>243</v>
      </c>
      <c r="G56" s="4" t="s">
        <v>244</v>
      </c>
      <c r="H56" s="4" t="s">
        <v>245</v>
      </c>
      <c r="I56" s="4" t="s">
        <v>161</v>
      </c>
      <c r="J56" s="4" t="s">
        <v>246</v>
      </c>
      <c r="K56" s="4" t="s">
        <v>113</v>
      </c>
      <c r="L56" s="4" t="s">
        <v>247</v>
      </c>
      <c r="M56" s="24" t="s">
        <v>141</v>
      </c>
      <c r="N56" s="4" t="s">
        <v>116</v>
      </c>
      <c r="O56" s="4" t="s">
        <v>238</v>
      </c>
      <c r="P56" s="4" t="s">
        <v>239</v>
      </c>
      <c r="Q56" s="25" t="n">
        <v>149.99</v>
      </c>
      <c r="R56" s="25" t="n">
        <v>89.99</v>
      </c>
      <c r="S56" s="25" t="n">
        <v>74.84</v>
      </c>
      <c r="T56" s="26"/>
      <c r="U56" s="26" t="n">
        <v>0</v>
      </c>
      <c r="V56" s="26" t="n">
        <v>6</v>
      </c>
      <c r="W56" s="26"/>
      <c r="X56" s="27" t="n">
        <f aca="false">SUM(T56:W56)</f>
        <v>6</v>
      </c>
      <c r="Y56" s="28" t="n">
        <f aca="false">COUNT(T56:W56)</f>
        <v>2</v>
      </c>
      <c r="Z56" s="29" t="n">
        <f aca="false">R56*X56</f>
        <v>539.94</v>
      </c>
      <c r="AA56" s="30" t="n">
        <v>46205</v>
      </c>
    </row>
    <row r="57" customFormat="false" ht="15" hidden="false" customHeight="true" outlineLevel="0" collapsed="false">
      <c r="A57" s="4" t="s">
        <v>531</v>
      </c>
      <c r="B57" s="4" t="s">
        <v>532</v>
      </c>
      <c r="C57" s="4" t="s">
        <v>533</v>
      </c>
      <c r="D57" s="4" t="s">
        <v>135</v>
      </c>
      <c r="E57" s="4" t="s">
        <v>136</v>
      </c>
      <c r="F57" s="4" t="s">
        <v>534</v>
      </c>
      <c r="G57" s="4" t="s">
        <v>535</v>
      </c>
      <c r="H57" s="4" t="s">
        <v>536</v>
      </c>
      <c r="I57" s="4" t="s">
        <v>127</v>
      </c>
      <c r="J57" s="4" t="s">
        <v>218</v>
      </c>
      <c r="K57" s="4" t="s">
        <v>187</v>
      </c>
      <c r="L57" s="4" t="s">
        <v>537</v>
      </c>
      <c r="M57" s="24" t="s">
        <v>538</v>
      </c>
      <c r="N57" s="4" t="s">
        <v>189</v>
      </c>
      <c r="O57" s="4" t="s">
        <v>238</v>
      </c>
      <c r="P57" s="4" t="s">
        <v>118</v>
      </c>
      <c r="Q57" s="25" t="n">
        <v>139.99</v>
      </c>
      <c r="R57" s="25" t="n">
        <v>139.99</v>
      </c>
      <c r="S57" s="25" t="n">
        <v>78.24</v>
      </c>
      <c r="T57" s="26" t="n">
        <v>1</v>
      </c>
      <c r="U57" s="26" t="n">
        <v>5</v>
      </c>
      <c r="V57" s="26" t="n">
        <v>4</v>
      </c>
      <c r="W57" s="26" t="n">
        <v>4</v>
      </c>
      <c r="X57" s="27" t="n">
        <f aca="false">SUM(T57:W57)</f>
        <v>14</v>
      </c>
      <c r="Y57" s="28" t="n">
        <f aca="false">COUNT(T57:W57)</f>
        <v>4</v>
      </c>
      <c r="Z57" s="29" t="n">
        <f aca="false">R57*X57</f>
        <v>1959.86</v>
      </c>
      <c r="AA57" s="30" t="n">
        <v>46106</v>
      </c>
    </row>
    <row r="58" customFormat="false" ht="15" hidden="false" customHeight="true" outlineLevel="0" collapsed="false">
      <c r="A58" s="4" t="s">
        <v>539</v>
      </c>
      <c r="B58" s="4" t="s">
        <v>540</v>
      </c>
      <c r="C58" s="4" t="s">
        <v>541</v>
      </c>
      <c r="D58" s="4" t="s">
        <v>135</v>
      </c>
      <c r="E58" s="4" t="s">
        <v>136</v>
      </c>
      <c r="F58" s="4" t="s">
        <v>542</v>
      </c>
      <c r="G58" s="4" t="s">
        <v>543</v>
      </c>
      <c r="H58" s="4" t="s">
        <v>544</v>
      </c>
      <c r="I58" s="4" t="s">
        <v>161</v>
      </c>
      <c r="J58" s="4" t="s">
        <v>246</v>
      </c>
      <c r="K58" s="4" t="s">
        <v>187</v>
      </c>
      <c r="L58" s="4" t="s">
        <v>545</v>
      </c>
      <c r="M58" s="24" t="s">
        <v>308</v>
      </c>
      <c r="N58" s="4" t="s">
        <v>189</v>
      </c>
      <c r="O58" s="4" t="s">
        <v>131</v>
      </c>
      <c r="P58" s="4" t="s">
        <v>118</v>
      </c>
      <c r="Q58" s="25" t="n">
        <v>99.99</v>
      </c>
      <c r="R58" s="25" t="n">
        <v>99.99</v>
      </c>
      <c r="S58" s="25" t="n">
        <v>53.26</v>
      </c>
      <c r="T58" s="26" t="n">
        <v>4</v>
      </c>
      <c r="U58" s="26" t="n">
        <v>4</v>
      </c>
      <c r="V58" s="26" t="n">
        <v>0</v>
      </c>
      <c r="W58" s="26" t="n">
        <v>2</v>
      </c>
      <c r="X58" s="27" t="n">
        <f aca="false">SUM(T58:W58)</f>
        <v>10</v>
      </c>
      <c r="Y58" s="28" t="n">
        <f aca="false">COUNT(T58:W58)</f>
        <v>4</v>
      </c>
      <c r="Z58" s="29" t="n">
        <f aca="false">R58*X58</f>
        <v>999.9</v>
      </c>
      <c r="AA58" s="30" t="n">
        <v>46029</v>
      </c>
    </row>
    <row r="59" customFormat="false" ht="15" hidden="false" customHeight="true" outlineLevel="0" collapsed="false">
      <c r="A59" s="4" t="s">
        <v>546</v>
      </c>
      <c r="B59" s="4" t="s">
        <v>547</v>
      </c>
      <c r="C59" s="4" t="s">
        <v>548</v>
      </c>
      <c r="D59" s="4" t="s">
        <v>427</v>
      </c>
      <c r="E59" s="4" t="s">
        <v>428</v>
      </c>
      <c r="F59" s="4" t="s">
        <v>549</v>
      </c>
      <c r="G59" s="4" t="s">
        <v>550</v>
      </c>
      <c r="H59" s="4" t="s">
        <v>551</v>
      </c>
      <c r="I59" s="4" t="s">
        <v>127</v>
      </c>
      <c r="J59" s="4" t="s">
        <v>298</v>
      </c>
      <c r="K59" s="4" t="s">
        <v>187</v>
      </c>
      <c r="L59" s="4" t="s">
        <v>552</v>
      </c>
      <c r="M59" s="24" t="s">
        <v>291</v>
      </c>
      <c r="N59" s="4" t="s">
        <v>189</v>
      </c>
      <c r="O59" s="4" t="s">
        <v>165</v>
      </c>
      <c r="P59" s="4" t="s">
        <v>118</v>
      </c>
      <c r="Q59" s="25" t="n">
        <v>79.99</v>
      </c>
      <c r="R59" s="25" t="n">
        <v>79.99</v>
      </c>
      <c r="S59" s="25" t="n">
        <v>41.06</v>
      </c>
      <c r="T59" s="26" t="n">
        <v>3</v>
      </c>
      <c r="U59" s="26" t="n">
        <v>3</v>
      </c>
      <c r="V59" s="26" t="n">
        <v>3</v>
      </c>
      <c r="W59" s="26"/>
      <c r="X59" s="27" t="n">
        <f aca="false">SUM(T59:W59)</f>
        <v>9</v>
      </c>
      <c r="Y59" s="28" t="n">
        <f aca="false">COUNT(T59:W59)</f>
        <v>3</v>
      </c>
      <c r="Z59" s="29" t="n">
        <f aca="false">R59*X59</f>
        <v>719.91</v>
      </c>
      <c r="AA59" s="30" t="n">
        <v>46047</v>
      </c>
    </row>
    <row r="60" customFormat="false" ht="15" hidden="false" customHeight="true" outlineLevel="0" collapsed="false">
      <c r="A60" s="4" t="s">
        <v>553</v>
      </c>
      <c r="B60" s="4" t="s">
        <v>554</v>
      </c>
      <c r="C60" s="4" t="s">
        <v>555</v>
      </c>
      <c r="D60" s="4" t="s">
        <v>122</v>
      </c>
      <c r="E60" s="4" t="s">
        <v>123</v>
      </c>
      <c r="F60" s="4" t="s">
        <v>556</v>
      </c>
      <c r="G60" s="4" t="s">
        <v>557</v>
      </c>
      <c r="H60" s="4" t="s">
        <v>558</v>
      </c>
      <c r="I60" s="4" t="s">
        <v>161</v>
      </c>
      <c r="J60" s="4" t="s">
        <v>246</v>
      </c>
      <c r="K60" s="4" t="s">
        <v>187</v>
      </c>
      <c r="L60" s="4" t="s">
        <v>559</v>
      </c>
      <c r="M60" s="24" t="s">
        <v>164</v>
      </c>
      <c r="N60" s="4" t="s">
        <v>189</v>
      </c>
      <c r="O60" s="4" t="s">
        <v>117</v>
      </c>
      <c r="P60" s="4" t="s">
        <v>202</v>
      </c>
      <c r="Q60" s="25" t="n">
        <v>119.99</v>
      </c>
      <c r="R60" s="25" t="n">
        <v>119.99</v>
      </c>
      <c r="S60" s="25" t="n">
        <v>62.97</v>
      </c>
      <c r="T60" s="26" t="n">
        <v>8</v>
      </c>
      <c r="U60" s="26"/>
      <c r="V60" s="26" t="n">
        <v>0</v>
      </c>
      <c r="W60" s="26" t="n">
        <v>0</v>
      </c>
      <c r="X60" s="27" t="n">
        <f aca="false">SUM(T60:W60)</f>
        <v>8</v>
      </c>
      <c r="Y60" s="28" t="n">
        <f aca="false">COUNT(T60:W60)</f>
        <v>3</v>
      </c>
      <c r="Z60" s="29" t="n">
        <f aca="false">R60*X60</f>
        <v>959.92</v>
      </c>
      <c r="AA60" s="30" t="n">
        <v>46161</v>
      </c>
    </row>
    <row r="61" customFormat="false" ht="15" hidden="false" customHeight="true" outlineLevel="0" collapsed="false">
      <c r="A61" s="4" t="s">
        <v>560</v>
      </c>
      <c r="B61" s="4" t="s">
        <v>561</v>
      </c>
      <c r="C61" s="4" t="s">
        <v>562</v>
      </c>
      <c r="D61" s="4" t="s">
        <v>145</v>
      </c>
      <c r="E61" s="4" t="s">
        <v>146</v>
      </c>
      <c r="F61" s="4" t="s">
        <v>563</v>
      </c>
      <c r="G61" s="4" t="s">
        <v>564</v>
      </c>
      <c r="H61" s="4" t="s">
        <v>565</v>
      </c>
      <c r="I61" s="4" t="s">
        <v>127</v>
      </c>
      <c r="J61" s="4" t="s">
        <v>128</v>
      </c>
      <c r="K61" s="4" t="s">
        <v>113</v>
      </c>
      <c r="L61" s="4" t="s">
        <v>464</v>
      </c>
      <c r="M61" s="24" t="s">
        <v>164</v>
      </c>
      <c r="N61" s="4" t="s">
        <v>116</v>
      </c>
      <c r="O61" s="4" t="s">
        <v>131</v>
      </c>
      <c r="P61" s="4" t="s">
        <v>239</v>
      </c>
      <c r="Q61" s="25" t="n">
        <v>84.99</v>
      </c>
      <c r="R61" s="25" t="n">
        <v>54.99</v>
      </c>
      <c r="S61" s="25" t="n">
        <v>45.86</v>
      </c>
      <c r="T61" s="26" t="n">
        <v>2</v>
      </c>
      <c r="U61" s="26" t="n">
        <v>0</v>
      </c>
      <c r="V61" s="26" t="n">
        <v>0</v>
      </c>
      <c r="W61" s="26" t="n">
        <v>0</v>
      </c>
      <c r="X61" s="27" t="n">
        <f aca="false">SUM(T61:W61)</f>
        <v>2</v>
      </c>
      <c r="Y61" s="28" t="n">
        <f aca="false">COUNT(T61:W61)</f>
        <v>4</v>
      </c>
      <c r="Z61" s="29" t="n">
        <f aca="false">R61*X61</f>
        <v>109.98</v>
      </c>
      <c r="AA61" s="30" t="n">
        <v>46144</v>
      </c>
    </row>
    <row r="62" customFormat="false" ht="15" hidden="false" customHeight="true" outlineLevel="0" collapsed="false">
      <c r="A62" s="4" t="s">
        <v>566</v>
      </c>
      <c r="B62" s="4" t="s">
        <v>567</v>
      </c>
      <c r="C62" s="4" t="s">
        <v>568</v>
      </c>
      <c r="D62" s="4" t="s">
        <v>122</v>
      </c>
      <c r="E62" s="4" t="s">
        <v>123</v>
      </c>
      <c r="F62" s="4" t="s">
        <v>569</v>
      </c>
      <c r="G62" s="4" t="s">
        <v>570</v>
      </c>
      <c r="H62" s="4" t="s">
        <v>571</v>
      </c>
      <c r="I62" s="4" t="s">
        <v>226</v>
      </c>
      <c r="J62" s="4" t="s">
        <v>265</v>
      </c>
      <c r="K62" s="4" t="s">
        <v>113</v>
      </c>
      <c r="L62" s="4" t="s">
        <v>572</v>
      </c>
      <c r="M62" s="24" t="s">
        <v>177</v>
      </c>
      <c r="N62" s="4" t="s">
        <v>116</v>
      </c>
      <c r="O62" s="4" t="s">
        <v>165</v>
      </c>
      <c r="P62" s="4" t="s">
        <v>118</v>
      </c>
      <c r="Q62" s="25" t="n">
        <v>159.99</v>
      </c>
      <c r="R62" s="25" t="n">
        <v>159.99</v>
      </c>
      <c r="S62" s="25" t="n">
        <v>86.99</v>
      </c>
      <c r="T62" s="26" t="n">
        <v>1</v>
      </c>
      <c r="U62" s="26" t="n">
        <v>4</v>
      </c>
      <c r="V62" s="26" t="n">
        <v>6</v>
      </c>
      <c r="W62" s="26"/>
      <c r="X62" s="27" t="n">
        <f aca="false">SUM(T62:W62)</f>
        <v>11</v>
      </c>
      <c r="Y62" s="28" t="n">
        <f aca="false">COUNT(T62:W62)</f>
        <v>3</v>
      </c>
      <c r="Z62" s="29" t="n">
        <f aca="false">R62*X62</f>
        <v>1759.89</v>
      </c>
      <c r="AA62" s="30" t="n">
        <v>46046</v>
      </c>
    </row>
    <row r="63" customFormat="false" ht="15" hidden="false" customHeight="true" outlineLevel="0" collapsed="false">
      <c r="A63" s="4" t="s">
        <v>573</v>
      </c>
      <c r="B63" s="4" t="s">
        <v>574</v>
      </c>
      <c r="C63" s="4" t="s">
        <v>575</v>
      </c>
      <c r="D63" s="4" t="s">
        <v>122</v>
      </c>
      <c r="E63" s="4" t="s">
        <v>285</v>
      </c>
      <c r="F63" s="4" t="s">
        <v>576</v>
      </c>
      <c r="G63" s="4" t="s">
        <v>577</v>
      </c>
      <c r="H63" s="4" t="s">
        <v>578</v>
      </c>
      <c r="I63" s="4" t="s">
        <v>161</v>
      </c>
      <c r="J63" s="4" t="s">
        <v>235</v>
      </c>
      <c r="K63" s="4" t="s">
        <v>113</v>
      </c>
      <c r="L63" s="4" t="s">
        <v>579</v>
      </c>
      <c r="M63" s="24" t="s">
        <v>115</v>
      </c>
      <c r="N63" s="4" t="s">
        <v>116</v>
      </c>
      <c r="O63" s="4" t="s">
        <v>380</v>
      </c>
      <c r="P63" s="4" t="s">
        <v>239</v>
      </c>
      <c r="Q63" s="25" t="n">
        <v>109.99</v>
      </c>
      <c r="R63" s="25" t="n">
        <v>65.99</v>
      </c>
      <c r="S63" s="25" t="n">
        <v>57.5</v>
      </c>
      <c r="T63" s="26" t="n">
        <v>0</v>
      </c>
      <c r="U63" s="26" t="n">
        <v>1</v>
      </c>
      <c r="V63" s="26" t="n">
        <v>5</v>
      </c>
      <c r="W63" s="26" t="n">
        <v>0</v>
      </c>
      <c r="X63" s="27" t="n">
        <f aca="false">SUM(T63:W63)</f>
        <v>6</v>
      </c>
      <c r="Y63" s="28" t="n">
        <f aca="false">COUNT(T63:W63)</f>
        <v>4</v>
      </c>
      <c r="Z63" s="29" t="n">
        <f aca="false">R63*X63</f>
        <v>395.94</v>
      </c>
      <c r="AA63" s="30" t="n">
        <v>46056</v>
      </c>
    </row>
    <row r="64" customFormat="false" ht="15" hidden="false" customHeight="true" outlineLevel="0" collapsed="false">
      <c r="A64" s="4" t="s">
        <v>580</v>
      </c>
      <c r="B64" s="4" t="s">
        <v>581</v>
      </c>
      <c r="C64" s="4" t="s">
        <v>582</v>
      </c>
      <c r="D64" s="4" t="s">
        <v>583</v>
      </c>
      <c r="E64" s="4" t="s">
        <v>584</v>
      </c>
      <c r="F64" s="4" t="s">
        <v>585</v>
      </c>
      <c r="G64" s="4" t="s">
        <v>586</v>
      </c>
      <c r="H64" s="4" t="s">
        <v>587</v>
      </c>
      <c r="I64" s="4" t="s">
        <v>127</v>
      </c>
      <c r="J64" s="4" t="s">
        <v>306</v>
      </c>
      <c r="K64" s="4" t="s">
        <v>113</v>
      </c>
      <c r="L64" s="4" t="s">
        <v>588</v>
      </c>
      <c r="M64" s="24" t="s">
        <v>177</v>
      </c>
      <c r="N64" s="4" t="s">
        <v>116</v>
      </c>
      <c r="O64" s="4" t="s">
        <v>380</v>
      </c>
      <c r="P64" s="4" t="s">
        <v>239</v>
      </c>
      <c r="Q64" s="25" t="n">
        <v>169.99</v>
      </c>
      <c r="R64" s="25" t="n">
        <v>101.99</v>
      </c>
      <c r="S64" s="25" t="n">
        <v>84.77</v>
      </c>
      <c r="T64" s="26"/>
      <c r="U64" s="26"/>
      <c r="V64" s="26" t="n">
        <v>3</v>
      </c>
      <c r="W64" s="26"/>
      <c r="X64" s="27" t="n">
        <f aca="false">SUM(T64:W64)</f>
        <v>3</v>
      </c>
      <c r="Y64" s="28" t="n">
        <f aca="false">COUNT(T64:W64)</f>
        <v>1</v>
      </c>
      <c r="Z64" s="29" t="n">
        <f aca="false">R64*X64</f>
        <v>305.97</v>
      </c>
      <c r="AA64" s="30" t="n">
        <v>46210</v>
      </c>
    </row>
    <row r="65" customFormat="false" ht="15" hidden="false" customHeight="true" outlineLevel="0" collapsed="false">
      <c r="A65" s="4" t="s">
        <v>589</v>
      </c>
      <c r="B65" s="4" t="s">
        <v>590</v>
      </c>
      <c r="C65" s="4" t="s">
        <v>591</v>
      </c>
      <c r="D65" s="4" t="s">
        <v>122</v>
      </c>
      <c r="E65" s="4" t="s">
        <v>285</v>
      </c>
      <c r="F65" s="4" t="s">
        <v>286</v>
      </c>
      <c r="G65" s="4" t="s">
        <v>592</v>
      </c>
      <c r="H65" s="4" t="s">
        <v>593</v>
      </c>
      <c r="I65" s="4" t="s">
        <v>161</v>
      </c>
      <c r="J65" s="4" t="s">
        <v>289</v>
      </c>
      <c r="K65" s="4" t="s">
        <v>113</v>
      </c>
      <c r="L65" s="4" t="s">
        <v>594</v>
      </c>
      <c r="M65" s="24" t="s">
        <v>130</v>
      </c>
      <c r="N65" s="4" t="s">
        <v>116</v>
      </c>
      <c r="O65" s="4" t="s">
        <v>131</v>
      </c>
      <c r="P65" s="4" t="s">
        <v>118</v>
      </c>
      <c r="Q65" s="25" t="n">
        <v>129.99</v>
      </c>
      <c r="R65" s="25" t="n">
        <v>129.99</v>
      </c>
      <c r="S65" s="25" t="n">
        <v>63.23</v>
      </c>
      <c r="T65" s="26" t="n">
        <v>2</v>
      </c>
      <c r="U65" s="26" t="n">
        <v>4</v>
      </c>
      <c r="V65" s="26" t="n">
        <v>7</v>
      </c>
      <c r="W65" s="26" t="n">
        <v>1</v>
      </c>
      <c r="X65" s="27" t="n">
        <f aca="false">SUM(T65:W65)</f>
        <v>14</v>
      </c>
      <c r="Y65" s="28" t="n">
        <f aca="false">COUNT(T65:W65)</f>
        <v>4</v>
      </c>
      <c r="Z65" s="29" t="n">
        <f aca="false">R65*X65</f>
        <v>1819.86</v>
      </c>
      <c r="AA65" s="30" t="n">
        <v>46173</v>
      </c>
    </row>
    <row r="66" customFormat="false" ht="15" hidden="false" customHeight="true" outlineLevel="0" collapsed="false">
      <c r="A66" s="4" t="s">
        <v>595</v>
      </c>
      <c r="B66" s="4" t="s">
        <v>596</v>
      </c>
      <c r="C66" s="4" t="s">
        <v>597</v>
      </c>
      <c r="D66" s="4" t="s">
        <v>122</v>
      </c>
      <c r="E66" s="4" t="s">
        <v>123</v>
      </c>
      <c r="F66" s="4" t="s">
        <v>598</v>
      </c>
      <c r="G66" s="4" t="s">
        <v>599</v>
      </c>
      <c r="H66" s="4" t="s">
        <v>600</v>
      </c>
      <c r="I66" s="4" t="s">
        <v>127</v>
      </c>
      <c r="J66" s="4" t="s">
        <v>280</v>
      </c>
      <c r="K66" s="4" t="s">
        <v>187</v>
      </c>
      <c r="L66" s="4" t="s">
        <v>601</v>
      </c>
      <c r="M66" s="24" t="s">
        <v>308</v>
      </c>
      <c r="N66" s="4" t="s">
        <v>189</v>
      </c>
      <c r="O66" s="4" t="s">
        <v>165</v>
      </c>
      <c r="P66" s="4" t="s">
        <v>118</v>
      </c>
      <c r="Q66" s="25" t="n">
        <v>139.99</v>
      </c>
      <c r="R66" s="25" t="n">
        <v>139.99</v>
      </c>
      <c r="S66" s="25" t="n">
        <v>72.45</v>
      </c>
      <c r="T66" s="26" t="n">
        <v>5</v>
      </c>
      <c r="U66" s="26"/>
      <c r="V66" s="26" t="n">
        <v>0</v>
      </c>
      <c r="W66" s="26"/>
      <c r="X66" s="27" t="n">
        <f aca="false">SUM(T66:W66)</f>
        <v>5</v>
      </c>
      <c r="Y66" s="28" t="n">
        <f aca="false">COUNT(T66:W66)</f>
        <v>2</v>
      </c>
      <c r="Z66" s="29" t="n">
        <f aca="false">R66*X66</f>
        <v>699.95</v>
      </c>
      <c r="AA66" s="30" t="n">
        <v>46137</v>
      </c>
    </row>
    <row r="67" customFormat="false" ht="15" hidden="false" customHeight="true" outlineLevel="0" collapsed="false">
      <c r="A67" s="4" t="s">
        <v>602</v>
      </c>
      <c r="B67" s="4" t="s">
        <v>603</v>
      </c>
      <c r="C67" s="4" t="s">
        <v>604</v>
      </c>
      <c r="D67" s="4" t="s">
        <v>106</v>
      </c>
      <c r="E67" s="4" t="s">
        <v>157</v>
      </c>
      <c r="F67" s="4" t="s">
        <v>605</v>
      </c>
      <c r="G67" s="4" t="s">
        <v>606</v>
      </c>
      <c r="H67" s="4" t="s">
        <v>607</v>
      </c>
      <c r="I67" s="4" t="s">
        <v>161</v>
      </c>
      <c r="J67" s="4" t="s">
        <v>162</v>
      </c>
      <c r="K67" s="4" t="s">
        <v>113</v>
      </c>
      <c r="L67" s="4" t="s">
        <v>608</v>
      </c>
      <c r="M67" s="24" t="s">
        <v>130</v>
      </c>
      <c r="N67" s="4" t="s">
        <v>116</v>
      </c>
      <c r="O67" s="4" t="s">
        <v>238</v>
      </c>
      <c r="P67" s="4" t="s">
        <v>239</v>
      </c>
      <c r="Q67" s="25" t="n">
        <v>109.99</v>
      </c>
      <c r="R67" s="25" t="n">
        <v>76.99</v>
      </c>
      <c r="S67" s="25" t="n">
        <v>55.09</v>
      </c>
      <c r="T67" s="26" t="n">
        <v>2</v>
      </c>
      <c r="U67" s="26" t="n">
        <v>2</v>
      </c>
      <c r="V67" s="26" t="n">
        <v>2</v>
      </c>
      <c r="W67" s="26" t="n">
        <v>0</v>
      </c>
      <c r="X67" s="27" t="n">
        <f aca="false">SUM(T67:W67)</f>
        <v>6</v>
      </c>
      <c r="Y67" s="28" t="n">
        <f aca="false">COUNT(T67:W67)</f>
        <v>4</v>
      </c>
      <c r="Z67" s="29" t="n">
        <f aca="false">R67*X67</f>
        <v>461.94</v>
      </c>
      <c r="AA67" s="30" t="n">
        <v>46202</v>
      </c>
    </row>
    <row r="68" customFormat="false" ht="15" hidden="false" customHeight="true" outlineLevel="0" collapsed="false">
      <c r="A68" s="4" t="s">
        <v>609</v>
      </c>
      <c r="B68" s="4" t="s">
        <v>610</v>
      </c>
      <c r="C68" s="4" t="s">
        <v>611</v>
      </c>
      <c r="D68" s="4" t="s">
        <v>145</v>
      </c>
      <c r="E68" s="4" t="s">
        <v>146</v>
      </c>
      <c r="F68" s="4" t="s">
        <v>612</v>
      </c>
      <c r="G68" s="4" t="s">
        <v>613</v>
      </c>
      <c r="H68" s="4" t="s">
        <v>614</v>
      </c>
      <c r="I68" s="4" t="s">
        <v>127</v>
      </c>
      <c r="J68" s="4" t="s">
        <v>280</v>
      </c>
      <c r="K68" s="4" t="s">
        <v>113</v>
      </c>
      <c r="L68" s="4" t="s">
        <v>615</v>
      </c>
      <c r="M68" s="24" t="s">
        <v>211</v>
      </c>
      <c r="N68" s="4" t="s">
        <v>116</v>
      </c>
      <c r="O68" s="4" t="s">
        <v>165</v>
      </c>
      <c r="P68" s="4" t="s">
        <v>118</v>
      </c>
      <c r="Q68" s="25" t="n">
        <v>99.99</v>
      </c>
      <c r="R68" s="25" t="n">
        <v>99.99</v>
      </c>
      <c r="S68" s="25" t="n">
        <v>51.72</v>
      </c>
      <c r="T68" s="26" t="n">
        <v>3</v>
      </c>
      <c r="U68" s="26" t="n">
        <v>3</v>
      </c>
      <c r="V68" s="26"/>
      <c r="W68" s="26" t="n">
        <v>2</v>
      </c>
      <c r="X68" s="27" t="n">
        <f aca="false">SUM(T68:W68)</f>
        <v>8</v>
      </c>
      <c r="Y68" s="28" t="n">
        <f aca="false">COUNT(T68:W68)</f>
        <v>3</v>
      </c>
      <c r="Z68" s="29" t="n">
        <f aca="false">R68*X68</f>
        <v>799.92</v>
      </c>
      <c r="AA68" s="30" t="n">
        <v>46041</v>
      </c>
    </row>
    <row r="69" customFormat="false" ht="15" hidden="false" customHeight="true" outlineLevel="0" collapsed="false">
      <c r="A69" s="4" t="s">
        <v>616</v>
      </c>
      <c r="B69" s="4" t="s">
        <v>617</v>
      </c>
      <c r="C69" s="4" t="s">
        <v>618</v>
      </c>
      <c r="D69" s="4" t="s">
        <v>122</v>
      </c>
      <c r="E69" s="4" t="s">
        <v>285</v>
      </c>
      <c r="F69" s="4" t="s">
        <v>619</v>
      </c>
      <c r="G69" s="4" t="s">
        <v>620</v>
      </c>
      <c r="H69" s="4" t="s">
        <v>621</v>
      </c>
      <c r="I69" s="4" t="s">
        <v>161</v>
      </c>
      <c r="J69" s="4" t="s">
        <v>289</v>
      </c>
      <c r="K69" s="4" t="s">
        <v>150</v>
      </c>
      <c r="L69" s="4" t="s">
        <v>622</v>
      </c>
      <c r="M69" s="24" t="s">
        <v>237</v>
      </c>
      <c r="N69" s="4" t="s">
        <v>153</v>
      </c>
      <c r="O69" s="4" t="s">
        <v>165</v>
      </c>
      <c r="P69" s="4" t="s">
        <v>118</v>
      </c>
      <c r="Q69" s="25" t="n">
        <v>114.99</v>
      </c>
      <c r="R69" s="25" t="n">
        <v>114.99</v>
      </c>
      <c r="S69" s="25" t="n">
        <v>56.56</v>
      </c>
      <c r="T69" s="26"/>
      <c r="U69" s="26" t="n">
        <v>6</v>
      </c>
      <c r="V69" s="26" t="n">
        <v>6</v>
      </c>
      <c r="W69" s="26"/>
      <c r="X69" s="27" t="n">
        <f aca="false">SUM(T69:W69)</f>
        <v>12</v>
      </c>
      <c r="Y69" s="28" t="n">
        <f aca="false">COUNT(T69:W69)</f>
        <v>2</v>
      </c>
      <c r="Z69" s="29" t="n">
        <f aca="false">R69*X69</f>
        <v>1379.88</v>
      </c>
      <c r="AA69" s="30" t="n">
        <v>46189</v>
      </c>
    </row>
    <row r="70" customFormat="false" ht="15" hidden="false" customHeight="true" outlineLevel="0" collapsed="false">
      <c r="A70" s="4" t="s">
        <v>623</v>
      </c>
      <c r="B70" s="4" t="s">
        <v>624</v>
      </c>
      <c r="C70" s="4" t="s">
        <v>269</v>
      </c>
      <c r="D70" s="4" t="s">
        <v>122</v>
      </c>
      <c r="E70" s="4" t="s">
        <v>123</v>
      </c>
      <c r="F70" s="4" t="s">
        <v>270</v>
      </c>
      <c r="G70" s="4" t="s">
        <v>271</v>
      </c>
      <c r="H70" s="4" t="s">
        <v>272</v>
      </c>
      <c r="I70" s="4" t="s">
        <v>161</v>
      </c>
      <c r="J70" s="4" t="s">
        <v>235</v>
      </c>
      <c r="K70" s="4" t="s">
        <v>113</v>
      </c>
      <c r="L70" s="4" t="s">
        <v>273</v>
      </c>
      <c r="M70" s="24" t="s">
        <v>164</v>
      </c>
      <c r="N70" s="4" t="s">
        <v>116</v>
      </c>
      <c r="O70" s="4" t="s">
        <v>165</v>
      </c>
      <c r="P70" s="4" t="s">
        <v>118</v>
      </c>
      <c r="Q70" s="25" t="n">
        <v>79.99</v>
      </c>
      <c r="R70" s="25" t="n">
        <v>79.99</v>
      </c>
      <c r="S70" s="25" t="n">
        <v>42.84</v>
      </c>
      <c r="T70" s="26" t="n">
        <v>1</v>
      </c>
      <c r="U70" s="26" t="n">
        <v>0</v>
      </c>
      <c r="V70" s="26" t="n">
        <v>3</v>
      </c>
      <c r="W70" s="26" t="n">
        <v>2</v>
      </c>
      <c r="X70" s="27" t="n">
        <f aca="false">SUM(T70:W70)</f>
        <v>6</v>
      </c>
      <c r="Y70" s="28" t="n">
        <f aca="false">COUNT(T70:W70)</f>
        <v>4</v>
      </c>
      <c r="Z70" s="29" t="n">
        <f aca="false">R70*X70</f>
        <v>479.94</v>
      </c>
      <c r="AA70" s="30" t="n">
        <v>46186</v>
      </c>
    </row>
    <row r="71" customFormat="false" ht="15" hidden="false" customHeight="true" outlineLevel="0" collapsed="false">
      <c r="A71" s="4" t="s">
        <v>625</v>
      </c>
      <c r="B71" s="4" t="s">
        <v>626</v>
      </c>
      <c r="C71" s="4" t="s">
        <v>568</v>
      </c>
      <c r="D71" s="4" t="s">
        <v>122</v>
      </c>
      <c r="E71" s="4" t="s">
        <v>123</v>
      </c>
      <c r="F71" s="4" t="s">
        <v>569</v>
      </c>
      <c r="G71" s="4" t="s">
        <v>570</v>
      </c>
      <c r="H71" s="4" t="s">
        <v>571</v>
      </c>
      <c r="I71" s="4" t="s">
        <v>226</v>
      </c>
      <c r="J71" s="4" t="s">
        <v>265</v>
      </c>
      <c r="K71" s="4" t="s">
        <v>113</v>
      </c>
      <c r="L71" s="4" t="s">
        <v>572</v>
      </c>
      <c r="M71" s="24" t="s">
        <v>327</v>
      </c>
      <c r="N71" s="4" t="s">
        <v>116</v>
      </c>
      <c r="O71" s="4" t="s">
        <v>165</v>
      </c>
      <c r="P71" s="4" t="s">
        <v>118</v>
      </c>
      <c r="Q71" s="25" t="n">
        <v>159.99</v>
      </c>
      <c r="R71" s="25" t="n">
        <v>159.99</v>
      </c>
      <c r="S71" s="25" t="n">
        <v>86.99</v>
      </c>
      <c r="T71" s="26" t="n">
        <v>3</v>
      </c>
      <c r="U71" s="26" t="n">
        <v>4</v>
      </c>
      <c r="V71" s="26" t="n">
        <v>5</v>
      </c>
      <c r="W71" s="26"/>
      <c r="X71" s="27" t="n">
        <f aca="false">SUM(T71:W71)</f>
        <v>12</v>
      </c>
      <c r="Y71" s="28" t="n">
        <f aca="false">COUNT(T71:W71)</f>
        <v>3</v>
      </c>
      <c r="Z71" s="29" t="n">
        <f aca="false">R71*X71</f>
        <v>1919.88</v>
      </c>
      <c r="AA71" s="30" t="n">
        <v>46036</v>
      </c>
    </row>
    <row r="72" customFormat="false" ht="15" hidden="false" customHeight="true" outlineLevel="0" collapsed="false">
      <c r="A72" s="4" t="s">
        <v>627</v>
      </c>
      <c r="B72" s="4" t="s">
        <v>628</v>
      </c>
      <c r="C72" s="4" t="s">
        <v>629</v>
      </c>
      <c r="D72" s="4" t="s">
        <v>122</v>
      </c>
      <c r="E72" s="4" t="s">
        <v>123</v>
      </c>
      <c r="F72" s="4" t="s">
        <v>630</v>
      </c>
      <c r="G72" s="4" t="s">
        <v>631</v>
      </c>
      <c r="H72" s="4" t="s">
        <v>632</v>
      </c>
      <c r="I72" s="4" t="s">
        <v>111</v>
      </c>
      <c r="J72" s="4" t="s">
        <v>112</v>
      </c>
      <c r="K72" s="4" t="s">
        <v>199</v>
      </c>
      <c r="L72" s="4" t="s">
        <v>348</v>
      </c>
      <c r="M72" s="24" t="s">
        <v>633</v>
      </c>
      <c r="N72" s="4" t="s">
        <v>153</v>
      </c>
      <c r="O72" s="4" t="s">
        <v>117</v>
      </c>
      <c r="P72" s="4" t="s">
        <v>118</v>
      </c>
      <c r="Q72" s="25" t="n">
        <v>27.99</v>
      </c>
      <c r="R72" s="25" t="n">
        <v>27.99</v>
      </c>
      <c r="S72" s="25" t="n">
        <v>14.09</v>
      </c>
      <c r="T72" s="26" t="n">
        <v>4</v>
      </c>
      <c r="U72" s="26"/>
      <c r="V72" s="26" t="n">
        <v>7</v>
      </c>
      <c r="W72" s="26"/>
      <c r="X72" s="27" t="n">
        <f aca="false">SUM(T72:W72)</f>
        <v>11</v>
      </c>
      <c r="Y72" s="28" t="n">
        <f aca="false">COUNT(T72:W72)</f>
        <v>2</v>
      </c>
      <c r="Z72" s="29" t="n">
        <f aca="false">R72*X72</f>
        <v>307.89</v>
      </c>
      <c r="AA72" s="30" t="n">
        <v>46134</v>
      </c>
    </row>
    <row r="73" customFormat="false" ht="15" hidden="false" customHeight="true" outlineLevel="0" collapsed="false">
      <c r="A73" s="4" t="s">
        <v>634</v>
      </c>
      <c r="B73" s="4" t="s">
        <v>635</v>
      </c>
      <c r="C73" s="4" t="s">
        <v>636</v>
      </c>
      <c r="D73" s="4" t="s">
        <v>122</v>
      </c>
      <c r="E73" s="4" t="s">
        <v>123</v>
      </c>
      <c r="F73" s="4" t="s">
        <v>598</v>
      </c>
      <c r="G73" s="4" t="s">
        <v>637</v>
      </c>
      <c r="H73" s="4" t="s">
        <v>638</v>
      </c>
      <c r="I73" s="4" t="s">
        <v>127</v>
      </c>
      <c r="J73" s="4" t="s">
        <v>280</v>
      </c>
      <c r="K73" s="4" t="s">
        <v>113</v>
      </c>
      <c r="L73" s="4" t="s">
        <v>639</v>
      </c>
      <c r="M73" s="24" t="s">
        <v>177</v>
      </c>
      <c r="N73" s="4" t="s">
        <v>116</v>
      </c>
      <c r="O73" s="4" t="s">
        <v>117</v>
      </c>
      <c r="P73" s="4" t="s">
        <v>118</v>
      </c>
      <c r="Q73" s="25" t="n">
        <v>139.99</v>
      </c>
      <c r="R73" s="25" t="n">
        <v>139.99</v>
      </c>
      <c r="S73" s="25" t="n">
        <v>75.33</v>
      </c>
      <c r="T73" s="26"/>
      <c r="U73" s="26"/>
      <c r="V73" s="26" t="n">
        <v>5</v>
      </c>
      <c r="W73" s="26" t="n">
        <v>2</v>
      </c>
      <c r="X73" s="27" t="n">
        <f aca="false">SUM(T73:W73)</f>
        <v>7</v>
      </c>
      <c r="Y73" s="28" t="n">
        <f aca="false">COUNT(T73:W73)</f>
        <v>2</v>
      </c>
      <c r="Z73" s="29" t="n">
        <f aca="false">R73*X73</f>
        <v>979.93</v>
      </c>
      <c r="AA73" s="30" t="n">
        <v>46215</v>
      </c>
    </row>
    <row r="74" customFormat="false" ht="15" hidden="false" customHeight="true" outlineLevel="0" collapsed="false">
      <c r="A74" s="4" t="s">
        <v>640</v>
      </c>
      <c r="B74" s="4" t="s">
        <v>641</v>
      </c>
      <c r="C74" s="4" t="s">
        <v>642</v>
      </c>
      <c r="D74" s="4" t="s">
        <v>643</v>
      </c>
      <c r="E74" s="4" t="s">
        <v>644</v>
      </c>
      <c r="F74" s="4" t="s">
        <v>645</v>
      </c>
      <c r="G74" s="4" t="s">
        <v>646</v>
      </c>
      <c r="H74" s="4" t="s">
        <v>647</v>
      </c>
      <c r="I74" s="4" t="s">
        <v>127</v>
      </c>
      <c r="J74" s="4" t="s">
        <v>280</v>
      </c>
      <c r="K74" s="4" t="s">
        <v>187</v>
      </c>
      <c r="L74" s="4" t="s">
        <v>648</v>
      </c>
      <c r="M74" s="24" t="s">
        <v>211</v>
      </c>
      <c r="N74" s="4" t="s">
        <v>189</v>
      </c>
      <c r="O74" s="4" t="s">
        <v>117</v>
      </c>
      <c r="P74" s="4" t="s">
        <v>202</v>
      </c>
      <c r="Q74" s="25" t="n">
        <v>149.99</v>
      </c>
      <c r="R74" s="25" t="n">
        <v>149.99</v>
      </c>
      <c r="S74" s="25" t="n">
        <v>73.89</v>
      </c>
      <c r="T74" s="26"/>
      <c r="U74" s="26" t="n">
        <v>5</v>
      </c>
      <c r="V74" s="26" t="n">
        <v>0</v>
      </c>
      <c r="W74" s="26" t="n">
        <v>5</v>
      </c>
      <c r="X74" s="27" t="n">
        <f aca="false">SUM(T74:W74)</f>
        <v>10</v>
      </c>
      <c r="Y74" s="28" t="n">
        <f aca="false">COUNT(T74:W74)</f>
        <v>3</v>
      </c>
      <c r="Z74" s="29" t="n">
        <f aca="false">R74*X74</f>
        <v>1499.9</v>
      </c>
      <c r="AA74" s="30" t="n">
        <v>46159</v>
      </c>
    </row>
    <row r="75" customFormat="false" ht="15" hidden="false" customHeight="true" outlineLevel="0" collapsed="false">
      <c r="A75" s="4" t="s">
        <v>649</v>
      </c>
      <c r="B75" s="4" t="s">
        <v>650</v>
      </c>
      <c r="C75" s="4" t="s">
        <v>651</v>
      </c>
      <c r="D75" s="4" t="s">
        <v>122</v>
      </c>
      <c r="E75" s="4" t="s">
        <v>123</v>
      </c>
      <c r="F75" s="4" t="s">
        <v>652</v>
      </c>
      <c r="G75" s="4" t="s">
        <v>653</v>
      </c>
      <c r="H75" s="4" t="s">
        <v>654</v>
      </c>
      <c r="I75" s="4" t="s">
        <v>161</v>
      </c>
      <c r="J75" s="4" t="s">
        <v>246</v>
      </c>
      <c r="K75" s="4" t="s">
        <v>113</v>
      </c>
      <c r="L75" s="4" t="s">
        <v>655</v>
      </c>
      <c r="M75" s="24" t="s">
        <v>211</v>
      </c>
      <c r="N75" s="4" t="s">
        <v>116</v>
      </c>
      <c r="O75" s="4" t="s">
        <v>131</v>
      </c>
      <c r="P75" s="4" t="s">
        <v>118</v>
      </c>
      <c r="Q75" s="25" t="n">
        <v>189.99</v>
      </c>
      <c r="R75" s="25" t="n">
        <v>189.99</v>
      </c>
      <c r="S75" s="25" t="n">
        <v>101.4</v>
      </c>
      <c r="T75" s="26" t="n">
        <v>3</v>
      </c>
      <c r="U75" s="26"/>
      <c r="V75" s="26" t="n">
        <v>8</v>
      </c>
      <c r="W75" s="26"/>
      <c r="X75" s="27" t="n">
        <f aca="false">SUM(T75:W75)</f>
        <v>11</v>
      </c>
      <c r="Y75" s="28" t="n">
        <f aca="false">COUNT(T75:W75)</f>
        <v>2</v>
      </c>
      <c r="Z75" s="29" t="n">
        <f aca="false">R75*X75</f>
        <v>2089.89</v>
      </c>
      <c r="AA75" s="30" t="n">
        <v>46092</v>
      </c>
    </row>
    <row r="76" customFormat="false" ht="15" hidden="false" customHeight="true" outlineLevel="0" collapsed="false">
      <c r="A76" s="4" t="s">
        <v>656</v>
      </c>
      <c r="B76" s="4" t="s">
        <v>657</v>
      </c>
      <c r="C76" s="4" t="s">
        <v>445</v>
      </c>
      <c r="D76" s="4" t="s">
        <v>122</v>
      </c>
      <c r="E76" s="4" t="s">
        <v>285</v>
      </c>
      <c r="F76" s="4" t="s">
        <v>446</v>
      </c>
      <c r="G76" s="4" t="s">
        <v>447</v>
      </c>
      <c r="H76" s="4" t="s">
        <v>448</v>
      </c>
      <c r="I76" s="4" t="s">
        <v>161</v>
      </c>
      <c r="J76" s="4" t="s">
        <v>289</v>
      </c>
      <c r="K76" s="4" t="s">
        <v>150</v>
      </c>
      <c r="L76" s="4" t="s">
        <v>449</v>
      </c>
      <c r="M76" s="24" t="s">
        <v>363</v>
      </c>
      <c r="N76" s="4" t="s">
        <v>153</v>
      </c>
      <c r="O76" s="4" t="s">
        <v>117</v>
      </c>
      <c r="P76" s="4" t="s">
        <v>118</v>
      </c>
      <c r="Q76" s="25" t="n">
        <v>154.99</v>
      </c>
      <c r="R76" s="25" t="n">
        <v>154.99</v>
      </c>
      <c r="S76" s="25" t="n">
        <v>85.71</v>
      </c>
      <c r="T76" s="26" t="n">
        <v>6</v>
      </c>
      <c r="U76" s="26"/>
      <c r="V76" s="26" t="n">
        <v>5</v>
      </c>
      <c r="W76" s="26" t="n">
        <v>4</v>
      </c>
      <c r="X76" s="27" t="n">
        <f aca="false">SUM(T76:W76)</f>
        <v>15</v>
      </c>
      <c r="Y76" s="28" t="n">
        <f aca="false">COUNT(T76:W76)</f>
        <v>3</v>
      </c>
      <c r="Z76" s="29" t="n">
        <f aca="false">R76*X76</f>
        <v>2324.85</v>
      </c>
      <c r="AA76" s="30" t="n">
        <v>46109</v>
      </c>
    </row>
    <row r="77" customFormat="false" ht="15" hidden="false" customHeight="true" outlineLevel="0" collapsed="false">
      <c r="A77" s="4" t="s">
        <v>658</v>
      </c>
      <c r="B77" s="4" t="s">
        <v>659</v>
      </c>
      <c r="C77" s="4" t="s">
        <v>636</v>
      </c>
      <c r="D77" s="4" t="s">
        <v>122</v>
      </c>
      <c r="E77" s="4" t="s">
        <v>123</v>
      </c>
      <c r="F77" s="4" t="s">
        <v>598</v>
      </c>
      <c r="G77" s="4" t="s">
        <v>637</v>
      </c>
      <c r="H77" s="4" t="s">
        <v>638</v>
      </c>
      <c r="I77" s="4" t="s">
        <v>127</v>
      </c>
      <c r="J77" s="4" t="s">
        <v>280</v>
      </c>
      <c r="K77" s="4" t="s">
        <v>113</v>
      </c>
      <c r="L77" s="4" t="s">
        <v>639</v>
      </c>
      <c r="M77" s="24" t="s">
        <v>327</v>
      </c>
      <c r="N77" s="4" t="s">
        <v>116</v>
      </c>
      <c r="O77" s="4" t="s">
        <v>117</v>
      </c>
      <c r="P77" s="4" t="s">
        <v>118</v>
      </c>
      <c r="Q77" s="25" t="n">
        <v>139.99</v>
      </c>
      <c r="R77" s="25" t="n">
        <v>139.99</v>
      </c>
      <c r="S77" s="25" t="n">
        <v>75.33</v>
      </c>
      <c r="T77" s="26"/>
      <c r="U77" s="26"/>
      <c r="V77" s="26" t="n">
        <v>4</v>
      </c>
      <c r="W77" s="26" t="n">
        <v>0</v>
      </c>
      <c r="X77" s="27" t="n">
        <f aca="false">SUM(T77:W77)</f>
        <v>4</v>
      </c>
      <c r="Y77" s="28" t="n">
        <f aca="false">COUNT(T77:W77)</f>
        <v>2</v>
      </c>
      <c r="Z77" s="29" t="n">
        <f aca="false">R77*X77</f>
        <v>559.96</v>
      </c>
      <c r="AA77" s="30" t="n">
        <v>46176</v>
      </c>
    </row>
    <row r="78" customFormat="false" ht="15" hidden="false" customHeight="true" outlineLevel="0" collapsed="false">
      <c r="A78" s="4" t="s">
        <v>660</v>
      </c>
      <c r="B78" s="4" t="s">
        <v>661</v>
      </c>
      <c r="C78" s="4" t="s">
        <v>662</v>
      </c>
      <c r="D78" s="4" t="s">
        <v>106</v>
      </c>
      <c r="E78" s="4" t="s">
        <v>157</v>
      </c>
      <c r="F78" s="4" t="s">
        <v>663</v>
      </c>
      <c r="G78" s="4" t="s">
        <v>664</v>
      </c>
      <c r="H78" s="4" t="s">
        <v>665</v>
      </c>
      <c r="I78" s="4" t="s">
        <v>161</v>
      </c>
      <c r="J78" s="4" t="s">
        <v>162</v>
      </c>
      <c r="K78" s="4" t="s">
        <v>187</v>
      </c>
      <c r="L78" s="4" t="s">
        <v>666</v>
      </c>
      <c r="M78" s="24" t="s">
        <v>356</v>
      </c>
      <c r="N78" s="4" t="s">
        <v>189</v>
      </c>
      <c r="O78" s="4" t="s">
        <v>380</v>
      </c>
      <c r="P78" s="4" t="s">
        <v>118</v>
      </c>
      <c r="Q78" s="25" t="n">
        <v>99.99</v>
      </c>
      <c r="R78" s="25" t="n">
        <v>99.99</v>
      </c>
      <c r="S78" s="25" t="n">
        <v>54.14</v>
      </c>
      <c r="T78" s="26" t="n">
        <v>2</v>
      </c>
      <c r="U78" s="26" t="n">
        <v>4</v>
      </c>
      <c r="V78" s="26" t="n">
        <v>4</v>
      </c>
      <c r="W78" s="26" t="n">
        <v>1</v>
      </c>
      <c r="X78" s="27" t="n">
        <f aca="false">SUM(T78:W78)</f>
        <v>11</v>
      </c>
      <c r="Y78" s="28" t="n">
        <f aca="false">COUNT(T78:W78)</f>
        <v>4</v>
      </c>
      <c r="Z78" s="29" t="n">
        <f aca="false">R78*X78</f>
        <v>1099.89</v>
      </c>
      <c r="AA78" s="30" t="n">
        <v>46133</v>
      </c>
    </row>
    <row r="79" customFormat="false" ht="15" hidden="false" customHeight="true" outlineLevel="0" collapsed="false">
      <c r="A79" s="4" t="s">
        <v>667</v>
      </c>
      <c r="B79" s="4" t="s">
        <v>668</v>
      </c>
      <c r="C79" s="4" t="s">
        <v>276</v>
      </c>
      <c r="D79" s="4" t="s">
        <v>106</v>
      </c>
      <c r="E79" s="4" t="s">
        <v>107</v>
      </c>
      <c r="F79" s="4" t="s">
        <v>277</v>
      </c>
      <c r="G79" s="4" t="s">
        <v>278</v>
      </c>
      <c r="H79" s="4" t="s">
        <v>279</v>
      </c>
      <c r="I79" s="4" t="s">
        <v>127</v>
      </c>
      <c r="J79" s="4" t="s">
        <v>280</v>
      </c>
      <c r="K79" s="4" t="s">
        <v>113</v>
      </c>
      <c r="L79" s="4" t="s">
        <v>281</v>
      </c>
      <c r="M79" s="24" t="s">
        <v>130</v>
      </c>
      <c r="N79" s="4" t="s">
        <v>116</v>
      </c>
      <c r="O79" s="4" t="s">
        <v>165</v>
      </c>
      <c r="P79" s="4" t="s">
        <v>118</v>
      </c>
      <c r="Q79" s="25" t="n">
        <v>189.99</v>
      </c>
      <c r="R79" s="25" t="n">
        <v>189.99</v>
      </c>
      <c r="S79" s="25" t="n">
        <v>103.72</v>
      </c>
      <c r="T79" s="26" t="n">
        <v>0</v>
      </c>
      <c r="U79" s="26" t="n">
        <v>2</v>
      </c>
      <c r="V79" s="26" t="n">
        <v>3</v>
      </c>
      <c r="W79" s="26"/>
      <c r="X79" s="27" t="n">
        <f aca="false">SUM(T79:W79)</f>
        <v>5</v>
      </c>
      <c r="Y79" s="28" t="n">
        <f aca="false">COUNT(T79:W79)</f>
        <v>3</v>
      </c>
      <c r="Z79" s="29" t="n">
        <f aca="false">R79*X79</f>
        <v>949.95</v>
      </c>
      <c r="AA79" s="30" t="n">
        <v>46067</v>
      </c>
    </row>
    <row r="80" customFormat="false" ht="15" hidden="false" customHeight="true" outlineLevel="0" collapsed="false">
      <c r="A80" s="4" t="s">
        <v>669</v>
      </c>
      <c r="B80" s="4" t="s">
        <v>670</v>
      </c>
      <c r="C80" s="4" t="s">
        <v>671</v>
      </c>
      <c r="D80" s="4" t="s">
        <v>122</v>
      </c>
      <c r="E80" s="4" t="s">
        <v>123</v>
      </c>
      <c r="F80" s="4" t="s">
        <v>124</v>
      </c>
      <c r="G80" s="4" t="s">
        <v>672</v>
      </c>
      <c r="H80" s="4" t="s">
        <v>673</v>
      </c>
      <c r="I80" s="4" t="s">
        <v>127</v>
      </c>
      <c r="J80" s="4" t="s">
        <v>128</v>
      </c>
      <c r="K80" s="4" t="s">
        <v>150</v>
      </c>
      <c r="L80" s="4" t="s">
        <v>674</v>
      </c>
      <c r="M80" s="24" t="s">
        <v>363</v>
      </c>
      <c r="N80" s="4" t="s">
        <v>153</v>
      </c>
      <c r="O80" s="4" t="s">
        <v>165</v>
      </c>
      <c r="P80" s="4" t="s">
        <v>118</v>
      </c>
      <c r="Q80" s="25" t="n">
        <v>59.99</v>
      </c>
      <c r="R80" s="25" t="n">
        <v>59.99</v>
      </c>
      <c r="S80" s="25" t="n">
        <v>29.23</v>
      </c>
      <c r="T80" s="26" t="n">
        <v>1</v>
      </c>
      <c r="U80" s="26" t="n">
        <v>0</v>
      </c>
      <c r="V80" s="26" t="n">
        <v>4</v>
      </c>
      <c r="W80" s="26" t="n">
        <v>0</v>
      </c>
      <c r="X80" s="27" t="n">
        <f aca="false">SUM(T80:W80)</f>
        <v>5</v>
      </c>
      <c r="Y80" s="28" t="n">
        <f aca="false">COUNT(T80:W80)</f>
        <v>4</v>
      </c>
      <c r="Z80" s="29" t="n">
        <f aca="false">R80*X80</f>
        <v>299.95</v>
      </c>
      <c r="AA80" s="30" t="n">
        <v>46112</v>
      </c>
    </row>
    <row r="81" customFormat="false" ht="15" hidden="false" customHeight="true" outlineLevel="0" collapsed="false">
      <c r="A81" s="4" t="s">
        <v>675</v>
      </c>
      <c r="B81" s="4" t="s">
        <v>676</v>
      </c>
      <c r="C81" s="4" t="s">
        <v>677</v>
      </c>
      <c r="D81" s="4" t="s">
        <v>122</v>
      </c>
      <c r="E81" s="4" t="s">
        <v>285</v>
      </c>
      <c r="F81" s="4" t="s">
        <v>678</v>
      </c>
      <c r="G81" s="4" t="s">
        <v>679</v>
      </c>
      <c r="H81" s="4" t="s">
        <v>680</v>
      </c>
      <c r="I81" s="4" t="s">
        <v>161</v>
      </c>
      <c r="J81" s="4" t="s">
        <v>289</v>
      </c>
      <c r="K81" s="4" t="s">
        <v>113</v>
      </c>
      <c r="L81" s="4" t="s">
        <v>681</v>
      </c>
      <c r="M81" s="24" t="s">
        <v>164</v>
      </c>
      <c r="N81" s="4" t="s">
        <v>116</v>
      </c>
      <c r="O81" s="4" t="s">
        <v>131</v>
      </c>
      <c r="P81" s="4" t="s">
        <v>118</v>
      </c>
      <c r="Q81" s="25" t="n">
        <v>224.99</v>
      </c>
      <c r="R81" s="25" t="n">
        <v>224.99</v>
      </c>
      <c r="S81" s="25" t="n">
        <v>120.83</v>
      </c>
      <c r="T81" s="26" t="n">
        <v>0</v>
      </c>
      <c r="U81" s="26" t="n">
        <v>1</v>
      </c>
      <c r="V81" s="26" t="n">
        <v>3</v>
      </c>
      <c r="W81" s="26"/>
      <c r="X81" s="27" t="n">
        <f aca="false">SUM(T81:W81)</f>
        <v>4</v>
      </c>
      <c r="Y81" s="28" t="n">
        <f aca="false">COUNT(T81:W81)</f>
        <v>3</v>
      </c>
      <c r="Z81" s="29" t="n">
        <f aca="false">R81*X81</f>
        <v>899.96</v>
      </c>
      <c r="AA81" s="30" t="n">
        <v>46074</v>
      </c>
    </row>
    <row r="82" customFormat="false" ht="15" hidden="false" customHeight="true" outlineLevel="0" collapsed="false">
      <c r="A82" s="4" t="s">
        <v>682</v>
      </c>
      <c r="B82" s="4" t="s">
        <v>683</v>
      </c>
      <c r="C82" s="4" t="s">
        <v>684</v>
      </c>
      <c r="D82" s="4" t="s">
        <v>251</v>
      </c>
      <c r="E82" s="4" t="s">
        <v>252</v>
      </c>
      <c r="F82" s="4" t="s">
        <v>685</v>
      </c>
      <c r="G82" s="4" t="s">
        <v>686</v>
      </c>
      <c r="H82" s="4" t="s">
        <v>687</v>
      </c>
      <c r="I82" s="4" t="s">
        <v>161</v>
      </c>
      <c r="J82" s="4" t="s">
        <v>235</v>
      </c>
      <c r="K82" s="4" t="s">
        <v>113</v>
      </c>
      <c r="L82" s="4" t="s">
        <v>348</v>
      </c>
      <c r="M82" s="24" t="s">
        <v>211</v>
      </c>
      <c r="N82" s="4" t="s">
        <v>116</v>
      </c>
      <c r="O82" s="4" t="s">
        <v>117</v>
      </c>
      <c r="P82" s="4" t="s">
        <v>118</v>
      </c>
      <c r="Q82" s="25" t="n">
        <v>79.99</v>
      </c>
      <c r="R82" s="25" t="n">
        <v>79.99</v>
      </c>
      <c r="S82" s="25" t="n">
        <v>44.53</v>
      </c>
      <c r="T82" s="26" t="n">
        <v>1</v>
      </c>
      <c r="U82" s="26" t="n">
        <v>1</v>
      </c>
      <c r="V82" s="26" t="n">
        <v>5</v>
      </c>
      <c r="W82" s="26" t="n">
        <v>0</v>
      </c>
      <c r="X82" s="27" t="n">
        <f aca="false">SUM(T82:W82)</f>
        <v>7</v>
      </c>
      <c r="Y82" s="28" t="n">
        <f aca="false">COUNT(T82:W82)</f>
        <v>4</v>
      </c>
      <c r="Z82" s="29" t="n">
        <f aca="false">R82*X82</f>
        <v>559.93</v>
      </c>
      <c r="AA82" s="30" t="n">
        <v>46054</v>
      </c>
    </row>
    <row r="83" customFormat="false" ht="15" hidden="false" customHeight="true" outlineLevel="0" collapsed="false">
      <c r="A83" s="4" t="s">
        <v>688</v>
      </c>
      <c r="B83" s="4" t="s">
        <v>689</v>
      </c>
      <c r="C83" s="4" t="s">
        <v>690</v>
      </c>
      <c r="D83" s="4" t="s">
        <v>122</v>
      </c>
      <c r="E83" s="4" t="s">
        <v>285</v>
      </c>
      <c r="F83" s="4" t="s">
        <v>691</v>
      </c>
      <c r="G83" s="4" t="s">
        <v>692</v>
      </c>
      <c r="H83" s="4" t="s">
        <v>693</v>
      </c>
      <c r="I83" s="4" t="s">
        <v>226</v>
      </c>
      <c r="J83" s="4" t="s">
        <v>265</v>
      </c>
      <c r="K83" s="4" t="s">
        <v>113</v>
      </c>
      <c r="L83" s="4" t="s">
        <v>694</v>
      </c>
      <c r="M83" s="24" t="s">
        <v>141</v>
      </c>
      <c r="N83" s="4" t="s">
        <v>116</v>
      </c>
      <c r="O83" s="4" t="s">
        <v>165</v>
      </c>
      <c r="P83" s="4" t="s">
        <v>118</v>
      </c>
      <c r="Q83" s="25" t="n">
        <v>119.99</v>
      </c>
      <c r="R83" s="25" t="n">
        <v>119.99</v>
      </c>
      <c r="S83" s="25" t="n">
        <v>62.47</v>
      </c>
      <c r="T83" s="26"/>
      <c r="U83" s="26"/>
      <c r="V83" s="26" t="n">
        <v>4</v>
      </c>
      <c r="W83" s="26"/>
      <c r="X83" s="27" t="n">
        <f aca="false">SUM(T83:W83)</f>
        <v>4</v>
      </c>
      <c r="Y83" s="28" t="n">
        <f aca="false">COUNT(T83:W83)</f>
        <v>1</v>
      </c>
      <c r="Z83" s="29" t="n">
        <f aca="false">R83*X83</f>
        <v>479.96</v>
      </c>
      <c r="AA83" s="30" t="n">
        <v>46145</v>
      </c>
    </row>
    <row r="84" customFormat="false" ht="15" hidden="false" customHeight="true" outlineLevel="0" collapsed="false">
      <c r="A84" s="4" t="s">
        <v>695</v>
      </c>
      <c r="B84" s="4" t="s">
        <v>696</v>
      </c>
      <c r="C84" s="4" t="s">
        <v>541</v>
      </c>
      <c r="D84" s="4" t="s">
        <v>135</v>
      </c>
      <c r="E84" s="4" t="s">
        <v>136</v>
      </c>
      <c r="F84" s="4" t="s">
        <v>542</v>
      </c>
      <c r="G84" s="4" t="s">
        <v>543</v>
      </c>
      <c r="H84" s="4" t="s">
        <v>544</v>
      </c>
      <c r="I84" s="4" t="s">
        <v>161</v>
      </c>
      <c r="J84" s="4" t="s">
        <v>246</v>
      </c>
      <c r="K84" s="4" t="s">
        <v>187</v>
      </c>
      <c r="L84" s="4" t="s">
        <v>545</v>
      </c>
      <c r="M84" s="24" t="s">
        <v>291</v>
      </c>
      <c r="N84" s="4" t="s">
        <v>189</v>
      </c>
      <c r="O84" s="4" t="s">
        <v>131</v>
      </c>
      <c r="P84" s="4" t="s">
        <v>118</v>
      </c>
      <c r="Q84" s="25" t="n">
        <v>99.99</v>
      </c>
      <c r="R84" s="25" t="n">
        <v>99.99</v>
      </c>
      <c r="S84" s="25" t="n">
        <v>53.26</v>
      </c>
      <c r="T84" s="26" t="n">
        <v>6</v>
      </c>
      <c r="U84" s="26" t="n">
        <v>1</v>
      </c>
      <c r="V84" s="26" t="n">
        <v>0</v>
      </c>
      <c r="W84" s="26" t="n">
        <v>0</v>
      </c>
      <c r="X84" s="27" t="n">
        <f aca="false">SUM(T84:W84)</f>
        <v>7</v>
      </c>
      <c r="Y84" s="28" t="n">
        <f aca="false">COUNT(T84:W84)</f>
        <v>4</v>
      </c>
      <c r="Z84" s="29" t="n">
        <f aca="false">R84*X84</f>
        <v>699.93</v>
      </c>
      <c r="AA84" s="30" t="n">
        <v>46042</v>
      </c>
    </row>
    <row r="85" customFormat="false" ht="15" hidden="false" customHeight="true" outlineLevel="0" collapsed="false">
      <c r="A85" s="4" t="s">
        <v>697</v>
      </c>
      <c r="B85" s="4" t="s">
        <v>698</v>
      </c>
      <c r="C85" s="4" t="s">
        <v>690</v>
      </c>
      <c r="D85" s="4" t="s">
        <v>122</v>
      </c>
      <c r="E85" s="4" t="s">
        <v>285</v>
      </c>
      <c r="F85" s="4" t="s">
        <v>691</v>
      </c>
      <c r="G85" s="4" t="s">
        <v>692</v>
      </c>
      <c r="H85" s="4" t="s">
        <v>693</v>
      </c>
      <c r="I85" s="4" t="s">
        <v>226</v>
      </c>
      <c r="J85" s="4" t="s">
        <v>265</v>
      </c>
      <c r="K85" s="4" t="s">
        <v>113</v>
      </c>
      <c r="L85" s="4" t="s">
        <v>694</v>
      </c>
      <c r="M85" s="24" t="s">
        <v>115</v>
      </c>
      <c r="N85" s="4" t="s">
        <v>116</v>
      </c>
      <c r="O85" s="4" t="s">
        <v>165</v>
      </c>
      <c r="P85" s="4" t="s">
        <v>118</v>
      </c>
      <c r="Q85" s="25" t="n">
        <v>119.99</v>
      </c>
      <c r="R85" s="25" t="n">
        <v>119.99</v>
      </c>
      <c r="S85" s="25" t="n">
        <v>62.47</v>
      </c>
      <c r="T85" s="26"/>
      <c r="U85" s="26"/>
      <c r="V85" s="26" t="n">
        <v>4</v>
      </c>
      <c r="W85" s="26"/>
      <c r="X85" s="27" t="n">
        <f aca="false">SUM(T85:W85)</f>
        <v>4</v>
      </c>
      <c r="Y85" s="28" t="n">
        <f aca="false">COUNT(T85:W85)</f>
        <v>1</v>
      </c>
      <c r="Z85" s="29" t="n">
        <f aca="false">R85*X85</f>
        <v>479.96</v>
      </c>
      <c r="AA85" s="30" t="n">
        <v>46066</v>
      </c>
    </row>
    <row r="86" customFormat="false" ht="15" hidden="false" customHeight="true" outlineLevel="0" collapsed="false">
      <c r="A86" s="4" t="s">
        <v>699</v>
      </c>
      <c r="B86" s="4" t="s">
        <v>700</v>
      </c>
      <c r="C86" s="4" t="s">
        <v>701</v>
      </c>
      <c r="D86" s="4" t="s">
        <v>475</v>
      </c>
      <c r="E86" s="4" t="s">
        <v>476</v>
      </c>
      <c r="F86" s="4" t="s">
        <v>702</v>
      </c>
      <c r="G86" s="4" t="s">
        <v>703</v>
      </c>
      <c r="H86" s="4" t="s">
        <v>704</v>
      </c>
      <c r="I86" s="4" t="s">
        <v>161</v>
      </c>
      <c r="J86" s="4" t="s">
        <v>186</v>
      </c>
      <c r="K86" s="4" t="s">
        <v>209</v>
      </c>
      <c r="L86" s="4" t="s">
        <v>705</v>
      </c>
      <c r="M86" s="24" t="s">
        <v>211</v>
      </c>
      <c r="N86" s="4" t="s">
        <v>153</v>
      </c>
      <c r="O86" s="4" t="s">
        <v>131</v>
      </c>
      <c r="P86" s="4" t="s">
        <v>118</v>
      </c>
      <c r="Q86" s="25" t="n">
        <v>64.99</v>
      </c>
      <c r="R86" s="25" t="n">
        <v>64.99</v>
      </c>
      <c r="S86" s="25" t="n">
        <v>34.43</v>
      </c>
      <c r="T86" s="26"/>
      <c r="U86" s="26"/>
      <c r="V86" s="26" t="n">
        <v>5</v>
      </c>
      <c r="W86" s="26"/>
      <c r="X86" s="27" t="n">
        <f aca="false">SUM(T86:W86)</f>
        <v>5</v>
      </c>
      <c r="Y86" s="28" t="n">
        <f aca="false">COUNT(T86:W86)</f>
        <v>1</v>
      </c>
      <c r="Z86" s="29" t="n">
        <f aca="false">R86*X86</f>
        <v>324.95</v>
      </c>
      <c r="AA86" s="30" t="n">
        <v>46098</v>
      </c>
    </row>
    <row r="87" customFormat="false" ht="15" hidden="false" customHeight="true" outlineLevel="0" collapsed="false">
      <c r="A87" s="4" t="s">
        <v>706</v>
      </c>
      <c r="B87" s="4" t="s">
        <v>707</v>
      </c>
      <c r="C87" s="4" t="s">
        <v>708</v>
      </c>
      <c r="D87" s="4" t="s">
        <v>135</v>
      </c>
      <c r="E87" s="4" t="s">
        <v>136</v>
      </c>
      <c r="F87" s="4" t="s">
        <v>413</v>
      </c>
      <c r="G87" s="4" t="s">
        <v>709</v>
      </c>
      <c r="H87" s="4" t="s">
        <v>710</v>
      </c>
      <c r="I87" s="4" t="s">
        <v>161</v>
      </c>
      <c r="J87" s="4" t="s">
        <v>246</v>
      </c>
      <c r="K87" s="4" t="s">
        <v>187</v>
      </c>
      <c r="L87" s="4" t="s">
        <v>176</v>
      </c>
      <c r="M87" s="24" t="s">
        <v>338</v>
      </c>
      <c r="N87" s="4" t="s">
        <v>189</v>
      </c>
      <c r="O87" s="4" t="s">
        <v>380</v>
      </c>
      <c r="P87" s="4" t="s">
        <v>118</v>
      </c>
      <c r="Q87" s="25" t="n">
        <v>89.99</v>
      </c>
      <c r="R87" s="25" t="n">
        <v>89.99</v>
      </c>
      <c r="S87" s="25" t="n">
        <v>44</v>
      </c>
      <c r="T87" s="26" t="n">
        <v>4</v>
      </c>
      <c r="U87" s="26" t="n">
        <v>2</v>
      </c>
      <c r="V87" s="26" t="n">
        <v>6</v>
      </c>
      <c r="W87" s="26"/>
      <c r="X87" s="27" t="n">
        <f aca="false">SUM(T87:W87)</f>
        <v>12</v>
      </c>
      <c r="Y87" s="28" t="n">
        <f aca="false">COUNT(T87:W87)</f>
        <v>3</v>
      </c>
      <c r="Z87" s="29" t="n">
        <f aca="false">R87*X87</f>
        <v>1079.88</v>
      </c>
      <c r="AA87" s="30" t="n">
        <v>46031</v>
      </c>
    </row>
    <row r="88" customFormat="false" ht="15" hidden="false" customHeight="true" outlineLevel="0" collapsed="false">
      <c r="A88" s="4" t="s">
        <v>711</v>
      </c>
      <c r="B88" s="4" t="s">
        <v>712</v>
      </c>
      <c r="C88" s="4" t="s">
        <v>713</v>
      </c>
      <c r="D88" s="4" t="s">
        <v>342</v>
      </c>
      <c r="E88" s="4" t="s">
        <v>714</v>
      </c>
      <c r="F88" s="4" t="s">
        <v>715</v>
      </c>
      <c r="G88" s="4" t="s">
        <v>716</v>
      </c>
      <c r="H88" s="4" t="s">
        <v>717</v>
      </c>
      <c r="I88" s="4" t="s">
        <v>161</v>
      </c>
      <c r="J88" s="4" t="s">
        <v>718</v>
      </c>
      <c r="K88" s="4" t="s">
        <v>187</v>
      </c>
      <c r="L88" s="4" t="s">
        <v>719</v>
      </c>
      <c r="M88" s="24" t="s">
        <v>356</v>
      </c>
      <c r="N88" s="4" t="s">
        <v>189</v>
      </c>
      <c r="O88" s="4" t="s">
        <v>238</v>
      </c>
      <c r="P88" s="4" t="s">
        <v>239</v>
      </c>
      <c r="Q88" s="25" t="n">
        <v>119.99</v>
      </c>
      <c r="R88" s="25" t="n">
        <v>71.99</v>
      </c>
      <c r="S88" s="25" t="n">
        <v>61.14</v>
      </c>
      <c r="T88" s="26" t="n">
        <v>5</v>
      </c>
      <c r="U88" s="26" t="n">
        <v>6</v>
      </c>
      <c r="V88" s="26" t="n">
        <v>5</v>
      </c>
      <c r="W88" s="26" t="n">
        <v>0</v>
      </c>
      <c r="X88" s="27" t="n">
        <f aca="false">SUM(T88:W88)</f>
        <v>16</v>
      </c>
      <c r="Y88" s="28" t="n">
        <f aca="false">COUNT(T88:W88)</f>
        <v>4</v>
      </c>
      <c r="Z88" s="29" t="n">
        <f aca="false">R88*X88</f>
        <v>1151.84</v>
      </c>
      <c r="AA88" s="30" t="n">
        <v>46223</v>
      </c>
    </row>
    <row r="89" customFormat="false" ht="15" hidden="false" customHeight="true" outlineLevel="0" collapsed="false">
      <c r="A89" s="4" t="s">
        <v>720</v>
      </c>
      <c r="B89" s="4" t="s">
        <v>721</v>
      </c>
      <c r="C89" s="4" t="s">
        <v>722</v>
      </c>
      <c r="D89" s="4" t="s">
        <v>106</v>
      </c>
      <c r="E89" s="4" t="s">
        <v>107</v>
      </c>
      <c r="F89" s="4" t="s">
        <v>723</v>
      </c>
      <c r="G89" s="4" t="s">
        <v>724</v>
      </c>
      <c r="H89" s="4" t="s">
        <v>725</v>
      </c>
      <c r="I89" s="4" t="s">
        <v>127</v>
      </c>
      <c r="J89" s="4" t="s">
        <v>128</v>
      </c>
      <c r="K89" s="4" t="s">
        <v>150</v>
      </c>
      <c r="L89" s="4" t="s">
        <v>114</v>
      </c>
      <c r="M89" s="24" t="s">
        <v>363</v>
      </c>
      <c r="N89" s="4" t="s">
        <v>153</v>
      </c>
      <c r="O89" s="4" t="s">
        <v>165</v>
      </c>
      <c r="P89" s="4" t="s">
        <v>118</v>
      </c>
      <c r="Q89" s="25" t="n">
        <v>54.99</v>
      </c>
      <c r="R89" s="25" t="n">
        <v>54.99</v>
      </c>
      <c r="S89" s="25" t="n">
        <v>28.09</v>
      </c>
      <c r="T89" s="26" t="n">
        <v>1</v>
      </c>
      <c r="U89" s="26"/>
      <c r="V89" s="26" t="n">
        <v>7</v>
      </c>
      <c r="W89" s="26"/>
      <c r="X89" s="27" t="n">
        <f aca="false">SUM(T89:W89)</f>
        <v>8</v>
      </c>
      <c r="Y89" s="28" t="n">
        <f aca="false">COUNT(T89:W89)</f>
        <v>2</v>
      </c>
      <c r="Z89" s="29" t="n">
        <f aca="false">R89*X89</f>
        <v>439.92</v>
      </c>
      <c r="AA89" s="30" t="n">
        <v>46157</v>
      </c>
    </row>
    <row r="90" customFormat="false" ht="15" hidden="false" customHeight="true" outlineLevel="0" collapsed="false">
      <c r="A90" s="4" t="s">
        <v>726</v>
      </c>
      <c r="B90" s="4" t="s">
        <v>727</v>
      </c>
      <c r="C90" s="4" t="s">
        <v>684</v>
      </c>
      <c r="D90" s="4" t="s">
        <v>251</v>
      </c>
      <c r="E90" s="4" t="s">
        <v>252</v>
      </c>
      <c r="F90" s="4" t="s">
        <v>685</v>
      </c>
      <c r="G90" s="4" t="s">
        <v>686</v>
      </c>
      <c r="H90" s="4" t="s">
        <v>687</v>
      </c>
      <c r="I90" s="4" t="s">
        <v>161</v>
      </c>
      <c r="J90" s="4" t="s">
        <v>235</v>
      </c>
      <c r="K90" s="4" t="s">
        <v>113</v>
      </c>
      <c r="L90" s="4" t="s">
        <v>348</v>
      </c>
      <c r="M90" s="24" t="s">
        <v>258</v>
      </c>
      <c r="N90" s="4" t="s">
        <v>116</v>
      </c>
      <c r="O90" s="4" t="s">
        <v>117</v>
      </c>
      <c r="P90" s="4" t="s">
        <v>118</v>
      </c>
      <c r="Q90" s="25" t="n">
        <v>79.99</v>
      </c>
      <c r="R90" s="25" t="n">
        <v>79.99</v>
      </c>
      <c r="S90" s="25" t="n">
        <v>44.53</v>
      </c>
      <c r="T90" s="26" t="n">
        <v>0</v>
      </c>
      <c r="U90" s="26" t="n">
        <v>4</v>
      </c>
      <c r="V90" s="26" t="n">
        <v>5</v>
      </c>
      <c r="W90" s="26" t="n">
        <v>1</v>
      </c>
      <c r="X90" s="27" t="n">
        <f aca="false">SUM(T90:W90)</f>
        <v>10</v>
      </c>
      <c r="Y90" s="28" t="n">
        <f aca="false">COUNT(T90:W90)</f>
        <v>4</v>
      </c>
      <c r="Z90" s="29" t="n">
        <f aca="false">R90*X90</f>
        <v>799.9</v>
      </c>
      <c r="AA90" s="30" t="n">
        <v>46126</v>
      </c>
    </row>
    <row r="91" customFormat="false" ht="15" hidden="false" customHeight="true" outlineLevel="0" collapsed="false">
      <c r="A91" s="4" t="s">
        <v>728</v>
      </c>
      <c r="B91" s="4" t="s">
        <v>729</v>
      </c>
      <c r="C91" s="4" t="s">
        <v>730</v>
      </c>
      <c r="D91" s="4" t="s">
        <v>106</v>
      </c>
      <c r="E91" s="4" t="s">
        <v>157</v>
      </c>
      <c r="F91" s="4" t="s">
        <v>731</v>
      </c>
      <c r="G91" s="4" t="s">
        <v>732</v>
      </c>
      <c r="H91" s="4" t="s">
        <v>733</v>
      </c>
      <c r="I91" s="4" t="s">
        <v>161</v>
      </c>
      <c r="J91" s="4" t="s">
        <v>235</v>
      </c>
      <c r="K91" s="4" t="s">
        <v>113</v>
      </c>
      <c r="L91" s="4" t="s">
        <v>734</v>
      </c>
      <c r="M91" s="24" t="s">
        <v>115</v>
      </c>
      <c r="N91" s="4" t="s">
        <v>116</v>
      </c>
      <c r="O91" s="4" t="s">
        <v>165</v>
      </c>
      <c r="P91" s="4" t="s">
        <v>118</v>
      </c>
      <c r="Q91" s="25" t="n">
        <v>109.99</v>
      </c>
      <c r="R91" s="25" t="n">
        <v>109.99</v>
      </c>
      <c r="S91" s="25" t="n">
        <v>59.52</v>
      </c>
      <c r="T91" s="26" t="n">
        <v>4</v>
      </c>
      <c r="U91" s="26" t="n">
        <v>4</v>
      </c>
      <c r="V91" s="26" t="n">
        <v>1</v>
      </c>
      <c r="W91" s="26"/>
      <c r="X91" s="27" t="n">
        <f aca="false">SUM(T91:W91)</f>
        <v>9</v>
      </c>
      <c r="Y91" s="28" t="n">
        <f aca="false">COUNT(T91:W91)</f>
        <v>3</v>
      </c>
      <c r="Z91" s="29" t="n">
        <f aca="false">R91*X91</f>
        <v>989.91</v>
      </c>
      <c r="AA91" s="30" t="n">
        <v>46054</v>
      </c>
    </row>
    <row r="92" customFormat="false" ht="15" hidden="false" customHeight="true" outlineLevel="0" collapsed="false">
      <c r="A92" s="4" t="s">
        <v>735</v>
      </c>
      <c r="B92" s="4" t="s">
        <v>736</v>
      </c>
      <c r="C92" s="4" t="s">
        <v>737</v>
      </c>
      <c r="D92" s="4" t="s">
        <v>122</v>
      </c>
      <c r="E92" s="4" t="s">
        <v>123</v>
      </c>
      <c r="F92" s="4" t="s">
        <v>420</v>
      </c>
      <c r="G92" s="4" t="s">
        <v>738</v>
      </c>
      <c r="H92" s="4" t="s">
        <v>739</v>
      </c>
      <c r="I92" s="4" t="s">
        <v>161</v>
      </c>
      <c r="J92" s="4" t="s">
        <v>235</v>
      </c>
      <c r="K92" s="4" t="s">
        <v>187</v>
      </c>
      <c r="L92" s="4" t="s">
        <v>273</v>
      </c>
      <c r="M92" s="24" t="s">
        <v>308</v>
      </c>
      <c r="N92" s="4" t="s">
        <v>189</v>
      </c>
      <c r="O92" s="4" t="s">
        <v>117</v>
      </c>
      <c r="P92" s="4" t="s">
        <v>118</v>
      </c>
      <c r="Q92" s="25" t="n">
        <v>124.99</v>
      </c>
      <c r="R92" s="25" t="n">
        <v>124.99</v>
      </c>
      <c r="S92" s="25" t="n">
        <v>66.91</v>
      </c>
      <c r="T92" s="26" t="n">
        <v>0</v>
      </c>
      <c r="U92" s="26" t="n">
        <v>1</v>
      </c>
      <c r="V92" s="26" t="n">
        <v>5</v>
      </c>
      <c r="W92" s="26" t="n">
        <v>2</v>
      </c>
      <c r="X92" s="27" t="n">
        <f aca="false">SUM(T92:W92)</f>
        <v>8</v>
      </c>
      <c r="Y92" s="28" t="n">
        <f aca="false">COUNT(T92:W92)</f>
        <v>4</v>
      </c>
      <c r="Z92" s="29" t="n">
        <f aca="false">R92*X92</f>
        <v>999.92</v>
      </c>
      <c r="AA92" s="30" t="n">
        <v>46123</v>
      </c>
    </row>
    <row r="93" customFormat="false" ht="15" hidden="false" customHeight="true" outlineLevel="0" collapsed="false">
      <c r="A93" s="4" t="s">
        <v>740</v>
      </c>
      <c r="B93" s="4" t="s">
        <v>741</v>
      </c>
      <c r="C93" s="4" t="s">
        <v>494</v>
      </c>
      <c r="D93" s="4" t="s">
        <v>106</v>
      </c>
      <c r="E93" s="4" t="s">
        <v>157</v>
      </c>
      <c r="F93" s="4" t="s">
        <v>495</v>
      </c>
      <c r="G93" s="4" t="s">
        <v>496</v>
      </c>
      <c r="H93" s="4" t="s">
        <v>497</v>
      </c>
      <c r="I93" s="4" t="s">
        <v>161</v>
      </c>
      <c r="J93" s="4" t="s">
        <v>162</v>
      </c>
      <c r="K93" s="4" t="s">
        <v>113</v>
      </c>
      <c r="L93" s="4" t="s">
        <v>498</v>
      </c>
      <c r="M93" s="24" t="s">
        <v>164</v>
      </c>
      <c r="N93" s="4" t="s">
        <v>116</v>
      </c>
      <c r="O93" s="4" t="s">
        <v>238</v>
      </c>
      <c r="P93" s="4" t="s">
        <v>239</v>
      </c>
      <c r="Q93" s="25" t="n">
        <v>109.99</v>
      </c>
      <c r="R93" s="25" t="n">
        <v>65.99</v>
      </c>
      <c r="S93" s="25" t="n">
        <v>60.5</v>
      </c>
      <c r="T93" s="26" t="n">
        <v>3</v>
      </c>
      <c r="U93" s="26" t="n">
        <v>1</v>
      </c>
      <c r="V93" s="26" t="n">
        <v>0</v>
      </c>
      <c r="W93" s="26" t="n">
        <v>4</v>
      </c>
      <c r="X93" s="27" t="n">
        <f aca="false">SUM(T93:W93)</f>
        <v>8</v>
      </c>
      <c r="Y93" s="28" t="n">
        <f aca="false">COUNT(T93:W93)</f>
        <v>4</v>
      </c>
      <c r="Z93" s="29" t="n">
        <f aca="false">R93*X93</f>
        <v>527.92</v>
      </c>
      <c r="AA93" s="30" t="n">
        <v>46074</v>
      </c>
    </row>
    <row r="94" customFormat="false" ht="15" hidden="false" customHeight="true" outlineLevel="0" collapsed="false">
      <c r="A94" s="4" t="s">
        <v>742</v>
      </c>
      <c r="B94" s="4" t="s">
        <v>743</v>
      </c>
      <c r="C94" s="4" t="s">
        <v>744</v>
      </c>
      <c r="D94" s="4" t="s">
        <v>106</v>
      </c>
      <c r="E94" s="4" t="s">
        <v>157</v>
      </c>
      <c r="F94" s="4" t="s">
        <v>745</v>
      </c>
      <c r="G94" s="4" t="s">
        <v>746</v>
      </c>
      <c r="H94" s="4" t="s">
        <v>747</v>
      </c>
      <c r="I94" s="4" t="s">
        <v>161</v>
      </c>
      <c r="J94" s="4" t="s">
        <v>235</v>
      </c>
      <c r="K94" s="4" t="s">
        <v>150</v>
      </c>
      <c r="L94" s="4" t="s">
        <v>748</v>
      </c>
      <c r="M94" s="24" t="s">
        <v>749</v>
      </c>
      <c r="N94" s="4" t="s">
        <v>153</v>
      </c>
      <c r="O94" s="4" t="s">
        <v>117</v>
      </c>
      <c r="P94" s="4" t="s">
        <v>118</v>
      </c>
      <c r="Q94" s="25" t="n">
        <v>74.99</v>
      </c>
      <c r="R94" s="25" t="n">
        <v>74.99</v>
      </c>
      <c r="S94" s="25" t="n">
        <v>39.21</v>
      </c>
      <c r="T94" s="26" t="n">
        <v>3</v>
      </c>
      <c r="U94" s="26" t="n">
        <v>4</v>
      </c>
      <c r="V94" s="26" t="n">
        <v>4</v>
      </c>
      <c r="W94" s="26" t="n">
        <v>1</v>
      </c>
      <c r="X94" s="27" t="n">
        <f aca="false">SUM(T94:W94)</f>
        <v>12</v>
      </c>
      <c r="Y94" s="28" t="n">
        <f aca="false">COUNT(T94:W94)</f>
        <v>4</v>
      </c>
      <c r="Z94" s="29" t="n">
        <f aca="false">R94*X94</f>
        <v>899.88</v>
      </c>
      <c r="AA94" s="30" t="n">
        <v>46022</v>
      </c>
    </row>
    <row r="95" customFormat="false" ht="15" hidden="false" customHeight="true" outlineLevel="0" collapsed="false">
      <c r="A95" s="4" t="s">
        <v>750</v>
      </c>
      <c r="B95" s="4" t="s">
        <v>751</v>
      </c>
      <c r="C95" s="4" t="s">
        <v>518</v>
      </c>
      <c r="D95" s="4" t="s">
        <v>106</v>
      </c>
      <c r="E95" s="4" t="s">
        <v>107</v>
      </c>
      <c r="F95" s="4" t="s">
        <v>519</v>
      </c>
      <c r="G95" s="4" t="s">
        <v>520</v>
      </c>
      <c r="H95" s="4" t="s">
        <v>521</v>
      </c>
      <c r="I95" s="4" t="s">
        <v>226</v>
      </c>
      <c r="J95" s="4" t="s">
        <v>265</v>
      </c>
      <c r="K95" s="4" t="s">
        <v>150</v>
      </c>
      <c r="L95" s="4" t="s">
        <v>522</v>
      </c>
      <c r="M95" s="24" t="s">
        <v>363</v>
      </c>
      <c r="N95" s="4" t="s">
        <v>153</v>
      </c>
      <c r="O95" s="4" t="s">
        <v>117</v>
      </c>
      <c r="P95" s="4" t="s">
        <v>202</v>
      </c>
      <c r="Q95" s="25" t="n">
        <v>84.99</v>
      </c>
      <c r="R95" s="25" t="n">
        <v>84.99</v>
      </c>
      <c r="S95" s="25" t="n">
        <v>45.41</v>
      </c>
      <c r="T95" s="26"/>
      <c r="U95" s="26"/>
      <c r="V95" s="26" t="n">
        <v>2</v>
      </c>
      <c r="W95" s="26"/>
      <c r="X95" s="27" t="n">
        <f aca="false">SUM(T95:W95)</f>
        <v>2</v>
      </c>
      <c r="Y95" s="28" t="n">
        <f aca="false">COUNT(T95:W95)</f>
        <v>1</v>
      </c>
      <c r="Z95" s="29" t="n">
        <f aca="false">R95*X95</f>
        <v>169.98</v>
      </c>
      <c r="AA95" s="30" t="n">
        <v>46111</v>
      </c>
    </row>
    <row r="96" customFormat="false" ht="15" hidden="false" customHeight="true" outlineLevel="0" collapsed="false">
      <c r="A96" s="4" t="s">
        <v>752</v>
      </c>
      <c r="B96" s="4" t="s">
        <v>753</v>
      </c>
      <c r="C96" s="4" t="s">
        <v>460</v>
      </c>
      <c r="D96" s="4" t="s">
        <v>181</v>
      </c>
      <c r="E96" s="4" t="s">
        <v>182</v>
      </c>
      <c r="F96" s="4" t="s">
        <v>461</v>
      </c>
      <c r="G96" s="4" t="s">
        <v>462</v>
      </c>
      <c r="H96" s="4" t="s">
        <v>463</v>
      </c>
      <c r="I96" s="4" t="s">
        <v>161</v>
      </c>
      <c r="J96" s="4" t="s">
        <v>186</v>
      </c>
      <c r="K96" s="4" t="s">
        <v>209</v>
      </c>
      <c r="L96" s="4" t="s">
        <v>464</v>
      </c>
      <c r="M96" s="24" t="s">
        <v>338</v>
      </c>
      <c r="N96" s="4" t="s">
        <v>153</v>
      </c>
      <c r="O96" s="4" t="s">
        <v>131</v>
      </c>
      <c r="P96" s="4" t="s">
        <v>118</v>
      </c>
      <c r="Q96" s="25" t="n">
        <v>84.99</v>
      </c>
      <c r="R96" s="25" t="n">
        <v>84.99</v>
      </c>
      <c r="S96" s="25" t="n">
        <v>42.89</v>
      </c>
      <c r="T96" s="26" t="n">
        <v>0</v>
      </c>
      <c r="U96" s="26"/>
      <c r="V96" s="26" t="n">
        <v>7</v>
      </c>
      <c r="W96" s="26" t="n">
        <v>3</v>
      </c>
      <c r="X96" s="27" t="n">
        <f aca="false">SUM(T96:W96)</f>
        <v>10</v>
      </c>
      <c r="Y96" s="28" t="n">
        <f aca="false">COUNT(T96:W96)</f>
        <v>3</v>
      </c>
      <c r="Z96" s="29" t="n">
        <f aca="false">R96*X96</f>
        <v>849.9</v>
      </c>
      <c r="AA96" s="30" t="n">
        <v>46119</v>
      </c>
    </row>
    <row r="97" customFormat="false" ht="15" hidden="false" customHeight="true" outlineLevel="0" collapsed="false">
      <c r="A97" s="4" t="s">
        <v>754</v>
      </c>
      <c r="B97" s="4" t="s">
        <v>755</v>
      </c>
      <c r="C97" s="4" t="s">
        <v>426</v>
      </c>
      <c r="D97" s="4" t="s">
        <v>427</v>
      </c>
      <c r="E97" s="4" t="s">
        <v>428</v>
      </c>
      <c r="F97" s="4" t="s">
        <v>429</v>
      </c>
      <c r="G97" s="4" t="s">
        <v>430</v>
      </c>
      <c r="H97" s="4" t="s">
        <v>431</v>
      </c>
      <c r="I97" s="4" t="s">
        <v>127</v>
      </c>
      <c r="J97" s="4" t="s">
        <v>298</v>
      </c>
      <c r="K97" s="4" t="s">
        <v>113</v>
      </c>
      <c r="L97" s="4" t="s">
        <v>432</v>
      </c>
      <c r="M97" s="24" t="s">
        <v>177</v>
      </c>
      <c r="N97" s="4" t="s">
        <v>116</v>
      </c>
      <c r="O97" s="4" t="s">
        <v>165</v>
      </c>
      <c r="P97" s="4" t="s">
        <v>118</v>
      </c>
      <c r="Q97" s="25" t="n">
        <v>99.99</v>
      </c>
      <c r="R97" s="25" t="n">
        <v>99.99</v>
      </c>
      <c r="S97" s="25" t="n">
        <v>55.37</v>
      </c>
      <c r="T97" s="26" t="n">
        <v>1</v>
      </c>
      <c r="U97" s="26"/>
      <c r="V97" s="26" t="n">
        <v>3</v>
      </c>
      <c r="W97" s="26" t="n">
        <v>4</v>
      </c>
      <c r="X97" s="27" t="n">
        <f aca="false">SUM(T97:W97)</f>
        <v>8</v>
      </c>
      <c r="Y97" s="28" t="n">
        <f aca="false">COUNT(T97:W97)</f>
        <v>3</v>
      </c>
      <c r="Z97" s="29" t="n">
        <f aca="false">R97*X97</f>
        <v>799.92</v>
      </c>
      <c r="AA97" s="30" t="n">
        <v>46166</v>
      </c>
    </row>
    <row r="98" customFormat="false" ht="15" hidden="false" customHeight="true" outlineLevel="0" collapsed="false">
      <c r="A98" s="4" t="s">
        <v>756</v>
      </c>
      <c r="B98" s="4" t="s">
        <v>757</v>
      </c>
      <c r="C98" s="4" t="s">
        <v>758</v>
      </c>
      <c r="D98" s="4" t="s">
        <v>251</v>
      </c>
      <c r="E98" s="4" t="s">
        <v>252</v>
      </c>
      <c r="F98" s="4" t="s">
        <v>759</v>
      </c>
      <c r="G98" s="4" t="s">
        <v>760</v>
      </c>
      <c r="H98" s="4" t="s">
        <v>761</v>
      </c>
      <c r="I98" s="4" t="s">
        <v>161</v>
      </c>
      <c r="J98" s="4" t="s">
        <v>762</v>
      </c>
      <c r="K98" s="4" t="s">
        <v>187</v>
      </c>
      <c r="L98" s="4" t="s">
        <v>348</v>
      </c>
      <c r="M98" s="24" t="s">
        <v>538</v>
      </c>
      <c r="N98" s="4" t="s">
        <v>189</v>
      </c>
      <c r="O98" s="4" t="s">
        <v>131</v>
      </c>
      <c r="P98" s="4" t="s">
        <v>118</v>
      </c>
      <c r="Q98" s="25" t="n">
        <v>99.99</v>
      </c>
      <c r="R98" s="25" t="n">
        <v>99.99</v>
      </c>
      <c r="S98" s="25" t="n">
        <v>53.97</v>
      </c>
      <c r="T98" s="26" t="n">
        <v>2</v>
      </c>
      <c r="U98" s="26"/>
      <c r="V98" s="26" t="n">
        <v>6</v>
      </c>
      <c r="W98" s="26"/>
      <c r="X98" s="27" t="n">
        <f aca="false">SUM(T98:W98)</f>
        <v>8</v>
      </c>
      <c r="Y98" s="28" t="n">
        <f aca="false">COUNT(T98:W98)</f>
        <v>2</v>
      </c>
      <c r="Z98" s="29" t="n">
        <f aca="false">R98*X98</f>
        <v>799.92</v>
      </c>
      <c r="AA98" s="30" t="n">
        <v>46142</v>
      </c>
    </row>
    <row r="99" customFormat="false" ht="15" hidden="false" customHeight="true" outlineLevel="0" collapsed="false">
      <c r="A99" s="4" t="s">
        <v>763</v>
      </c>
      <c r="B99" s="4" t="s">
        <v>764</v>
      </c>
      <c r="C99" s="4" t="s">
        <v>568</v>
      </c>
      <c r="D99" s="4" t="s">
        <v>122</v>
      </c>
      <c r="E99" s="4" t="s">
        <v>123</v>
      </c>
      <c r="F99" s="4" t="s">
        <v>569</v>
      </c>
      <c r="G99" s="4" t="s">
        <v>570</v>
      </c>
      <c r="H99" s="4" t="s">
        <v>571</v>
      </c>
      <c r="I99" s="4" t="s">
        <v>226</v>
      </c>
      <c r="J99" s="4" t="s">
        <v>265</v>
      </c>
      <c r="K99" s="4" t="s">
        <v>113</v>
      </c>
      <c r="L99" s="4" t="s">
        <v>572</v>
      </c>
      <c r="M99" s="24" t="s">
        <v>211</v>
      </c>
      <c r="N99" s="4" t="s">
        <v>116</v>
      </c>
      <c r="O99" s="4" t="s">
        <v>165</v>
      </c>
      <c r="P99" s="4" t="s">
        <v>118</v>
      </c>
      <c r="Q99" s="25" t="n">
        <v>159.99</v>
      </c>
      <c r="R99" s="25" t="n">
        <v>159.99</v>
      </c>
      <c r="S99" s="25" t="n">
        <v>86.99</v>
      </c>
      <c r="T99" s="26" t="n">
        <v>4</v>
      </c>
      <c r="U99" s="26" t="n">
        <v>3</v>
      </c>
      <c r="V99" s="26" t="n">
        <v>2</v>
      </c>
      <c r="W99" s="26"/>
      <c r="X99" s="27" t="n">
        <f aca="false">SUM(T99:W99)</f>
        <v>9</v>
      </c>
      <c r="Y99" s="28" t="n">
        <f aca="false">COUNT(T99:W99)</f>
        <v>3</v>
      </c>
      <c r="Z99" s="29" t="n">
        <f aca="false">R99*X99</f>
        <v>1439.91</v>
      </c>
      <c r="AA99" s="30" t="n">
        <v>46137</v>
      </c>
    </row>
    <row r="100" customFormat="false" ht="15" hidden="false" customHeight="true" outlineLevel="0" collapsed="false">
      <c r="A100" s="4" t="s">
        <v>765</v>
      </c>
      <c r="B100" s="4" t="s">
        <v>766</v>
      </c>
      <c r="C100" s="4" t="s">
        <v>767</v>
      </c>
      <c r="D100" s="4" t="s">
        <v>374</v>
      </c>
      <c r="E100" s="4" t="s">
        <v>375</v>
      </c>
      <c r="F100" s="4" t="s">
        <v>768</v>
      </c>
      <c r="G100" s="4" t="s">
        <v>769</v>
      </c>
      <c r="H100" s="4" t="s">
        <v>770</v>
      </c>
      <c r="I100" s="4" t="s">
        <v>771</v>
      </c>
      <c r="J100" s="4" t="s">
        <v>772</v>
      </c>
      <c r="K100" s="4" t="s">
        <v>113</v>
      </c>
      <c r="L100" s="4" t="s">
        <v>773</v>
      </c>
      <c r="M100" s="24" t="s">
        <v>356</v>
      </c>
      <c r="N100" s="4" t="s">
        <v>116</v>
      </c>
      <c r="O100" s="4" t="s">
        <v>131</v>
      </c>
      <c r="P100" s="4" t="s">
        <v>118</v>
      </c>
      <c r="Q100" s="25" t="n">
        <v>149.99</v>
      </c>
      <c r="R100" s="25" t="n">
        <v>149.99</v>
      </c>
      <c r="S100" s="25" t="n">
        <v>72.27</v>
      </c>
      <c r="T100" s="26"/>
      <c r="U100" s="26"/>
      <c r="V100" s="26" t="n">
        <v>5</v>
      </c>
      <c r="W100" s="26"/>
      <c r="X100" s="27" t="n">
        <f aca="false">SUM(T100:W100)</f>
        <v>5</v>
      </c>
      <c r="Y100" s="28" t="n">
        <f aca="false">COUNT(T100:W100)</f>
        <v>1</v>
      </c>
      <c r="Z100" s="29" t="n">
        <f aca="false">R100*X100</f>
        <v>749.95</v>
      </c>
      <c r="AA100" s="30" t="n">
        <v>46176</v>
      </c>
    </row>
    <row r="101" customFormat="false" ht="15" hidden="false" customHeight="true" outlineLevel="0" collapsed="false">
      <c r="A101" s="4" t="s">
        <v>774</v>
      </c>
      <c r="B101" s="4" t="s">
        <v>775</v>
      </c>
      <c r="C101" s="4" t="s">
        <v>662</v>
      </c>
      <c r="D101" s="4" t="s">
        <v>106</v>
      </c>
      <c r="E101" s="4" t="s">
        <v>157</v>
      </c>
      <c r="F101" s="4" t="s">
        <v>663</v>
      </c>
      <c r="G101" s="4" t="s">
        <v>664</v>
      </c>
      <c r="H101" s="4" t="s">
        <v>665</v>
      </c>
      <c r="I101" s="4" t="s">
        <v>161</v>
      </c>
      <c r="J101" s="4" t="s">
        <v>162</v>
      </c>
      <c r="K101" s="4" t="s">
        <v>187</v>
      </c>
      <c r="L101" s="4" t="s">
        <v>666</v>
      </c>
      <c r="M101" s="24" t="s">
        <v>291</v>
      </c>
      <c r="N101" s="4" t="s">
        <v>189</v>
      </c>
      <c r="O101" s="4" t="s">
        <v>380</v>
      </c>
      <c r="P101" s="4" t="s">
        <v>118</v>
      </c>
      <c r="Q101" s="25" t="n">
        <v>99.99</v>
      </c>
      <c r="R101" s="25" t="n">
        <v>99.99</v>
      </c>
      <c r="S101" s="25" t="n">
        <v>54.14</v>
      </c>
      <c r="T101" s="26" t="n">
        <v>1</v>
      </c>
      <c r="U101" s="26" t="n">
        <v>2</v>
      </c>
      <c r="V101" s="26" t="n">
        <v>3</v>
      </c>
      <c r="W101" s="26" t="n">
        <v>2</v>
      </c>
      <c r="X101" s="27" t="n">
        <f aca="false">SUM(T101:W101)</f>
        <v>8</v>
      </c>
      <c r="Y101" s="28" t="n">
        <f aca="false">COUNT(T101:W101)</f>
        <v>4</v>
      </c>
      <c r="Z101" s="29" t="n">
        <f aca="false">R101*X101</f>
        <v>799.92</v>
      </c>
      <c r="AA101" s="30" t="n">
        <v>46070</v>
      </c>
    </row>
    <row r="102" customFormat="false" ht="15" hidden="false" customHeight="true" outlineLevel="0" collapsed="false">
      <c r="A102" s="4" t="s">
        <v>776</v>
      </c>
      <c r="B102" s="4" t="s">
        <v>777</v>
      </c>
      <c r="C102" s="4" t="s">
        <v>205</v>
      </c>
      <c r="D102" s="4" t="s">
        <v>181</v>
      </c>
      <c r="E102" s="4" t="s">
        <v>182</v>
      </c>
      <c r="F102" s="4" t="s">
        <v>206</v>
      </c>
      <c r="G102" s="4" t="s">
        <v>207</v>
      </c>
      <c r="H102" s="4" t="s">
        <v>208</v>
      </c>
      <c r="I102" s="4" t="s">
        <v>161</v>
      </c>
      <c r="J102" s="4" t="s">
        <v>186</v>
      </c>
      <c r="K102" s="4" t="s">
        <v>209</v>
      </c>
      <c r="L102" s="4" t="s">
        <v>210</v>
      </c>
      <c r="M102" s="24" t="s">
        <v>356</v>
      </c>
      <c r="N102" s="4" t="s">
        <v>153</v>
      </c>
      <c r="O102" s="4" t="s">
        <v>131</v>
      </c>
      <c r="P102" s="4" t="s">
        <v>118</v>
      </c>
      <c r="Q102" s="25" t="n">
        <v>69.99</v>
      </c>
      <c r="R102" s="25" t="n">
        <v>69.99</v>
      </c>
      <c r="S102" s="25" t="n">
        <v>37.84</v>
      </c>
      <c r="T102" s="26" t="n">
        <v>3</v>
      </c>
      <c r="U102" s="26" t="n">
        <v>3</v>
      </c>
      <c r="V102" s="26" t="n">
        <v>3</v>
      </c>
      <c r="W102" s="26" t="n">
        <v>0</v>
      </c>
      <c r="X102" s="27" t="n">
        <f aca="false">SUM(T102:W102)</f>
        <v>9</v>
      </c>
      <c r="Y102" s="28" t="n">
        <f aca="false">COUNT(T102:W102)</f>
        <v>4</v>
      </c>
      <c r="Z102" s="29" t="n">
        <f aca="false">R102*X102</f>
        <v>629.91</v>
      </c>
      <c r="AA102" s="30" t="n">
        <v>46177</v>
      </c>
    </row>
    <row r="103" customFormat="false" ht="15" hidden="false" customHeight="true" outlineLevel="0" collapsed="false">
      <c r="A103" s="4" t="s">
        <v>778</v>
      </c>
      <c r="B103" s="4" t="s">
        <v>779</v>
      </c>
      <c r="C103" s="4" t="s">
        <v>780</v>
      </c>
      <c r="D103" s="4" t="s">
        <v>342</v>
      </c>
      <c r="E103" s="4" t="s">
        <v>343</v>
      </c>
      <c r="F103" s="4" t="s">
        <v>344</v>
      </c>
      <c r="G103" s="4" t="s">
        <v>781</v>
      </c>
      <c r="H103" s="4" t="s">
        <v>782</v>
      </c>
      <c r="I103" s="4" t="s">
        <v>127</v>
      </c>
      <c r="J103" s="4" t="s">
        <v>347</v>
      </c>
      <c r="K103" s="4" t="s">
        <v>187</v>
      </c>
      <c r="L103" s="4" t="s">
        <v>783</v>
      </c>
      <c r="M103" s="24" t="s">
        <v>188</v>
      </c>
      <c r="N103" s="4" t="s">
        <v>189</v>
      </c>
      <c r="O103" s="4" t="s">
        <v>165</v>
      </c>
      <c r="P103" s="4" t="s">
        <v>118</v>
      </c>
      <c r="Q103" s="25" t="n">
        <v>154.99</v>
      </c>
      <c r="R103" s="25" t="n">
        <v>154.99</v>
      </c>
      <c r="S103" s="25" t="n">
        <v>74.81</v>
      </c>
      <c r="T103" s="26" t="n">
        <v>6</v>
      </c>
      <c r="U103" s="26" t="n">
        <v>1</v>
      </c>
      <c r="V103" s="26" t="n">
        <v>5</v>
      </c>
      <c r="W103" s="26" t="n">
        <v>2</v>
      </c>
      <c r="X103" s="27" t="n">
        <f aca="false">SUM(T103:W103)</f>
        <v>14</v>
      </c>
      <c r="Y103" s="28" t="n">
        <f aca="false">COUNT(T103:W103)</f>
        <v>4</v>
      </c>
      <c r="Z103" s="29" t="n">
        <f aca="false">R103*X103</f>
        <v>2169.86</v>
      </c>
      <c r="AA103" s="30" t="n">
        <v>46051</v>
      </c>
    </row>
    <row r="104" customFormat="false" ht="15" hidden="false" customHeight="true" outlineLevel="0" collapsed="false">
      <c r="A104" s="4" t="s">
        <v>784</v>
      </c>
      <c r="B104" s="4" t="s">
        <v>785</v>
      </c>
      <c r="C104" s="4" t="s">
        <v>786</v>
      </c>
      <c r="D104" s="4" t="s">
        <v>145</v>
      </c>
      <c r="E104" s="4" t="s">
        <v>146</v>
      </c>
      <c r="F104" s="4" t="s">
        <v>787</v>
      </c>
      <c r="G104" s="4" t="s">
        <v>788</v>
      </c>
      <c r="H104" s="4" t="s">
        <v>789</v>
      </c>
      <c r="I104" s="4" t="s">
        <v>226</v>
      </c>
      <c r="J104" s="4" t="s">
        <v>790</v>
      </c>
      <c r="K104" s="4" t="s">
        <v>150</v>
      </c>
      <c r="L104" s="4" t="s">
        <v>348</v>
      </c>
      <c r="M104" s="24" t="s">
        <v>363</v>
      </c>
      <c r="N104" s="4" t="s">
        <v>153</v>
      </c>
      <c r="O104" s="4" t="s">
        <v>238</v>
      </c>
      <c r="P104" s="4" t="s">
        <v>118</v>
      </c>
      <c r="Q104" s="25" t="n">
        <v>74.99</v>
      </c>
      <c r="R104" s="25" t="n">
        <v>74.99</v>
      </c>
      <c r="S104" s="25" t="n">
        <v>40.94</v>
      </c>
      <c r="T104" s="26" t="n">
        <v>2</v>
      </c>
      <c r="U104" s="26" t="n">
        <v>2</v>
      </c>
      <c r="V104" s="26" t="n">
        <v>5</v>
      </c>
      <c r="W104" s="26"/>
      <c r="X104" s="27" t="n">
        <f aca="false">SUM(T104:W104)</f>
        <v>9</v>
      </c>
      <c r="Y104" s="28" t="n">
        <f aca="false">COUNT(T104:W104)</f>
        <v>3</v>
      </c>
      <c r="Z104" s="29" t="n">
        <f aca="false">R104*X104</f>
        <v>674.91</v>
      </c>
      <c r="AA104" s="30" t="n">
        <v>46053</v>
      </c>
    </row>
    <row r="105" customFormat="false" ht="15" hidden="false" customHeight="true" outlineLevel="0" collapsed="false">
      <c r="A105" s="4" t="s">
        <v>791</v>
      </c>
      <c r="B105" s="4" t="s">
        <v>792</v>
      </c>
      <c r="C105" s="4" t="s">
        <v>474</v>
      </c>
      <c r="D105" s="4" t="s">
        <v>475</v>
      </c>
      <c r="E105" s="4" t="s">
        <v>476</v>
      </c>
      <c r="F105" s="4" t="s">
        <v>477</v>
      </c>
      <c r="G105" s="4" t="s">
        <v>478</v>
      </c>
      <c r="H105" s="4" t="s">
        <v>479</v>
      </c>
      <c r="I105" s="4" t="s">
        <v>161</v>
      </c>
      <c r="J105" s="4" t="s">
        <v>186</v>
      </c>
      <c r="K105" s="4" t="s">
        <v>187</v>
      </c>
      <c r="L105" s="4" t="s">
        <v>480</v>
      </c>
      <c r="M105" s="24" t="s">
        <v>291</v>
      </c>
      <c r="N105" s="4" t="s">
        <v>189</v>
      </c>
      <c r="O105" s="4" t="s">
        <v>380</v>
      </c>
      <c r="P105" s="4" t="s">
        <v>239</v>
      </c>
      <c r="Q105" s="25" t="n">
        <v>114.99</v>
      </c>
      <c r="R105" s="25" t="n">
        <v>85.99</v>
      </c>
      <c r="S105" s="25" t="n">
        <v>61.43</v>
      </c>
      <c r="T105" s="26" t="n">
        <v>3</v>
      </c>
      <c r="U105" s="26" t="n">
        <v>0</v>
      </c>
      <c r="V105" s="26" t="n">
        <v>2</v>
      </c>
      <c r="W105" s="26"/>
      <c r="X105" s="27" t="n">
        <f aca="false">SUM(T105:W105)</f>
        <v>5</v>
      </c>
      <c r="Y105" s="28" t="n">
        <f aca="false">COUNT(T105:W105)</f>
        <v>3</v>
      </c>
      <c r="Z105" s="29" t="n">
        <f aca="false">R105*X105</f>
        <v>429.95</v>
      </c>
      <c r="AA105" s="30" t="n">
        <v>46203</v>
      </c>
    </row>
    <row r="106" customFormat="false" ht="15" hidden="false" customHeight="true" outlineLevel="0" collapsed="false">
      <c r="A106" s="4" t="s">
        <v>793</v>
      </c>
      <c r="B106" s="4" t="s">
        <v>794</v>
      </c>
      <c r="C106" s="4" t="s">
        <v>795</v>
      </c>
      <c r="D106" s="4" t="s">
        <v>145</v>
      </c>
      <c r="E106" s="4" t="s">
        <v>146</v>
      </c>
      <c r="F106" s="4" t="s">
        <v>563</v>
      </c>
      <c r="G106" s="4" t="s">
        <v>796</v>
      </c>
      <c r="H106" s="4" t="s">
        <v>797</v>
      </c>
      <c r="I106" s="4" t="s">
        <v>127</v>
      </c>
      <c r="J106" s="4" t="s">
        <v>128</v>
      </c>
      <c r="K106" s="4" t="s">
        <v>187</v>
      </c>
      <c r="L106" s="4" t="s">
        <v>798</v>
      </c>
      <c r="M106" s="24" t="s">
        <v>164</v>
      </c>
      <c r="N106" s="4" t="s">
        <v>189</v>
      </c>
      <c r="O106" s="4" t="s">
        <v>131</v>
      </c>
      <c r="P106" s="4" t="s">
        <v>118</v>
      </c>
      <c r="Q106" s="25" t="n">
        <v>84.99</v>
      </c>
      <c r="R106" s="25" t="n">
        <v>84.99</v>
      </c>
      <c r="S106" s="25" t="n">
        <v>45.28</v>
      </c>
      <c r="T106" s="26"/>
      <c r="U106" s="26" t="n">
        <v>3</v>
      </c>
      <c r="V106" s="26" t="n">
        <v>3</v>
      </c>
      <c r="W106" s="26"/>
      <c r="X106" s="27" t="n">
        <f aca="false">SUM(T106:W106)</f>
        <v>6</v>
      </c>
      <c r="Y106" s="28" t="n">
        <f aca="false">COUNT(T106:W106)</f>
        <v>2</v>
      </c>
      <c r="Z106" s="29" t="n">
        <f aca="false">R106*X106</f>
        <v>509.94</v>
      </c>
      <c r="AA106" s="30" t="n">
        <v>46102</v>
      </c>
    </row>
    <row r="107" customFormat="false" ht="15" hidden="false" customHeight="true" outlineLevel="0" collapsed="false">
      <c r="A107" s="4" t="s">
        <v>799</v>
      </c>
      <c r="B107" s="4" t="s">
        <v>800</v>
      </c>
      <c r="C107" s="4" t="s">
        <v>671</v>
      </c>
      <c r="D107" s="4" t="s">
        <v>122</v>
      </c>
      <c r="E107" s="4" t="s">
        <v>123</v>
      </c>
      <c r="F107" s="4" t="s">
        <v>124</v>
      </c>
      <c r="G107" s="4" t="s">
        <v>672</v>
      </c>
      <c r="H107" s="4" t="s">
        <v>673</v>
      </c>
      <c r="I107" s="4" t="s">
        <v>127</v>
      </c>
      <c r="J107" s="4" t="s">
        <v>128</v>
      </c>
      <c r="K107" s="4" t="s">
        <v>150</v>
      </c>
      <c r="L107" s="4" t="s">
        <v>674</v>
      </c>
      <c r="M107" s="24" t="s">
        <v>450</v>
      </c>
      <c r="N107" s="4" t="s">
        <v>153</v>
      </c>
      <c r="O107" s="4" t="s">
        <v>165</v>
      </c>
      <c r="P107" s="4" t="s">
        <v>118</v>
      </c>
      <c r="Q107" s="25" t="n">
        <v>59.99</v>
      </c>
      <c r="R107" s="25" t="n">
        <v>59.99</v>
      </c>
      <c r="S107" s="25" t="n">
        <v>29.23</v>
      </c>
      <c r="T107" s="26" t="n">
        <v>5</v>
      </c>
      <c r="U107" s="26" t="n">
        <v>2</v>
      </c>
      <c r="V107" s="26" t="n">
        <v>0</v>
      </c>
      <c r="W107" s="26" t="n">
        <v>2</v>
      </c>
      <c r="X107" s="27" t="n">
        <f aca="false">SUM(T107:W107)</f>
        <v>9</v>
      </c>
      <c r="Y107" s="28" t="n">
        <f aca="false">COUNT(T107:W107)</f>
        <v>4</v>
      </c>
      <c r="Z107" s="29" t="n">
        <f aca="false">R107*X107</f>
        <v>539.91</v>
      </c>
      <c r="AA107" s="30" t="n">
        <v>46094</v>
      </c>
    </row>
    <row r="108" customFormat="false" ht="15" hidden="false" customHeight="true" outlineLevel="0" collapsed="false">
      <c r="A108" s="4" t="s">
        <v>801</v>
      </c>
      <c r="B108" s="4" t="s">
        <v>802</v>
      </c>
      <c r="C108" s="4" t="s">
        <v>803</v>
      </c>
      <c r="D108" s="4" t="s">
        <v>193</v>
      </c>
      <c r="E108" s="4" t="s">
        <v>194</v>
      </c>
      <c r="F108" s="4" t="s">
        <v>804</v>
      </c>
      <c r="G108" s="4" t="s">
        <v>805</v>
      </c>
      <c r="H108" s="4" t="s">
        <v>806</v>
      </c>
      <c r="I108" s="4" t="s">
        <v>111</v>
      </c>
      <c r="J108" s="4" t="s">
        <v>198</v>
      </c>
      <c r="K108" s="4" t="s">
        <v>209</v>
      </c>
      <c r="L108" s="4" t="s">
        <v>807</v>
      </c>
      <c r="M108" s="24" t="s">
        <v>538</v>
      </c>
      <c r="N108" s="4" t="s">
        <v>153</v>
      </c>
      <c r="O108" s="4" t="s">
        <v>117</v>
      </c>
      <c r="P108" s="4" t="s">
        <v>202</v>
      </c>
      <c r="Q108" s="25" t="n">
        <v>64.99</v>
      </c>
      <c r="R108" s="25" t="n">
        <v>64.99</v>
      </c>
      <c r="S108" s="25" t="n">
        <v>34</v>
      </c>
      <c r="T108" s="26" t="n">
        <v>6</v>
      </c>
      <c r="U108" s="26" t="n">
        <v>2</v>
      </c>
      <c r="V108" s="26" t="n">
        <v>5</v>
      </c>
      <c r="W108" s="26"/>
      <c r="X108" s="27" t="n">
        <f aca="false">SUM(T108:W108)</f>
        <v>13</v>
      </c>
      <c r="Y108" s="28" t="n">
        <f aca="false">COUNT(T108:W108)</f>
        <v>3</v>
      </c>
      <c r="Z108" s="29" t="n">
        <f aca="false">R108*X108</f>
        <v>844.87</v>
      </c>
      <c r="AA108" s="30" t="n">
        <v>46218</v>
      </c>
    </row>
    <row r="109" customFormat="false" ht="15" hidden="false" customHeight="true" outlineLevel="0" collapsed="false">
      <c r="A109" s="4" t="s">
        <v>808</v>
      </c>
      <c r="B109" s="4" t="s">
        <v>809</v>
      </c>
      <c r="C109" s="4" t="s">
        <v>453</v>
      </c>
      <c r="D109" s="4" t="s">
        <v>251</v>
      </c>
      <c r="E109" s="4" t="s">
        <v>252</v>
      </c>
      <c r="F109" s="4" t="s">
        <v>454</v>
      </c>
      <c r="G109" s="4" t="s">
        <v>455</v>
      </c>
      <c r="H109" s="4" t="s">
        <v>456</v>
      </c>
      <c r="I109" s="4" t="s">
        <v>161</v>
      </c>
      <c r="J109" s="4" t="s">
        <v>235</v>
      </c>
      <c r="K109" s="4" t="s">
        <v>199</v>
      </c>
      <c r="L109" s="4" t="s">
        <v>457</v>
      </c>
      <c r="M109" s="24" t="s">
        <v>810</v>
      </c>
      <c r="N109" s="4" t="s">
        <v>153</v>
      </c>
      <c r="O109" s="4" t="s">
        <v>380</v>
      </c>
      <c r="P109" s="4" t="s">
        <v>239</v>
      </c>
      <c r="Q109" s="25" t="n">
        <v>44.99</v>
      </c>
      <c r="R109" s="25" t="n">
        <v>33.99</v>
      </c>
      <c r="S109" s="25" t="n">
        <v>24.11</v>
      </c>
      <c r="T109" s="26"/>
      <c r="U109" s="26"/>
      <c r="V109" s="26" t="n">
        <v>2</v>
      </c>
      <c r="W109" s="26"/>
      <c r="X109" s="27" t="n">
        <f aca="false">SUM(T109:W109)</f>
        <v>2</v>
      </c>
      <c r="Y109" s="28" t="n">
        <f aca="false">COUNT(T109:W109)</f>
        <v>1</v>
      </c>
      <c r="Z109" s="29" t="n">
        <f aca="false">R109*X109</f>
        <v>67.98</v>
      </c>
      <c r="AA109" s="30" t="n">
        <v>46076</v>
      </c>
    </row>
    <row r="110" customFormat="false" ht="15" hidden="false" customHeight="true" outlineLevel="0" collapsed="false">
      <c r="A110" s="4" t="s">
        <v>811</v>
      </c>
      <c r="B110" s="4" t="s">
        <v>812</v>
      </c>
      <c r="C110" s="4" t="s">
        <v>813</v>
      </c>
      <c r="D110" s="4" t="s">
        <v>331</v>
      </c>
      <c r="E110" s="4" t="s">
        <v>332</v>
      </c>
      <c r="F110" s="4" t="s">
        <v>814</v>
      </c>
      <c r="G110" s="4" t="s">
        <v>815</v>
      </c>
      <c r="H110" s="4" t="s">
        <v>816</v>
      </c>
      <c r="I110" s="4" t="s">
        <v>127</v>
      </c>
      <c r="J110" s="4" t="s">
        <v>817</v>
      </c>
      <c r="K110" s="4" t="s">
        <v>113</v>
      </c>
      <c r="L110" s="4" t="s">
        <v>818</v>
      </c>
      <c r="M110" s="24" t="s">
        <v>164</v>
      </c>
      <c r="N110" s="4" t="s">
        <v>116</v>
      </c>
      <c r="O110" s="4" t="s">
        <v>165</v>
      </c>
      <c r="P110" s="4" t="s">
        <v>239</v>
      </c>
      <c r="Q110" s="25" t="n">
        <v>179.99</v>
      </c>
      <c r="R110" s="25" t="n">
        <v>107.99</v>
      </c>
      <c r="S110" s="25" t="n">
        <v>100.67</v>
      </c>
      <c r="T110" s="26"/>
      <c r="U110" s="26" t="n">
        <v>0</v>
      </c>
      <c r="V110" s="26" t="n">
        <v>3</v>
      </c>
      <c r="W110" s="26"/>
      <c r="X110" s="27" t="n">
        <f aca="false">SUM(T110:W110)</f>
        <v>3</v>
      </c>
      <c r="Y110" s="28" t="n">
        <f aca="false">COUNT(T110:W110)</f>
        <v>2</v>
      </c>
      <c r="Z110" s="29" t="n">
        <f aca="false">R110*X110</f>
        <v>323.97</v>
      </c>
      <c r="AA110" s="30" t="n">
        <v>46148</v>
      </c>
    </row>
    <row r="111" customFormat="false" ht="15" hidden="false" customHeight="true" outlineLevel="0" collapsed="false">
      <c r="A111" s="4" t="s">
        <v>819</v>
      </c>
      <c r="B111" s="4" t="s">
        <v>820</v>
      </c>
      <c r="C111" s="4" t="s">
        <v>821</v>
      </c>
      <c r="D111" s="4" t="s">
        <v>331</v>
      </c>
      <c r="E111" s="4" t="s">
        <v>332</v>
      </c>
      <c r="F111" s="4" t="s">
        <v>822</v>
      </c>
      <c r="G111" s="4" t="s">
        <v>823</v>
      </c>
      <c r="H111" s="4" t="s">
        <v>824</v>
      </c>
      <c r="I111" s="4" t="s">
        <v>161</v>
      </c>
      <c r="J111" s="4" t="s">
        <v>336</v>
      </c>
      <c r="K111" s="4" t="s">
        <v>209</v>
      </c>
      <c r="L111" s="4" t="s">
        <v>825</v>
      </c>
      <c r="M111" s="24" t="s">
        <v>538</v>
      </c>
      <c r="N111" s="4" t="s">
        <v>153</v>
      </c>
      <c r="O111" s="4" t="s">
        <v>131</v>
      </c>
      <c r="P111" s="4" t="s">
        <v>239</v>
      </c>
      <c r="Q111" s="25" t="n">
        <v>149.99</v>
      </c>
      <c r="R111" s="25" t="n">
        <v>104.99</v>
      </c>
      <c r="S111" s="25" t="n">
        <v>83.5</v>
      </c>
      <c r="T111" s="26" t="n">
        <v>3</v>
      </c>
      <c r="U111" s="26"/>
      <c r="V111" s="26" t="n">
        <v>0</v>
      </c>
      <c r="W111" s="26" t="n">
        <v>2</v>
      </c>
      <c r="X111" s="27" t="n">
        <f aca="false">SUM(T111:W111)</f>
        <v>5</v>
      </c>
      <c r="Y111" s="28" t="n">
        <f aca="false">COUNT(T111:W111)</f>
        <v>3</v>
      </c>
      <c r="Z111" s="29" t="n">
        <f aca="false">R111*X111</f>
        <v>524.95</v>
      </c>
      <c r="AA111" s="30" t="n">
        <v>46138</v>
      </c>
    </row>
    <row r="112" customFormat="false" ht="15" hidden="false" customHeight="true" outlineLevel="0" collapsed="false">
      <c r="A112" s="4" t="s">
        <v>826</v>
      </c>
      <c r="B112" s="4" t="s">
        <v>827</v>
      </c>
      <c r="C112" s="4" t="s">
        <v>828</v>
      </c>
      <c r="D112" s="4" t="s">
        <v>106</v>
      </c>
      <c r="E112" s="4" t="s">
        <v>107</v>
      </c>
      <c r="F112" s="4" t="s">
        <v>397</v>
      </c>
      <c r="G112" s="4" t="s">
        <v>829</v>
      </c>
      <c r="H112" s="4" t="s">
        <v>830</v>
      </c>
      <c r="I112" s="4" t="s">
        <v>161</v>
      </c>
      <c r="J112" s="4" t="s">
        <v>235</v>
      </c>
      <c r="K112" s="4" t="s">
        <v>187</v>
      </c>
      <c r="L112" s="4" t="s">
        <v>831</v>
      </c>
      <c r="M112" s="24" t="s">
        <v>538</v>
      </c>
      <c r="N112" s="4" t="s">
        <v>189</v>
      </c>
      <c r="O112" s="4" t="s">
        <v>165</v>
      </c>
      <c r="P112" s="4" t="s">
        <v>118</v>
      </c>
      <c r="Q112" s="25" t="n">
        <v>69.99</v>
      </c>
      <c r="R112" s="25" t="n">
        <v>69.99</v>
      </c>
      <c r="S112" s="25" t="n">
        <v>38.52</v>
      </c>
      <c r="T112" s="26" t="n">
        <v>2</v>
      </c>
      <c r="U112" s="26"/>
      <c r="V112" s="26" t="n">
        <v>4</v>
      </c>
      <c r="W112" s="26"/>
      <c r="X112" s="27" t="n">
        <f aca="false">SUM(T112:W112)</f>
        <v>6</v>
      </c>
      <c r="Y112" s="28" t="n">
        <f aca="false">COUNT(T112:W112)</f>
        <v>2</v>
      </c>
      <c r="Z112" s="29" t="n">
        <f aca="false">R112*X112</f>
        <v>419.94</v>
      </c>
      <c r="AA112" s="30" t="n">
        <v>46225</v>
      </c>
    </row>
    <row r="113" customFormat="false" ht="15" hidden="false" customHeight="true" outlineLevel="0" collapsed="false">
      <c r="A113" s="4" t="s">
        <v>832</v>
      </c>
      <c r="B113" s="4" t="s">
        <v>833</v>
      </c>
      <c r="C113" s="4" t="s">
        <v>351</v>
      </c>
      <c r="D113" s="4" t="s">
        <v>342</v>
      </c>
      <c r="E113" s="4" t="s">
        <v>343</v>
      </c>
      <c r="F113" s="4" t="s">
        <v>352</v>
      </c>
      <c r="G113" s="4" t="s">
        <v>353</v>
      </c>
      <c r="H113" s="4" t="s">
        <v>354</v>
      </c>
      <c r="I113" s="4" t="s">
        <v>127</v>
      </c>
      <c r="J113" s="4" t="s">
        <v>306</v>
      </c>
      <c r="K113" s="4" t="s">
        <v>187</v>
      </c>
      <c r="L113" s="4" t="s">
        <v>355</v>
      </c>
      <c r="M113" s="24" t="s">
        <v>338</v>
      </c>
      <c r="N113" s="4" t="s">
        <v>189</v>
      </c>
      <c r="O113" s="4" t="s">
        <v>165</v>
      </c>
      <c r="P113" s="4" t="s">
        <v>118</v>
      </c>
      <c r="Q113" s="25" t="n">
        <v>154.99</v>
      </c>
      <c r="R113" s="25" t="n">
        <v>154.99</v>
      </c>
      <c r="S113" s="25" t="n">
        <v>85.1</v>
      </c>
      <c r="T113" s="26" t="n">
        <v>3</v>
      </c>
      <c r="U113" s="26" t="n">
        <v>1</v>
      </c>
      <c r="V113" s="26" t="n">
        <v>3</v>
      </c>
      <c r="W113" s="26"/>
      <c r="X113" s="27" t="n">
        <f aca="false">SUM(T113:W113)</f>
        <v>7</v>
      </c>
      <c r="Y113" s="28" t="n">
        <f aca="false">COUNT(T113:W113)</f>
        <v>3</v>
      </c>
      <c r="Z113" s="29" t="n">
        <f aca="false">R113*X113</f>
        <v>1084.93</v>
      </c>
      <c r="AA113" s="30" t="n">
        <v>46049</v>
      </c>
    </row>
    <row r="114" customFormat="false" ht="15" hidden="false" customHeight="true" outlineLevel="0" collapsed="false">
      <c r="A114" s="4" t="s">
        <v>834</v>
      </c>
      <c r="B114" s="4" t="s">
        <v>835</v>
      </c>
      <c r="C114" s="4" t="s">
        <v>231</v>
      </c>
      <c r="D114" s="4" t="s">
        <v>122</v>
      </c>
      <c r="E114" s="4" t="s">
        <v>123</v>
      </c>
      <c r="F114" s="4" t="s">
        <v>232</v>
      </c>
      <c r="G114" s="4" t="s">
        <v>233</v>
      </c>
      <c r="H114" s="4" t="s">
        <v>234</v>
      </c>
      <c r="I114" s="4" t="s">
        <v>161</v>
      </c>
      <c r="J114" s="4" t="s">
        <v>235</v>
      </c>
      <c r="K114" s="4" t="s">
        <v>150</v>
      </c>
      <c r="L114" s="4" t="s">
        <v>236</v>
      </c>
      <c r="M114" s="24" t="s">
        <v>152</v>
      </c>
      <c r="N114" s="4" t="s">
        <v>153</v>
      </c>
      <c r="O114" s="4" t="s">
        <v>238</v>
      </c>
      <c r="P114" s="4" t="s">
        <v>239</v>
      </c>
      <c r="Q114" s="25" t="n">
        <v>94.99</v>
      </c>
      <c r="R114" s="25" t="n">
        <v>65.99</v>
      </c>
      <c r="S114" s="25" t="n">
        <v>47.59</v>
      </c>
      <c r="T114" s="26" t="n">
        <v>6</v>
      </c>
      <c r="U114" s="26"/>
      <c r="V114" s="26" t="n">
        <v>1</v>
      </c>
      <c r="W114" s="26" t="n">
        <v>2</v>
      </c>
      <c r="X114" s="27" t="n">
        <f aca="false">SUM(T114:W114)</f>
        <v>9</v>
      </c>
      <c r="Y114" s="28" t="n">
        <f aca="false">COUNT(T114:W114)</f>
        <v>3</v>
      </c>
      <c r="Z114" s="29" t="n">
        <f aca="false">R114*X114</f>
        <v>593.91</v>
      </c>
      <c r="AA114" s="30" t="n">
        <v>46204</v>
      </c>
    </row>
    <row r="115" customFormat="false" ht="15" hidden="false" customHeight="true" outlineLevel="0" collapsed="false">
      <c r="A115" s="4" t="s">
        <v>836</v>
      </c>
      <c r="B115" s="4" t="s">
        <v>837</v>
      </c>
      <c r="C115" s="4" t="s">
        <v>677</v>
      </c>
      <c r="D115" s="4" t="s">
        <v>122</v>
      </c>
      <c r="E115" s="4" t="s">
        <v>285</v>
      </c>
      <c r="F115" s="4" t="s">
        <v>678</v>
      </c>
      <c r="G115" s="4" t="s">
        <v>679</v>
      </c>
      <c r="H115" s="4" t="s">
        <v>680</v>
      </c>
      <c r="I115" s="4" t="s">
        <v>161</v>
      </c>
      <c r="J115" s="4" t="s">
        <v>289</v>
      </c>
      <c r="K115" s="4" t="s">
        <v>113</v>
      </c>
      <c r="L115" s="4" t="s">
        <v>681</v>
      </c>
      <c r="M115" s="24" t="s">
        <v>188</v>
      </c>
      <c r="N115" s="4" t="s">
        <v>116</v>
      </c>
      <c r="O115" s="4" t="s">
        <v>131</v>
      </c>
      <c r="P115" s="4" t="s">
        <v>118</v>
      </c>
      <c r="Q115" s="25" t="n">
        <v>224.99</v>
      </c>
      <c r="R115" s="25" t="n">
        <v>224.99</v>
      </c>
      <c r="S115" s="25" t="n">
        <v>120.83</v>
      </c>
      <c r="T115" s="26" t="n">
        <v>4</v>
      </c>
      <c r="U115" s="26" t="n">
        <v>0</v>
      </c>
      <c r="V115" s="26" t="n">
        <v>3</v>
      </c>
      <c r="W115" s="26"/>
      <c r="X115" s="27" t="n">
        <f aca="false">SUM(T115:W115)</f>
        <v>7</v>
      </c>
      <c r="Y115" s="28" t="n">
        <f aca="false">COUNT(T115:W115)</f>
        <v>3</v>
      </c>
      <c r="Z115" s="29" t="n">
        <f aca="false">R115*X115</f>
        <v>1574.93</v>
      </c>
      <c r="AA115" s="30" t="n">
        <v>46046</v>
      </c>
    </row>
    <row r="116" customFormat="false" ht="15" hidden="false" customHeight="true" outlineLevel="0" collapsed="false">
      <c r="A116" s="4" t="s">
        <v>838</v>
      </c>
      <c r="B116" s="4" t="s">
        <v>839</v>
      </c>
      <c r="C116" s="4" t="s">
        <v>330</v>
      </c>
      <c r="D116" s="4" t="s">
        <v>331</v>
      </c>
      <c r="E116" s="4" t="s">
        <v>332</v>
      </c>
      <c r="F116" s="4" t="s">
        <v>333</v>
      </c>
      <c r="G116" s="4" t="s">
        <v>334</v>
      </c>
      <c r="H116" s="4" t="s">
        <v>335</v>
      </c>
      <c r="I116" s="4" t="s">
        <v>161</v>
      </c>
      <c r="J116" s="4" t="s">
        <v>336</v>
      </c>
      <c r="K116" s="4" t="s">
        <v>187</v>
      </c>
      <c r="L116" s="4" t="s">
        <v>337</v>
      </c>
      <c r="M116" s="24" t="s">
        <v>188</v>
      </c>
      <c r="N116" s="4" t="s">
        <v>189</v>
      </c>
      <c r="O116" s="4" t="s">
        <v>165</v>
      </c>
      <c r="P116" s="4" t="s">
        <v>118</v>
      </c>
      <c r="Q116" s="25" t="n">
        <v>159.99</v>
      </c>
      <c r="R116" s="25" t="n">
        <v>159.99</v>
      </c>
      <c r="S116" s="25" t="n">
        <v>87.47</v>
      </c>
      <c r="T116" s="26" t="n">
        <v>3</v>
      </c>
      <c r="U116" s="26" t="n">
        <v>3</v>
      </c>
      <c r="V116" s="26" t="n">
        <v>4</v>
      </c>
      <c r="W116" s="26"/>
      <c r="X116" s="27" t="n">
        <f aca="false">SUM(T116:W116)</f>
        <v>10</v>
      </c>
      <c r="Y116" s="28" t="n">
        <f aca="false">COUNT(T116:W116)</f>
        <v>3</v>
      </c>
      <c r="Z116" s="29" t="n">
        <f aca="false">R116*X116</f>
        <v>1599.9</v>
      </c>
      <c r="AA116" s="30" t="n">
        <v>46214</v>
      </c>
    </row>
    <row r="117" customFormat="false" ht="15" hidden="false" customHeight="true" outlineLevel="0" collapsed="false">
      <c r="A117" s="4" t="s">
        <v>840</v>
      </c>
      <c r="B117" s="4" t="s">
        <v>841</v>
      </c>
      <c r="C117" s="4" t="s">
        <v>548</v>
      </c>
      <c r="D117" s="4" t="s">
        <v>427</v>
      </c>
      <c r="E117" s="4" t="s">
        <v>428</v>
      </c>
      <c r="F117" s="4" t="s">
        <v>549</v>
      </c>
      <c r="G117" s="4" t="s">
        <v>550</v>
      </c>
      <c r="H117" s="4" t="s">
        <v>551</v>
      </c>
      <c r="I117" s="4" t="s">
        <v>127</v>
      </c>
      <c r="J117" s="4" t="s">
        <v>298</v>
      </c>
      <c r="K117" s="4" t="s">
        <v>187</v>
      </c>
      <c r="L117" s="4" t="s">
        <v>552</v>
      </c>
      <c r="M117" s="24" t="s">
        <v>177</v>
      </c>
      <c r="N117" s="4" t="s">
        <v>189</v>
      </c>
      <c r="O117" s="4" t="s">
        <v>165</v>
      </c>
      <c r="P117" s="4" t="s">
        <v>118</v>
      </c>
      <c r="Q117" s="25" t="n">
        <v>79.99</v>
      </c>
      <c r="R117" s="25" t="n">
        <v>79.99</v>
      </c>
      <c r="S117" s="25" t="n">
        <v>41.06</v>
      </c>
      <c r="T117" s="26" t="n">
        <v>3</v>
      </c>
      <c r="U117" s="26" t="n">
        <v>0</v>
      </c>
      <c r="V117" s="26" t="n">
        <v>4</v>
      </c>
      <c r="W117" s="26"/>
      <c r="X117" s="27" t="n">
        <f aca="false">SUM(T117:W117)</f>
        <v>7</v>
      </c>
      <c r="Y117" s="28" t="n">
        <f aca="false">COUNT(T117:W117)</f>
        <v>3</v>
      </c>
      <c r="Z117" s="29" t="n">
        <f aca="false">R117*X117</f>
        <v>559.93</v>
      </c>
      <c r="AA117" s="30" t="n">
        <v>46071</v>
      </c>
    </row>
    <row r="118" customFormat="false" ht="15" hidden="false" customHeight="true" outlineLevel="0" collapsed="false">
      <c r="A118" s="4" t="s">
        <v>842</v>
      </c>
      <c r="B118" s="4" t="s">
        <v>843</v>
      </c>
      <c r="C118" s="4" t="s">
        <v>373</v>
      </c>
      <c r="D118" s="4" t="s">
        <v>374</v>
      </c>
      <c r="E118" s="4" t="s">
        <v>375</v>
      </c>
      <c r="F118" s="4" t="s">
        <v>376</v>
      </c>
      <c r="G118" s="4" t="s">
        <v>377</v>
      </c>
      <c r="H118" s="4" t="s">
        <v>378</v>
      </c>
      <c r="I118" s="4" t="s">
        <v>161</v>
      </c>
      <c r="J118" s="4" t="s">
        <v>235</v>
      </c>
      <c r="K118" s="4" t="s">
        <v>113</v>
      </c>
      <c r="L118" s="4" t="s">
        <v>379</v>
      </c>
      <c r="M118" s="24" t="s">
        <v>327</v>
      </c>
      <c r="N118" s="4" t="s">
        <v>116</v>
      </c>
      <c r="O118" s="4" t="s">
        <v>380</v>
      </c>
      <c r="P118" s="4" t="s">
        <v>239</v>
      </c>
      <c r="Q118" s="25" t="n">
        <v>89.99</v>
      </c>
      <c r="R118" s="25" t="n">
        <v>62.99</v>
      </c>
      <c r="S118" s="25" t="n">
        <v>49.53</v>
      </c>
      <c r="T118" s="26" t="n">
        <v>5</v>
      </c>
      <c r="U118" s="26" t="n">
        <v>0</v>
      </c>
      <c r="V118" s="26" t="n">
        <v>0</v>
      </c>
      <c r="W118" s="26" t="n">
        <v>3</v>
      </c>
      <c r="X118" s="27" t="n">
        <f aca="false">SUM(T118:W118)</f>
        <v>8</v>
      </c>
      <c r="Y118" s="28" t="n">
        <f aca="false">COUNT(T118:W118)</f>
        <v>4</v>
      </c>
      <c r="Z118" s="29" t="n">
        <f aca="false">R118*X118</f>
        <v>503.92</v>
      </c>
      <c r="AA118" s="30" t="n">
        <v>46125</v>
      </c>
    </row>
    <row r="119" customFormat="false" ht="15" hidden="false" customHeight="true" outlineLevel="0" collapsed="false">
      <c r="A119" s="4" t="s">
        <v>844</v>
      </c>
      <c r="B119" s="4" t="s">
        <v>845</v>
      </c>
      <c r="C119" s="4" t="s">
        <v>846</v>
      </c>
      <c r="D119" s="4" t="s">
        <v>106</v>
      </c>
      <c r="E119" s="4" t="s">
        <v>107</v>
      </c>
      <c r="F119" s="4" t="s">
        <v>847</v>
      </c>
      <c r="G119" s="4" t="s">
        <v>848</v>
      </c>
      <c r="H119" s="4" t="s">
        <v>849</v>
      </c>
      <c r="I119" s="4" t="s">
        <v>127</v>
      </c>
      <c r="J119" s="4" t="s">
        <v>218</v>
      </c>
      <c r="K119" s="4" t="s">
        <v>113</v>
      </c>
      <c r="L119" s="4" t="s">
        <v>850</v>
      </c>
      <c r="M119" s="24" t="s">
        <v>356</v>
      </c>
      <c r="N119" s="4" t="s">
        <v>116</v>
      </c>
      <c r="O119" s="4" t="s">
        <v>165</v>
      </c>
      <c r="P119" s="4" t="s">
        <v>118</v>
      </c>
      <c r="Q119" s="25" t="n">
        <v>129.99</v>
      </c>
      <c r="R119" s="25" t="n">
        <v>129.99</v>
      </c>
      <c r="S119" s="25" t="n">
        <v>70.57</v>
      </c>
      <c r="T119" s="26" t="n">
        <v>4</v>
      </c>
      <c r="U119" s="26" t="n">
        <v>1</v>
      </c>
      <c r="V119" s="26" t="n">
        <v>5</v>
      </c>
      <c r="W119" s="26"/>
      <c r="X119" s="27" t="n">
        <f aca="false">SUM(T119:W119)</f>
        <v>10</v>
      </c>
      <c r="Y119" s="28" t="n">
        <f aca="false">COUNT(T119:W119)</f>
        <v>3</v>
      </c>
      <c r="Z119" s="29" t="n">
        <f aca="false">R119*X119</f>
        <v>1299.9</v>
      </c>
      <c r="AA119" s="30" t="n">
        <v>46228</v>
      </c>
    </row>
    <row r="120" customFormat="false" ht="15" hidden="false" customHeight="true" outlineLevel="0" collapsed="false">
      <c r="A120" s="4" t="s">
        <v>851</v>
      </c>
      <c r="B120" s="4" t="s">
        <v>852</v>
      </c>
      <c r="C120" s="4" t="s">
        <v>853</v>
      </c>
      <c r="D120" s="4" t="s">
        <v>122</v>
      </c>
      <c r="E120" s="4" t="s">
        <v>123</v>
      </c>
      <c r="F120" s="4" t="s">
        <v>854</v>
      </c>
      <c r="G120" s="4" t="s">
        <v>855</v>
      </c>
      <c r="H120" s="4" t="s">
        <v>856</v>
      </c>
      <c r="I120" s="4" t="s">
        <v>161</v>
      </c>
      <c r="J120" s="4" t="s">
        <v>246</v>
      </c>
      <c r="K120" s="4" t="s">
        <v>187</v>
      </c>
      <c r="L120" s="4" t="s">
        <v>348</v>
      </c>
      <c r="M120" s="24" t="s">
        <v>356</v>
      </c>
      <c r="N120" s="4" t="s">
        <v>189</v>
      </c>
      <c r="O120" s="4" t="s">
        <v>131</v>
      </c>
      <c r="P120" s="4" t="s">
        <v>118</v>
      </c>
      <c r="Q120" s="25" t="n">
        <v>169.99</v>
      </c>
      <c r="R120" s="25" t="n">
        <v>169.99</v>
      </c>
      <c r="S120" s="25" t="n">
        <v>85.29</v>
      </c>
      <c r="T120" s="26" t="n">
        <v>1</v>
      </c>
      <c r="U120" s="26" t="n">
        <v>2</v>
      </c>
      <c r="V120" s="26" t="n">
        <v>4</v>
      </c>
      <c r="W120" s="26"/>
      <c r="X120" s="27" t="n">
        <f aca="false">SUM(T120:W120)</f>
        <v>7</v>
      </c>
      <c r="Y120" s="28" t="n">
        <f aca="false">COUNT(T120:W120)</f>
        <v>3</v>
      </c>
      <c r="Z120" s="29" t="n">
        <f aca="false">R120*X120</f>
        <v>1189.93</v>
      </c>
      <c r="AA120" s="30" t="n">
        <v>46132</v>
      </c>
    </row>
    <row r="121" customFormat="false" ht="15" hidden="false" customHeight="true" outlineLevel="0" collapsed="false">
      <c r="A121" s="4" t="s">
        <v>857</v>
      </c>
      <c r="B121" s="4" t="s">
        <v>858</v>
      </c>
      <c r="C121" s="4" t="s">
        <v>205</v>
      </c>
      <c r="D121" s="4" t="s">
        <v>181</v>
      </c>
      <c r="E121" s="4" t="s">
        <v>182</v>
      </c>
      <c r="F121" s="4" t="s">
        <v>206</v>
      </c>
      <c r="G121" s="4" t="s">
        <v>207</v>
      </c>
      <c r="H121" s="4" t="s">
        <v>208</v>
      </c>
      <c r="I121" s="4" t="s">
        <v>161</v>
      </c>
      <c r="J121" s="4" t="s">
        <v>186</v>
      </c>
      <c r="K121" s="4" t="s">
        <v>209</v>
      </c>
      <c r="L121" s="4" t="s">
        <v>210</v>
      </c>
      <c r="M121" s="24" t="s">
        <v>442</v>
      </c>
      <c r="N121" s="4" t="s">
        <v>153</v>
      </c>
      <c r="O121" s="4" t="s">
        <v>131</v>
      </c>
      <c r="P121" s="4" t="s">
        <v>118</v>
      </c>
      <c r="Q121" s="25" t="n">
        <v>69.99</v>
      </c>
      <c r="R121" s="25" t="n">
        <v>69.99</v>
      </c>
      <c r="S121" s="25" t="n">
        <v>37.84</v>
      </c>
      <c r="T121" s="26" t="n">
        <v>0</v>
      </c>
      <c r="U121" s="26" t="n">
        <v>4</v>
      </c>
      <c r="V121" s="26" t="n">
        <v>1</v>
      </c>
      <c r="W121" s="26" t="n">
        <v>1</v>
      </c>
      <c r="X121" s="27" t="n">
        <f aca="false">SUM(T121:W121)</f>
        <v>6</v>
      </c>
      <c r="Y121" s="28" t="n">
        <f aca="false">COUNT(T121:W121)</f>
        <v>4</v>
      </c>
      <c r="Z121" s="29" t="n">
        <f aca="false">R121*X121</f>
        <v>419.94</v>
      </c>
      <c r="AA121" s="30" t="n">
        <v>46135</v>
      </c>
    </row>
    <row r="122" customFormat="false" ht="15" hidden="false" customHeight="true" outlineLevel="0" collapsed="false">
      <c r="A122" s="4" t="s">
        <v>859</v>
      </c>
      <c r="B122" s="4" t="s">
        <v>860</v>
      </c>
      <c r="C122" s="4" t="s">
        <v>861</v>
      </c>
      <c r="D122" s="4" t="s">
        <v>475</v>
      </c>
      <c r="E122" s="4" t="s">
        <v>476</v>
      </c>
      <c r="F122" s="4" t="s">
        <v>862</v>
      </c>
      <c r="G122" s="4" t="s">
        <v>863</v>
      </c>
      <c r="H122" s="4" t="s">
        <v>864</v>
      </c>
      <c r="I122" s="4" t="s">
        <v>161</v>
      </c>
      <c r="J122" s="4" t="s">
        <v>186</v>
      </c>
      <c r="K122" s="4" t="s">
        <v>209</v>
      </c>
      <c r="L122" s="4" t="s">
        <v>348</v>
      </c>
      <c r="M122" s="24" t="s">
        <v>356</v>
      </c>
      <c r="N122" s="4" t="s">
        <v>153</v>
      </c>
      <c r="O122" s="4" t="s">
        <v>131</v>
      </c>
      <c r="P122" s="4" t="s">
        <v>118</v>
      </c>
      <c r="Q122" s="25" t="n">
        <v>69.99</v>
      </c>
      <c r="R122" s="25" t="n">
        <v>69.99</v>
      </c>
      <c r="S122" s="25" t="n">
        <v>36.17</v>
      </c>
      <c r="T122" s="26" t="n">
        <v>1</v>
      </c>
      <c r="U122" s="26"/>
      <c r="V122" s="26" t="n">
        <v>5</v>
      </c>
      <c r="W122" s="26"/>
      <c r="X122" s="27" t="n">
        <f aca="false">SUM(T122:W122)</f>
        <v>6</v>
      </c>
      <c r="Y122" s="28" t="n">
        <f aca="false">COUNT(T122:W122)</f>
        <v>2</v>
      </c>
      <c r="Z122" s="29" t="n">
        <f aca="false">R122*X122</f>
        <v>419.94</v>
      </c>
      <c r="AA122" s="30" t="n">
        <v>46032</v>
      </c>
    </row>
    <row r="123" customFormat="false" ht="15" hidden="false" customHeight="true" outlineLevel="0" collapsed="false">
      <c r="A123" s="4" t="s">
        <v>865</v>
      </c>
      <c r="B123" s="4" t="s">
        <v>866</v>
      </c>
      <c r="C123" s="4" t="s">
        <v>867</v>
      </c>
      <c r="D123" s="4" t="s">
        <v>122</v>
      </c>
      <c r="E123" s="4" t="s">
        <v>123</v>
      </c>
      <c r="F123" s="4" t="s">
        <v>868</v>
      </c>
      <c r="G123" s="4" t="s">
        <v>869</v>
      </c>
      <c r="H123" s="4" t="s">
        <v>870</v>
      </c>
      <c r="I123" s="4" t="s">
        <v>771</v>
      </c>
      <c r="J123" s="4" t="s">
        <v>772</v>
      </c>
      <c r="K123" s="4" t="s">
        <v>113</v>
      </c>
      <c r="L123" s="4" t="s">
        <v>871</v>
      </c>
      <c r="M123" s="24" t="s">
        <v>141</v>
      </c>
      <c r="N123" s="4" t="s">
        <v>116</v>
      </c>
      <c r="O123" s="4" t="s">
        <v>380</v>
      </c>
      <c r="P123" s="4" t="s">
        <v>118</v>
      </c>
      <c r="Q123" s="25" t="n">
        <v>129.99</v>
      </c>
      <c r="R123" s="25" t="n">
        <v>129.99</v>
      </c>
      <c r="S123" s="25" t="n">
        <v>63.59</v>
      </c>
      <c r="T123" s="26" t="n">
        <v>0</v>
      </c>
      <c r="U123" s="26"/>
      <c r="V123" s="26" t="n">
        <v>6</v>
      </c>
      <c r="W123" s="26"/>
      <c r="X123" s="27" t="n">
        <f aca="false">SUM(T123:W123)</f>
        <v>6</v>
      </c>
      <c r="Y123" s="28" t="n">
        <f aca="false">COUNT(T123:W123)</f>
        <v>2</v>
      </c>
      <c r="Z123" s="29" t="n">
        <f aca="false">R123*X123</f>
        <v>779.94</v>
      </c>
      <c r="AA123" s="30" t="n">
        <v>46166</v>
      </c>
    </row>
    <row r="124" customFormat="false" ht="15" hidden="false" customHeight="true" outlineLevel="0" collapsed="false">
      <c r="A124" s="4" t="s">
        <v>872</v>
      </c>
      <c r="B124" s="4" t="s">
        <v>873</v>
      </c>
      <c r="C124" s="4" t="s">
        <v>713</v>
      </c>
      <c r="D124" s="4" t="s">
        <v>342</v>
      </c>
      <c r="E124" s="4" t="s">
        <v>714</v>
      </c>
      <c r="F124" s="4" t="s">
        <v>715</v>
      </c>
      <c r="G124" s="4" t="s">
        <v>716</v>
      </c>
      <c r="H124" s="4" t="s">
        <v>717</v>
      </c>
      <c r="I124" s="4" t="s">
        <v>161</v>
      </c>
      <c r="J124" s="4" t="s">
        <v>718</v>
      </c>
      <c r="K124" s="4" t="s">
        <v>187</v>
      </c>
      <c r="L124" s="4" t="s">
        <v>719</v>
      </c>
      <c r="M124" s="24" t="s">
        <v>338</v>
      </c>
      <c r="N124" s="4" t="s">
        <v>189</v>
      </c>
      <c r="O124" s="4" t="s">
        <v>238</v>
      </c>
      <c r="P124" s="4" t="s">
        <v>239</v>
      </c>
      <c r="Q124" s="25" t="n">
        <v>119.99</v>
      </c>
      <c r="R124" s="25" t="n">
        <v>71.99</v>
      </c>
      <c r="S124" s="25" t="n">
        <v>61.14</v>
      </c>
      <c r="T124" s="26" t="n">
        <v>0</v>
      </c>
      <c r="U124" s="26" t="n">
        <v>0</v>
      </c>
      <c r="V124" s="26" t="n">
        <v>0</v>
      </c>
      <c r="W124" s="26" t="n">
        <v>1</v>
      </c>
      <c r="X124" s="27" t="n">
        <f aca="false">SUM(T124:W124)</f>
        <v>1</v>
      </c>
      <c r="Y124" s="28" t="n">
        <f aca="false">COUNT(T124:W124)</f>
        <v>4</v>
      </c>
      <c r="Z124" s="29" t="n">
        <f aca="false">R124*X124</f>
        <v>71.99</v>
      </c>
      <c r="AA124" s="30" t="n">
        <v>46052</v>
      </c>
    </row>
    <row r="125" customFormat="false" ht="15" hidden="false" customHeight="true" outlineLevel="0" collapsed="false">
      <c r="A125" s="4" t="s">
        <v>874</v>
      </c>
      <c r="B125" s="4" t="s">
        <v>875</v>
      </c>
      <c r="C125" s="4" t="s">
        <v>629</v>
      </c>
      <c r="D125" s="4" t="s">
        <v>122</v>
      </c>
      <c r="E125" s="4" t="s">
        <v>123</v>
      </c>
      <c r="F125" s="4" t="s">
        <v>630</v>
      </c>
      <c r="G125" s="4" t="s">
        <v>631</v>
      </c>
      <c r="H125" s="4" t="s">
        <v>632</v>
      </c>
      <c r="I125" s="4" t="s">
        <v>111</v>
      </c>
      <c r="J125" s="4" t="s">
        <v>112</v>
      </c>
      <c r="K125" s="4" t="s">
        <v>199</v>
      </c>
      <c r="L125" s="4" t="s">
        <v>348</v>
      </c>
      <c r="M125" s="24" t="s">
        <v>876</v>
      </c>
      <c r="N125" s="4" t="s">
        <v>153</v>
      </c>
      <c r="O125" s="4" t="s">
        <v>117</v>
      </c>
      <c r="P125" s="4" t="s">
        <v>118</v>
      </c>
      <c r="Q125" s="25" t="n">
        <v>27.99</v>
      </c>
      <c r="R125" s="25" t="n">
        <v>27.99</v>
      </c>
      <c r="S125" s="25" t="n">
        <v>14.09</v>
      </c>
      <c r="T125" s="26" t="n">
        <v>2</v>
      </c>
      <c r="U125" s="26"/>
      <c r="V125" s="26" t="n">
        <v>4</v>
      </c>
      <c r="W125" s="26"/>
      <c r="X125" s="27" t="n">
        <f aca="false">SUM(T125:W125)</f>
        <v>6</v>
      </c>
      <c r="Y125" s="28" t="n">
        <f aca="false">COUNT(T125:W125)</f>
        <v>2</v>
      </c>
      <c r="Z125" s="29" t="n">
        <f aca="false">R125*X125</f>
        <v>167.94</v>
      </c>
      <c r="AA125" s="30" t="n">
        <v>46089</v>
      </c>
    </row>
    <row r="126" customFormat="false" ht="15" hidden="false" customHeight="true" outlineLevel="0" collapsed="false">
      <c r="A126" s="4" t="s">
        <v>877</v>
      </c>
      <c r="B126" s="4" t="s">
        <v>878</v>
      </c>
      <c r="C126" s="4" t="s">
        <v>222</v>
      </c>
      <c r="D126" s="4" t="s">
        <v>122</v>
      </c>
      <c r="E126" s="4" t="s">
        <v>123</v>
      </c>
      <c r="F126" s="4" t="s">
        <v>223</v>
      </c>
      <c r="G126" s="4" t="s">
        <v>224</v>
      </c>
      <c r="H126" s="4" t="s">
        <v>225</v>
      </c>
      <c r="I126" s="4" t="s">
        <v>226</v>
      </c>
      <c r="J126" s="4" t="s">
        <v>227</v>
      </c>
      <c r="K126" s="4" t="s">
        <v>113</v>
      </c>
      <c r="L126" s="4" t="s">
        <v>228</v>
      </c>
      <c r="M126" s="24" t="s">
        <v>141</v>
      </c>
      <c r="N126" s="4" t="s">
        <v>116</v>
      </c>
      <c r="O126" s="4" t="s">
        <v>165</v>
      </c>
      <c r="P126" s="4" t="s">
        <v>118</v>
      </c>
      <c r="Q126" s="25" t="n">
        <v>199.99</v>
      </c>
      <c r="R126" s="25" t="n">
        <v>199.99</v>
      </c>
      <c r="S126" s="25" t="n">
        <v>102.88</v>
      </c>
      <c r="T126" s="26" t="n">
        <v>4</v>
      </c>
      <c r="U126" s="26" t="n">
        <v>5</v>
      </c>
      <c r="V126" s="26" t="n">
        <v>5</v>
      </c>
      <c r="W126" s="26" t="n">
        <v>5</v>
      </c>
      <c r="X126" s="27" t="n">
        <f aca="false">SUM(T126:W126)</f>
        <v>19</v>
      </c>
      <c r="Y126" s="28" t="n">
        <f aca="false">COUNT(T126:W126)</f>
        <v>4</v>
      </c>
      <c r="Z126" s="29" t="n">
        <f aca="false">R126*X126</f>
        <v>3799.81</v>
      </c>
      <c r="AA126" s="30" t="n">
        <v>46199</v>
      </c>
    </row>
    <row r="127" customFormat="false" ht="15" hidden="false" customHeight="true" outlineLevel="0" collapsed="false">
      <c r="A127" s="4" t="s">
        <v>879</v>
      </c>
      <c r="B127" s="4" t="s">
        <v>880</v>
      </c>
      <c r="C127" s="4" t="s">
        <v>518</v>
      </c>
      <c r="D127" s="4" t="s">
        <v>106</v>
      </c>
      <c r="E127" s="4" t="s">
        <v>107</v>
      </c>
      <c r="F127" s="4" t="s">
        <v>519</v>
      </c>
      <c r="G127" s="4" t="s">
        <v>520</v>
      </c>
      <c r="H127" s="4" t="s">
        <v>521</v>
      </c>
      <c r="I127" s="4" t="s">
        <v>226</v>
      </c>
      <c r="J127" s="4" t="s">
        <v>265</v>
      </c>
      <c r="K127" s="4" t="s">
        <v>150</v>
      </c>
      <c r="L127" s="4" t="s">
        <v>522</v>
      </c>
      <c r="M127" s="24" t="s">
        <v>152</v>
      </c>
      <c r="N127" s="4" t="s">
        <v>153</v>
      </c>
      <c r="O127" s="4" t="s">
        <v>117</v>
      </c>
      <c r="P127" s="4" t="s">
        <v>202</v>
      </c>
      <c r="Q127" s="25" t="n">
        <v>84.99</v>
      </c>
      <c r="R127" s="25" t="n">
        <v>84.99</v>
      </c>
      <c r="S127" s="25" t="n">
        <v>45.41</v>
      </c>
      <c r="T127" s="26"/>
      <c r="U127" s="26"/>
      <c r="V127" s="26" t="n">
        <v>4</v>
      </c>
      <c r="W127" s="26"/>
      <c r="X127" s="27" t="n">
        <f aca="false">SUM(T127:W127)</f>
        <v>4</v>
      </c>
      <c r="Y127" s="28" t="n">
        <f aca="false">COUNT(T127:W127)</f>
        <v>1</v>
      </c>
      <c r="Z127" s="29" t="n">
        <f aca="false">R127*X127</f>
        <v>339.96</v>
      </c>
      <c r="AA127" s="30" t="n">
        <v>46197</v>
      </c>
    </row>
    <row r="128" customFormat="false" ht="15" hidden="false" customHeight="true" outlineLevel="0" collapsed="false">
      <c r="A128" s="4" t="s">
        <v>881</v>
      </c>
      <c r="B128" s="4" t="s">
        <v>882</v>
      </c>
      <c r="C128" s="4" t="s">
        <v>883</v>
      </c>
      <c r="D128" s="4" t="s">
        <v>122</v>
      </c>
      <c r="E128" s="4" t="s">
        <v>123</v>
      </c>
      <c r="F128" s="4" t="s">
        <v>884</v>
      </c>
      <c r="G128" s="4" t="s">
        <v>885</v>
      </c>
      <c r="H128" s="4" t="s">
        <v>886</v>
      </c>
      <c r="I128" s="4" t="s">
        <v>127</v>
      </c>
      <c r="J128" s="4" t="s">
        <v>218</v>
      </c>
      <c r="K128" s="4" t="s">
        <v>113</v>
      </c>
      <c r="L128" s="4" t="s">
        <v>579</v>
      </c>
      <c r="M128" s="24" t="s">
        <v>177</v>
      </c>
      <c r="N128" s="4" t="s">
        <v>116</v>
      </c>
      <c r="O128" s="4" t="s">
        <v>380</v>
      </c>
      <c r="P128" s="4" t="s">
        <v>239</v>
      </c>
      <c r="Q128" s="25" t="n">
        <v>154.99</v>
      </c>
      <c r="R128" s="25" t="n">
        <v>115.99</v>
      </c>
      <c r="S128" s="25" t="n">
        <v>75.44</v>
      </c>
      <c r="T128" s="26" t="n">
        <v>0</v>
      </c>
      <c r="U128" s="26" t="n">
        <v>1</v>
      </c>
      <c r="V128" s="26" t="n">
        <v>0</v>
      </c>
      <c r="W128" s="26" t="n">
        <v>1</v>
      </c>
      <c r="X128" s="27" t="n">
        <f aca="false">SUM(T128:W128)</f>
        <v>2</v>
      </c>
      <c r="Y128" s="28" t="n">
        <f aca="false">COUNT(T128:W128)</f>
        <v>4</v>
      </c>
      <c r="Z128" s="29" t="n">
        <f aca="false">R128*X128</f>
        <v>231.98</v>
      </c>
      <c r="AA128" s="30" t="n">
        <v>46036</v>
      </c>
    </row>
    <row r="129" customFormat="false" ht="15" hidden="false" customHeight="true" outlineLevel="0" collapsed="false">
      <c r="A129" s="4" t="s">
        <v>887</v>
      </c>
      <c r="B129" s="4" t="s">
        <v>888</v>
      </c>
      <c r="C129" s="4" t="s">
        <v>548</v>
      </c>
      <c r="D129" s="4" t="s">
        <v>427</v>
      </c>
      <c r="E129" s="4" t="s">
        <v>428</v>
      </c>
      <c r="F129" s="4" t="s">
        <v>549</v>
      </c>
      <c r="G129" s="4" t="s">
        <v>550</v>
      </c>
      <c r="H129" s="4" t="s">
        <v>551</v>
      </c>
      <c r="I129" s="4" t="s">
        <v>127</v>
      </c>
      <c r="J129" s="4" t="s">
        <v>298</v>
      </c>
      <c r="K129" s="4" t="s">
        <v>187</v>
      </c>
      <c r="L129" s="4" t="s">
        <v>552</v>
      </c>
      <c r="M129" s="24" t="s">
        <v>164</v>
      </c>
      <c r="N129" s="4" t="s">
        <v>189</v>
      </c>
      <c r="O129" s="4" t="s">
        <v>165</v>
      </c>
      <c r="P129" s="4" t="s">
        <v>118</v>
      </c>
      <c r="Q129" s="25" t="n">
        <v>79.99</v>
      </c>
      <c r="R129" s="25" t="n">
        <v>79.99</v>
      </c>
      <c r="S129" s="25" t="n">
        <v>41.06</v>
      </c>
      <c r="T129" s="26" t="n">
        <v>2</v>
      </c>
      <c r="U129" s="26" t="n">
        <v>1</v>
      </c>
      <c r="V129" s="26" t="n">
        <v>5</v>
      </c>
      <c r="W129" s="26"/>
      <c r="X129" s="27" t="n">
        <f aca="false">SUM(T129:W129)</f>
        <v>8</v>
      </c>
      <c r="Y129" s="28" t="n">
        <f aca="false">COUNT(T129:W129)</f>
        <v>3</v>
      </c>
      <c r="Z129" s="29" t="n">
        <f aca="false">R129*X129</f>
        <v>639.92</v>
      </c>
      <c r="AA129" s="30" t="n">
        <v>46188</v>
      </c>
    </row>
    <row r="130" customFormat="false" ht="15" hidden="false" customHeight="true" outlineLevel="0" collapsed="false">
      <c r="A130" s="4" t="s">
        <v>889</v>
      </c>
      <c r="B130" s="4" t="s">
        <v>890</v>
      </c>
      <c r="C130" s="4" t="s">
        <v>891</v>
      </c>
      <c r="D130" s="4" t="s">
        <v>643</v>
      </c>
      <c r="E130" s="4" t="s">
        <v>644</v>
      </c>
      <c r="F130" s="4" t="s">
        <v>645</v>
      </c>
      <c r="G130" s="4" t="s">
        <v>892</v>
      </c>
      <c r="H130" s="4" t="s">
        <v>893</v>
      </c>
      <c r="I130" s="4" t="s">
        <v>127</v>
      </c>
      <c r="J130" s="4" t="s">
        <v>280</v>
      </c>
      <c r="K130" s="4" t="s">
        <v>113</v>
      </c>
      <c r="L130" s="4" t="s">
        <v>894</v>
      </c>
      <c r="M130" s="24" t="s">
        <v>164</v>
      </c>
      <c r="N130" s="4" t="s">
        <v>116</v>
      </c>
      <c r="O130" s="4" t="s">
        <v>380</v>
      </c>
      <c r="P130" s="4" t="s">
        <v>118</v>
      </c>
      <c r="Q130" s="25" t="n">
        <v>149.99</v>
      </c>
      <c r="R130" s="25" t="n">
        <v>149.99</v>
      </c>
      <c r="S130" s="25" t="n">
        <v>76.29</v>
      </c>
      <c r="T130" s="26" t="n">
        <v>4</v>
      </c>
      <c r="U130" s="26" t="n">
        <v>3</v>
      </c>
      <c r="V130" s="26" t="n">
        <v>5</v>
      </c>
      <c r="W130" s="26" t="n">
        <v>2</v>
      </c>
      <c r="X130" s="27" t="n">
        <f aca="false">SUM(T130:W130)</f>
        <v>14</v>
      </c>
      <c r="Y130" s="28" t="n">
        <f aca="false">COUNT(T130:W130)</f>
        <v>4</v>
      </c>
      <c r="Z130" s="29" t="n">
        <f aca="false">R130*X130</f>
        <v>2099.86</v>
      </c>
      <c r="AA130" s="30" t="n">
        <v>46058</v>
      </c>
    </row>
    <row r="131" customFormat="false" ht="15" hidden="false" customHeight="true" outlineLevel="0" collapsed="false">
      <c r="A131" s="4" t="s">
        <v>895</v>
      </c>
      <c r="B131" s="4" t="s">
        <v>896</v>
      </c>
      <c r="C131" s="4" t="s">
        <v>897</v>
      </c>
      <c r="D131" s="4" t="s">
        <v>475</v>
      </c>
      <c r="E131" s="4" t="s">
        <v>476</v>
      </c>
      <c r="F131" s="4" t="s">
        <v>898</v>
      </c>
      <c r="G131" s="4" t="s">
        <v>899</v>
      </c>
      <c r="H131" s="4" t="s">
        <v>900</v>
      </c>
      <c r="I131" s="4" t="s">
        <v>161</v>
      </c>
      <c r="J131" s="4" t="s">
        <v>186</v>
      </c>
      <c r="K131" s="4" t="s">
        <v>209</v>
      </c>
      <c r="L131" s="4" t="s">
        <v>901</v>
      </c>
      <c r="M131" s="24" t="s">
        <v>442</v>
      </c>
      <c r="N131" s="4" t="s">
        <v>153</v>
      </c>
      <c r="O131" s="4" t="s">
        <v>131</v>
      </c>
      <c r="P131" s="4" t="s">
        <v>118</v>
      </c>
      <c r="Q131" s="25" t="n">
        <v>89.99</v>
      </c>
      <c r="R131" s="25" t="n">
        <v>89.99</v>
      </c>
      <c r="S131" s="25" t="n">
        <v>44.27</v>
      </c>
      <c r="T131" s="26" t="n">
        <v>0</v>
      </c>
      <c r="U131" s="26" t="n">
        <v>2</v>
      </c>
      <c r="V131" s="26" t="n">
        <v>2</v>
      </c>
      <c r="W131" s="26" t="n">
        <v>2</v>
      </c>
      <c r="X131" s="27" t="n">
        <f aca="false">SUM(T131:W131)</f>
        <v>6</v>
      </c>
      <c r="Y131" s="28" t="n">
        <f aca="false">COUNT(T131:W131)</f>
        <v>4</v>
      </c>
      <c r="Z131" s="29" t="n">
        <f aca="false">R131*X131</f>
        <v>539.94</v>
      </c>
      <c r="AA131" s="30" t="n">
        <v>46152</v>
      </c>
    </row>
    <row r="132" customFormat="false" ht="15" hidden="false" customHeight="true" outlineLevel="0" collapsed="false">
      <c r="A132" s="4" t="s">
        <v>902</v>
      </c>
      <c r="B132" s="4" t="s">
        <v>903</v>
      </c>
      <c r="C132" s="4" t="s">
        <v>250</v>
      </c>
      <c r="D132" s="4" t="s">
        <v>251</v>
      </c>
      <c r="E132" s="4" t="s">
        <v>252</v>
      </c>
      <c r="F132" s="4" t="s">
        <v>253</v>
      </c>
      <c r="G132" s="4" t="s">
        <v>254</v>
      </c>
      <c r="H132" s="4" t="s">
        <v>255</v>
      </c>
      <c r="I132" s="4" t="s">
        <v>161</v>
      </c>
      <c r="J132" s="4" t="s">
        <v>256</v>
      </c>
      <c r="K132" s="4" t="s">
        <v>113</v>
      </c>
      <c r="L132" s="4" t="s">
        <v>257</v>
      </c>
      <c r="M132" s="24" t="s">
        <v>130</v>
      </c>
      <c r="N132" s="4" t="s">
        <v>116</v>
      </c>
      <c r="O132" s="4" t="s">
        <v>165</v>
      </c>
      <c r="P132" s="4" t="s">
        <v>118</v>
      </c>
      <c r="Q132" s="25" t="n">
        <v>119.99</v>
      </c>
      <c r="R132" s="25" t="n">
        <v>119.99</v>
      </c>
      <c r="S132" s="25" t="n">
        <v>66.31</v>
      </c>
      <c r="T132" s="26" t="n">
        <v>4</v>
      </c>
      <c r="U132" s="26" t="n">
        <v>3</v>
      </c>
      <c r="V132" s="26" t="n">
        <v>5</v>
      </c>
      <c r="W132" s="26"/>
      <c r="X132" s="27" t="n">
        <f aca="false">SUM(T132:W132)</f>
        <v>12</v>
      </c>
      <c r="Y132" s="28" t="n">
        <f aca="false">COUNT(T132:W132)</f>
        <v>3</v>
      </c>
      <c r="Z132" s="29" t="n">
        <f aca="false">R132*X132</f>
        <v>1439.88</v>
      </c>
      <c r="AA132" s="30" t="n">
        <v>46100</v>
      </c>
    </row>
    <row r="133" customFormat="false" ht="15" hidden="false" customHeight="true" outlineLevel="0" collapsed="false">
      <c r="A133" s="4" t="s">
        <v>904</v>
      </c>
      <c r="B133" s="4" t="s">
        <v>905</v>
      </c>
      <c r="C133" s="4" t="s">
        <v>730</v>
      </c>
      <c r="D133" s="4" t="s">
        <v>106</v>
      </c>
      <c r="E133" s="4" t="s">
        <v>157</v>
      </c>
      <c r="F133" s="4" t="s">
        <v>731</v>
      </c>
      <c r="G133" s="4" t="s">
        <v>732</v>
      </c>
      <c r="H133" s="4" t="s">
        <v>733</v>
      </c>
      <c r="I133" s="4" t="s">
        <v>161</v>
      </c>
      <c r="J133" s="4" t="s">
        <v>235</v>
      </c>
      <c r="K133" s="4" t="s">
        <v>113</v>
      </c>
      <c r="L133" s="4" t="s">
        <v>734</v>
      </c>
      <c r="M133" s="24" t="s">
        <v>258</v>
      </c>
      <c r="N133" s="4" t="s">
        <v>116</v>
      </c>
      <c r="O133" s="4" t="s">
        <v>165</v>
      </c>
      <c r="P133" s="4" t="s">
        <v>118</v>
      </c>
      <c r="Q133" s="25" t="n">
        <v>109.99</v>
      </c>
      <c r="R133" s="25" t="n">
        <v>109.99</v>
      </c>
      <c r="S133" s="25" t="n">
        <v>59.52</v>
      </c>
      <c r="T133" s="26" t="n">
        <v>0</v>
      </c>
      <c r="U133" s="26" t="n">
        <v>3</v>
      </c>
      <c r="V133" s="26" t="n">
        <v>5</v>
      </c>
      <c r="W133" s="26"/>
      <c r="X133" s="27" t="n">
        <f aca="false">SUM(T133:W133)</f>
        <v>8</v>
      </c>
      <c r="Y133" s="28" t="n">
        <f aca="false">COUNT(T133:W133)</f>
        <v>3</v>
      </c>
      <c r="Z133" s="29" t="n">
        <f aca="false">R133*X133</f>
        <v>879.92</v>
      </c>
      <c r="AA133" s="30" t="n">
        <v>46182</v>
      </c>
    </row>
    <row r="134" customFormat="false" ht="15" hidden="false" customHeight="true" outlineLevel="0" collapsed="false">
      <c r="A134" s="4" t="s">
        <v>906</v>
      </c>
      <c r="B134" s="4" t="s">
        <v>907</v>
      </c>
      <c r="C134" s="4" t="s">
        <v>467</v>
      </c>
      <c r="D134" s="4" t="s">
        <v>135</v>
      </c>
      <c r="E134" s="4" t="s">
        <v>136</v>
      </c>
      <c r="F134" s="4" t="s">
        <v>468</v>
      </c>
      <c r="G134" s="4" t="s">
        <v>469</v>
      </c>
      <c r="H134" s="4" t="s">
        <v>470</v>
      </c>
      <c r="I134" s="4" t="s">
        <v>127</v>
      </c>
      <c r="J134" s="4" t="s">
        <v>347</v>
      </c>
      <c r="K134" s="4" t="s">
        <v>187</v>
      </c>
      <c r="L134" s="4" t="s">
        <v>471</v>
      </c>
      <c r="M134" s="24" t="s">
        <v>356</v>
      </c>
      <c r="N134" s="4" t="s">
        <v>189</v>
      </c>
      <c r="O134" s="4" t="s">
        <v>165</v>
      </c>
      <c r="P134" s="4" t="s">
        <v>118</v>
      </c>
      <c r="Q134" s="25" t="n">
        <v>169.99</v>
      </c>
      <c r="R134" s="25" t="n">
        <v>169.99</v>
      </c>
      <c r="S134" s="25" t="n">
        <v>94.08</v>
      </c>
      <c r="T134" s="26" t="n">
        <v>4</v>
      </c>
      <c r="U134" s="26" t="n">
        <v>1</v>
      </c>
      <c r="V134" s="26" t="n">
        <v>3</v>
      </c>
      <c r="W134" s="26" t="n">
        <v>0</v>
      </c>
      <c r="X134" s="27" t="n">
        <f aca="false">SUM(T134:W134)</f>
        <v>8</v>
      </c>
      <c r="Y134" s="28" t="n">
        <f aca="false">COUNT(T134:W134)</f>
        <v>4</v>
      </c>
      <c r="Z134" s="29" t="n">
        <f aca="false">R134*X134</f>
        <v>1359.92</v>
      </c>
      <c r="AA134" s="30" t="n">
        <v>46149</v>
      </c>
    </row>
    <row r="135" customFormat="false" ht="15" hidden="false" customHeight="true" outlineLevel="0" collapsed="false">
      <c r="A135" s="4" t="s">
        <v>908</v>
      </c>
      <c r="B135" s="4" t="s">
        <v>909</v>
      </c>
      <c r="C135" s="4" t="s">
        <v>144</v>
      </c>
      <c r="D135" s="4" t="s">
        <v>145</v>
      </c>
      <c r="E135" s="4" t="s">
        <v>146</v>
      </c>
      <c r="F135" s="4" t="s">
        <v>147</v>
      </c>
      <c r="G135" s="4" t="s">
        <v>148</v>
      </c>
      <c r="H135" s="4" t="s">
        <v>149</v>
      </c>
      <c r="I135" s="4" t="s">
        <v>127</v>
      </c>
      <c r="J135" s="4" t="s">
        <v>128</v>
      </c>
      <c r="K135" s="4" t="s">
        <v>150</v>
      </c>
      <c r="L135" s="4" t="s">
        <v>151</v>
      </c>
      <c r="M135" s="24" t="s">
        <v>910</v>
      </c>
      <c r="N135" s="4" t="s">
        <v>153</v>
      </c>
      <c r="O135" s="4" t="s">
        <v>131</v>
      </c>
      <c r="P135" s="4" t="s">
        <v>118</v>
      </c>
      <c r="Q135" s="25" t="n">
        <v>64.99</v>
      </c>
      <c r="R135" s="25" t="n">
        <v>64.99</v>
      </c>
      <c r="S135" s="25" t="n">
        <v>32.11</v>
      </c>
      <c r="T135" s="26"/>
      <c r="U135" s="26"/>
      <c r="V135" s="26" t="n">
        <v>4</v>
      </c>
      <c r="W135" s="26"/>
      <c r="X135" s="27" t="n">
        <f aca="false">SUM(T135:W135)</f>
        <v>4</v>
      </c>
      <c r="Y135" s="28" t="n">
        <f aca="false">COUNT(T135:W135)</f>
        <v>1</v>
      </c>
      <c r="Z135" s="29" t="n">
        <f aca="false">R135*X135</f>
        <v>259.96</v>
      </c>
      <c r="AA135" s="30" t="n">
        <v>46216</v>
      </c>
    </row>
    <row r="136" customFormat="false" ht="15" hidden="false" customHeight="true" outlineLevel="0" collapsed="false">
      <c r="A136" s="4" t="s">
        <v>911</v>
      </c>
      <c r="B136" s="4" t="s">
        <v>912</v>
      </c>
      <c r="C136" s="4" t="s">
        <v>846</v>
      </c>
      <c r="D136" s="4" t="s">
        <v>106</v>
      </c>
      <c r="E136" s="4" t="s">
        <v>107</v>
      </c>
      <c r="F136" s="4" t="s">
        <v>847</v>
      </c>
      <c r="G136" s="4" t="s">
        <v>848</v>
      </c>
      <c r="H136" s="4" t="s">
        <v>849</v>
      </c>
      <c r="I136" s="4" t="s">
        <v>127</v>
      </c>
      <c r="J136" s="4" t="s">
        <v>218</v>
      </c>
      <c r="K136" s="4" t="s">
        <v>113</v>
      </c>
      <c r="L136" s="4" t="s">
        <v>850</v>
      </c>
      <c r="M136" s="24" t="s">
        <v>177</v>
      </c>
      <c r="N136" s="4" t="s">
        <v>116</v>
      </c>
      <c r="O136" s="4" t="s">
        <v>165</v>
      </c>
      <c r="P136" s="4" t="s">
        <v>118</v>
      </c>
      <c r="Q136" s="25" t="n">
        <v>129.99</v>
      </c>
      <c r="R136" s="25" t="n">
        <v>129.99</v>
      </c>
      <c r="S136" s="25" t="n">
        <v>70.57</v>
      </c>
      <c r="T136" s="26" t="n">
        <v>3</v>
      </c>
      <c r="U136" s="26" t="n">
        <v>1</v>
      </c>
      <c r="V136" s="26" t="n">
        <v>4</v>
      </c>
      <c r="W136" s="26"/>
      <c r="X136" s="27" t="n">
        <f aca="false">SUM(T136:W136)</f>
        <v>8</v>
      </c>
      <c r="Y136" s="28" t="n">
        <f aca="false">COUNT(T136:W136)</f>
        <v>3</v>
      </c>
      <c r="Z136" s="29" t="n">
        <f aca="false">R136*X136</f>
        <v>1039.92</v>
      </c>
      <c r="AA136" s="30" t="n">
        <v>46068</v>
      </c>
    </row>
    <row r="137" customFormat="false" ht="15" hidden="false" customHeight="true" outlineLevel="0" collapsed="false">
      <c r="A137" s="4" t="s">
        <v>913</v>
      </c>
      <c r="B137" s="4" t="s">
        <v>914</v>
      </c>
      <c r="C137" s="4" t="s">
        <v>518</v>
      </c>
      <c r="D137" s="4" t="s">
        <v>106</v>
      </c>
      <c r="E137" s="4" t="s">
        <v>107</v>
      </c>
      <c r="F137" s="4" t="s">
        <v>519</v>
      </c>
      <c r="G137" s="4" t="s">
        <v>520</v>
      </c>
      <c r="H137" s="4" t="s">
        <v>521</v>
      </c>
      <c r="I137" s="4" t="s">
        <v>226</v>
      </c>
      <c r="J137" s="4" t="s">
        <v>265</v>
      </c>
      <c r="K137" s="4" t="s">
        <v>150</v>
      </c>
      <c r="L137" s="4" t="s">
        <v>522</v>
      </c>
      <c r="M137" s="24" t="s">
        <v>915</v>
      </c>
      <c r="N137" s="4" t="s">
        <v>153</v>
      </c>
      <c r="O137" s="4" t="s">
        <v>117</v>
      </c>
      <c r="P137" s="4" t="s">
        <v>202</v>
      </c>
      <c r="Q137" s="25" t="n">
        <v>84.99</v>
      </c>
      <c r="R137" s="25" t="n">
        <v>84.99</v>
      </c>
      <c r="S137" s="25" t="n">
        <v>45.41</v>
      </c>
      <c r="T137" s="26"/>
      <c r="U137" s="26"/>
      <c r="V137" s="26" t="n">
        <v>4</v>
      </c>
      <c r="W137" s="26"/>
      <c r="X137" s="27" t="n">
        <f aca="false">SUM(T137:W137)</f>
        <v>4</v>
      </c>
      <c r="Y137" s="28" t="n">
        <f aca="false">COUNT(T137:W137)</f>
        <v>1</v>
      </c>
      <c r="Z137" s="29" t="n">
        <f aca="false">R137*X137</f>
        <v>339.96</v>
      </c>
      <c r="AA137" s="30" t="n">
        <v>46202</v>
      </c>
    </row>
    <row r="138" customFormat="false" ht="15" hidden="false" customHeight="true" outlineLevel="0" collapsed="false">
      <c r="A138" s="4" t="s">
        <v>916</v>
      </c>
      <c r="B138" s="4" t="s">
        <v>917</v>
      </c>
      <c r="C138" s="4" t="s">
        <v>426</v>
      </c>
      <c r="D138" s="4" t="s">
        <v>427</v>
      </c>
      <c r="E138" s="4" t="s">
        <v>428</v>
      </c>
      <c r="F138" s="4" t="s">
        <v>429</v>
      </c>
      <c r="G138" s="4" t="s">
        <v>430</v>
      </c>
      <c r="H138" s="4" t="s">
        <v>431</v>
      </c>
      <c r="I138" s="4" t="s">
        <v>127</v>
      </c>
      <c r="J138" s="4" t="s">
        <v>298</v>
      </c>
      <c r="K138" s="4" t="s">
        <v>113</v>
      </c>
      <c r="L138" s="4" t="s">
        <v>432</v>
      </c>
      <c r="M138" s="24" t="s">
        <v>141</v>
      </c>
      <c r="N138" s="4" t="s">
        <v>116</v>
      </c>
      <c r="O138" s="4" t="s">
        <v>165</v>
      </c>
      <c r="P138" s="4" t="s">
        <v>118</v>
      </c>
      <c r="Q138" s="25" t="n">
        <v>99.99</v>
      </c>
      <c r="R138" s="25" t="n">
        <v>99.99</v>
      </c>
      <c r="S138" s="25" t="n">
        <v>55.37</v>
      </c>
      <c r="T138" s="26" t="n">
        <v>1</v>
      </c>
      <c r="U138" s="26"/>
      <c r="V138" s="26" t="n">
        <v>4</v>
      </c>
      <c r="W138" s="26" t="n">
        <v>2</v>
      </c>
      <c r="X138" s="27" t="n">
        <f aca="false">SUM(T138:W138)</f>
        <v>7</v>
      </c>
      <c r="Y138" s="28" t="n">
        <f aca="false">COUNT(T138:W138)</f>
        <v>3</v>
      </c>
      <c r="Z138" s="29" t="n">
        <f aca="false">R138*X138</f>
        <v>699.93</v>
      </c>
      <c r="AA138" s="30" t="n">
        <v>46186</v>
      </c>
    </row>
    <row r="139" customFormat="false" ht="15" hidden="false" customHeight="true" outlineLevel="0" collapsed="false">
      <c r="A139" s="4" t="s">
        <v>918</v>
      </c>
      <c r="B139" s="4" t="s">
        <v>919</v>
      </c>
      <c r="C139" s="4" t="s">
        <v>651</v>
      </c>
      <c r="D139" s="4" t="s">
        <v>122</v>
      </c>
      <c r="E139" s="4" t="s">
        <v>123</v>
      </c>
      <c r="F139" s="4" t="s">
        <v>652</v>
      </c>
      <c r="G139" s="4" t="s">
        <v>653</v>
      </c>
      <c r="H139" s="4" t="s">
        <v>654</v>
      </c>
      <c r="I139" s="4" t="s">
        <v>161</v>
      </c>
      <c r="J139" s="4" t="s">
        <v>246</v>
      </c>
      <c r="K139" s="4" t="s">
        <v>113</v>
      </c>
      <c r="L139" s="4" t="s">
        <v>655</v>
      </c>
      <c r="M139" s="24" t="s">
        <v>164</v>
      </c>
      <c r="N139" s="4" t="s">
        <v>116</v>
      </c>
      <c r="O139" s="4" t="s">
        <v>131</v>
      </c>
      <c r="P139" s="4" t="s">
        <v>118</v>
      </c>
      <c r="Q139" s="25" t="n">
        <v>189.99</v>
      </c>
      <c r="R139" s="25" t="n">
        <v>189.99</v>
      </c>
      <c r="S139" s="25" t="n">
        <v>101.4</v>
      </c>
      <c r="T139" s="26" t="n">
        <v>0</v>
      </c>
      <c r="U139" s="26"/>
      <c r="V139" s="26" t="n">
        <v>6</v>
      </c>
      <c r="W139" s="26"/>
      <c r="X139" s="27" t="n">
        <f aca="false">SUM(T139:W139)</f>
        <v>6</v>
      </c>
      <c r="Y139" s="28" t="n">
        <f aca="false">COUNT(T139:W139)</f>
        <v>2</v>
      </c>
      <c r="Z139" s="29" t="n">
        <f aca="false">R139*X139</f>
        <v>1139.94</v>
      </c>
      <c r="AA139" s="30" t="n">
        <v>46085</v>
      </c>
    </row>
    <row r="140" customFormat="false" ht="15" hidden="false" customHeight="true" outlineLevel="0" collapsed="false">
      <c r="A140" s="4" t="s">
        <v>920</v>
      </c>
      <c r="B140" s="4" t="s">
        <v>921</v>
      </c>
      <c r="C140" s="4" t="s">
        <v>562</v>
      </c>
      <c r="D140" s="4" t="s">
        <v>145</v>
      </c>
      <c r="E140" s="4" t="s">
        <v>146</v>
      </c>
      <c r="F140" s="4" t="s">
        <v>563</v>
      </c>
      <c r="G140" s="4" t="s">
        <v>564</v>
      </c>
      <c r="H140" s="4" t="s">
        <v>565</v>
      </c>
      <c r="I140" s="4" t="s">
        <v>127</v>
      </c>
      <c r="J140" s="4" t="s">
        <v>128</v>
      </c>
      <c r="K140" s="4" t="s">
        <v>113</v>
      </c>
      <c r="L140" s="4" t="s">
        <v>464</v>
      </c>
      <c r="M140" s="24" t="s">
        <v>211</v>
      </c>
      <c r="N140" s="4" t="s">
        <v>116</v>
      </c>
      <c r="O140" s="4" t="s">
        <v>131</v>
      </c>
      <c r="P140" s="4" t="s">
        <v>239</v>
      </c>
      <c r="Q140" s="25" t="n">
        <v>84.99</v>
      </c>
      <c r="R140" s="25" t="n">
        <v>54.99</v>
      </c>
      <c r="S140" s="25" t="n">
        <v>45.86</v>
      </c>
      <c r="T140" s="26" t="n">
        <v>3</v>
      </c>
      <c r="U140" s="26" t="n">
        <v>1</v>
      </c>
      <c r="V140" s="26" t="n">
        <v>5</v>
      </c>
      <c r="W140" s="26" t="n">
        <v>0</v>
      </c>
      <c r="X140" s="27" t="n">
        <f aca="false">SUM(T140:W140)</f>
        <v>9</v>
      </c>
      <c r="Y140" s="28" t="n">
        <f aca="false">COUNT(T140:W140)</f>
        <v>4</v>
      </c>
      <c r="Z140" s="29" t="n">
        <f aca="false">R140*X140</f>
        <v>494.91</v>
      </c>
      <c r="AA140" s="30" t="n">
        <v>46155</v>
      </c>
    </row>
    <row r="141" customFormat="false" ht="15" hidden="false" customHeight="true" outlineLevel="0" collapsed="false">
      <c r="A141" s="4" t="s">
        <v>922</v>
      </c>
      <c r="B141" s="4" t="s">
        <v>923</v>
      </c>
      <c r="C141" s="4" t="s">
        <v>924</v>
      </c>
      <c r="D141" s="4" t="s">
        <v>643</v>
      </c>
      <c r="E141" s="4" t="s">
        <v>644</v>
      </c>
      <c r="F141" s="4" t="s">
        <v>925</v>
      </c>
      <c r="G141" s="4" t="s">
        <v>926</v>
      </c>
      <c r="H141" s="4" t="s">
        <v>927</v>
      </c>
      <c r="I141" s="4" t="s">
        <v>127</v>
      </c>
      <c r="J141" s="4" t="s">
        <v>347</v>
      </c>
      <c r="K141" s="4" t="s">
        <v>113</v>
      </c>
      <c r="L141" s="4" t="s">
        <v>928</v>
      </c>
      <c r="M141" s="24" t="s">
        <v>177</v>
      </c>
      <c r="N141" s="4" t="s">
        <v>116</v>
      </c>
      <c r="O141" s="4" t="s">
        <v>165</v>
      </c>
      <c r="P141" s="4" t="s">
        <v>118</v>
      </c>
      <c r="Q141" s="25" t="n">
        <v>169.99</v>
      </c>
      <c r="R141" s="25" t="n">
        <v>169.99</v>
      </c>
      <c r="S141" s="25" t="n">
        <v>89.36</v>
      </c>
      <c r="T141" s="26" t="n">
        <v>0</v>
      </c>
      <c r="U141" s="26"/>
      <c r="V141" s="26" t="n">
        <v>6</v>
      </c>
      <c r="W141" s="26"/>
      <c r="X141" s="27" t="n">
        <f aca="false">SUM(T141:W141)</f>
        <v>6</v>
      </c>
      <c r="Y141" s="28" t="n">
        <f aca="false">COUNT(T141:W141)</f>
        <v>2</v>
      </c>
      <c r="Z141" s="29" t="n">
        <f aca="false">R141*X141</f>
        <v>1019.94</v>
      </c>
      <c r="AA141" s="30" t="n">
        <v>46027</v>
      </c>
    </row>
    <row r="142" customFormat="false" ht="15" hidden="false" customHeight="true" outlineLevel="0" collapsed="false">
      <c r="A142" s="4" t="s">
        <v>929</v>
      </c>
      <c r="B142" s="4" t="s">
        <v>930</v>
      </c>
      <c r="C142" s="4" t="s">
        <v>541</v>
      </c>
      <c r="D142" s="4" t="s">
        <v>135</v>
      </c>
      <c r="E142" s="4" t="s">
        <v>136</v>
      </c>
      <c r="F142" s="4" t="s">
        <v>542</v>
      </c>
      <c r="G142" s="4" t="s">
        <v>543</v>
      </c>
      <c r="H142" s="4" t="s">
        <v>544</v>
      </c>
      <c r="I142" s="4" t="s">
        <v>161</v>
      </c>
      <c r="J142" s="4" t="s">
        <v>246</v>
      </c>
      <c r="K142" s="4" t="s">
        <v>187</v>
      </c>
      <c r="L142" s="4" t="s">
        <v>545</v>
      </c>
      <c r="M142" s="24" t="s">
        <v>338</v>
      </c>
      <c r="N142" s="4" t="s">
        <v>189</v>
      </c>
      <c r="O142" s="4" t="s">
        <v>131</v>
      </c>
      <c r="P142" s="4" t="s">
        <v>118</v>
      </c>
      <c r="Q142" s="25" t="n">
        <v>99.99</v>
      </c>
      <c r="R142" s="25" t="n">
        <v>99.99</v>
      </c>
      <c r="S142" s="25" t="n">
        <v>53.26</v>
      </c>
      <c r="T142" s="26" t="n">
        <v>2</v>
      </c>
      <c r="U142" s="26" t="n">
        <v>2</v>
      </c>
      <c r="V142" s="26" t="n">
        <v>6</v>
      </c>
      <c r="W142" s="26" t="n">
        <v>2</v>
      </c>
      <c r="X142" s="27" t="n">
        <f aca="false">SUM(T142:W142)</f>
        <v>12</v>
      </c>
      <c r="Y142" s="28" t="n">
        <f aca="false">COUNT(T142:W142)</f>
        <v>4</v>
      </c>
      <c r="Z142" s="29" t="n">
        <f aca="false">R142*X142</f>
        <v>1199.88</v>
      </c>
      <c r="AA142" s="30" t="n">
        <v>46036</v>
      </c>
    </row>
    <row r="143" customFormat="false" ht="15" hidden="false" customHeight="true" outlineLevel="0" collapsed="false">
      <c r="A143" s="4" t="s">
        <v>931</v>
      </c>
      <c r="B143" s="4" t="s">
        <v>932</v>
      </c>
      <c r="C143" s="4" t="s">
        <v>180</v>
      </c>
      <c r="D143" s="4" t="s">
        <v>181</v>
      </c>
      <c r="E143" s="4" t="s">
        <v>182</v>
      </c>
      <c r="F143" s="4" t="s">
        <v>183</v>
      </c>
      <c r="G143" s="4" t="s">
        <v>184</v>
      </c>
      <c r="H143" s="4" t="s">
        <v>185</v>
      </c>
      <c r="I143" s="4" t="s">
        <v>161</v>
      </c>
      <c r="J143" s="4" t="s">
        <v>186</v>
      </c>
      <c r="K143" s="4" t="s">
        <v>187</v>
      </c>
      <c r="L143" s="4" t="s">
        <v>176</v>
      </c>
      <c r="M143" s="24" t="s">
        <v>291</v>
      </c>
      <c r="N143" s="4" t="s">
        <v>189</v>
      </c>
      <c r="O143" s="4" t="s">
        <v>131</v>
      </c>
      <c r="P143" s="4" t="s">
        <v>118</v>
      </c>
      <c r="Q143" s="25" t="n">
        <v>89.99</v>
      </c>
      <c r="R143" s="25" t="n">
        <v>89.99</v>
      </c>
      <c r="S143" s="25" t="n">
        <v>45.49</v>
      </c>
      <c r="T143" s="26" t="n">
        <v>2</v>
      </c>
      <c r="U143" s="26" t="n">
        <v>2</v>
      </c>
      <c r="V143" s="26" t="n">
        <v>0</v>
      </c>
      <c r="W143" s="26"/>
      <c r="X143" s="27" t="n">
        <f aca="false">SUM(T143:W143)</f>
        <v>4</v>
      </c>
      <c r="Y143" s="28" t="n">
        <f aca="false">COUNT(T143:W143)</f>
        <v>3</v>
      </c>
      <c r="Z143" s="29" t="n">
        <f aca="false">R143*X143</f>
        <v>359.96</v>
      </c>
      <c r="AA143" s="30" t="n">
        <v>46197</v>
      </c>
    </row>
    <row r="144" customFormat="false" ht="15" hidden="false" customHeight="true" outlineLevel="0" collapsed="false">
      <c r="A144" s="4" t="s">
        <v>933</v>
      </c>
      <c r="B144" s="4" t="s">
        <v>934</v>
      </c>
      <c r="C144" s="4" t="s">
        <v>426</v>
      </c>
      <c r="D144" s="4" t="s">
        <v>427</v>
      </c>
      <c r="E144" s="4" t="s">
        <v>428</v>
      </c>
      <c r="F144" s="4" t="s">
        <v>429</v>
      </c>
      <c r="G144" s="4" t="s">
        <v>430</v>
      </c>
      <c r="H144" s="4" t="s">
        <v>431</v>
      </c>
      <c r="I144" s="4" t="s">
        <v>127</v>
      </c>
      <c r="J144" s="4" t="s">
        <v>298</v>
      </c>
      <c r="K144" s="4" t="s">
        <v>113</v>
      </c>
      <c r="L144" s="4" t="s">
        <v>432</v>
      </c>
      <c r="M144" s="24" t="s">
        <v>211</v>
      </c>
      <c r="N144" s="4" t="s">
        <v>116</v>
      </c>
      <c r="O144" s="4" t="s">
        <v>165</v>
      </c>
      <c r="P144" s="4" t="s">
        <v>118</v>
      </c>
      <c r="Q144" s="25" t="n">
        <v>99.99</v>
      </c>
      <c r="R144" s="25" t="n">
        <v>99.99</v>
      </c>
      <c r="S144" s="25" t="n">
        <v>55.37</v>
      </c>
      <c r="T144" s="26" t="n">
        <v>1</v>
      </c>
      <c r="U144" s="26"/>
      <c r="V144" s="26" t="n">
        <v>0</v>
      </c>
      <c r="W144" s="26" t="n">
        <v>1</v>
      </c>
      <c r="X144" s="27" t="n">
        <f aca="false">SUM(T144:W144)</f>
        <v>2</v>
      </c>
      <c r="Y144" s="28" t="n">
        <f aca="false">COUNT(T144:W144)</f>
        <v>3</v>
      </c>
      <c r="Z144" s="29" t="n">
        <f aca="false">R144*X144</f>
        <v>199.98</v>
      </c>
      <c r="AA144" s="30" t="n">
        <v>46203</v>
      </c>
    </row>
    <row r="145" customFormat="false" ht="15" hidden="false" customHeight="true" outlineLevel="0" collapsed="false">
      <c r="A145" s="4" t="s">
        <v>935</v>
      </c>
      <c r="B145" s="4" t="s">
        <v>936</v>
      </c>
      <c r="C145" s="4" t="s">
        <v>937</v>
      </c>
      <c r="D145" s="4" t="s">
        <v>122</v>
      </c>
      <c r="E145" s="4" t="s">
        <v>123</v>
      </c>
      <c r="F145" s="4" t="s">
        <v>938</v>
      </c>
      <c r="G145" s="4" t="s">
        <v>939</v>
      </c>
      <c r="H145" s="4" t="s">
        <v>940</v>
      </c>
      <c r="I145" s="4" t="s">
        <v>226</v>
      </c>
      <c r="J145" s="4" t="s">
        <v>790</v>
      </c>
      <c r="K145" s="4" t="s">
        <v>113</v>
      </c>
      <c r="L145" s="4" t="s">
        <v>941</v>
      </c>
      <c r="M145" s="24" t="s">
        <v>164</v>
      </c>
      <c r="N145" s="4" t="s">
        <v>116</v>
      </c>
      <c r="O145" s="4" t="s">
        <v>165</v>
      </c>
      <c r="P145" s="4" t="s">
        <v>239</v>
      </c>
      <c r="Q145" s="25" t="n">
        <v>109.99</v>
      </c>
      <c r="R145" s="25" t="n">
        <v>81.99</v>
      </c>
      <c r="S145" s="25" t="n">
        <v>52.89</v>
      </c>
      <c r="T145" s="26"/>
      <c r="U145" s="26" t="n">
        <v>5</v>
      </c>
      <c r="V145" s="26" t="n">
        <v>4</v>
      </c>
      <c r="W145" s="26"/>
      <c r="X145" s="27" t="n">
        <f aca="false">SUM(T145:W145)</f>
        <v>9</v>
      </c>
      <c r="Y145" s="28" t="n">
        <f aca="false">COUNT(T145:W145)</f>
        <v>2</v>
      </c>
      <c r="Z145" s="29" t="n">
        <f aca="false">R145*X145</f>
        <v>737.91</v>
      </c>
      <c r="AA145" s="30" t="n">
        <v>46025</v>
      </c>
    </row>
    <row r="146" customFormat="false" ht="15" hidden="false" customHeight="true" outlineLevel="0" collapsed="false">
      <c r="A146" s="4" t="s">
        <v>942</v>
      </c>
      <c r="B146" s="4" t="s">
        <v>943</v>
      </c>
      <c r="C146" s="4" t="s">
        <v>548</v>
      </c>
      <c r="D146" s="4" t="s">
        <v>427</v>
      </c>
      <c r="E146" s="4" t="s">
        <v>428</v>
      </c>
      <c r="F146" s="4" t="s">
        <v>549</v>
      </c>
      <c r="G146" s="4" t="s">
        <v>550</v>
      </c>
      <c r="H146" s="4" t="s">
        <v>551</v>
      </c>
      <c r="I146" s="4" t="s">
        <v>127</v>
      </c>
      <c r="J146" s="4" t="s">
        <v>298</v>
      </c>
      <c r="K146" s="4" t="s">
        <v>187</v>
      </c>
      <c r="L146" s="4" t="s">
        <v>552</v>
      </c>
      <c r="M146" s="24" t="s">
        <v>356</v>
      </c>
      <c r="N146" s="4" t="s">
        <v>189</v>
      </c>
      <c r="O146" s="4" t="s">
        <v>165</v>
      </c>
      <c r="P146" s="4" t="s">
        <v>118</v>
      </c>
      <c r="Q146" s="25" t="n">
        <v>79.99</v>
      </c>
      <c r="R146" s="25" t="n">
        <v>79.99</v>
      </c>
      <c r="S146" s="25" t="n">
        <v>41.06</v>
      </c>
      <c r="T146" s="26" t="n">
        <v>4</v>
      </c>
      <c r="U146" s="26" t="n">
        <v>4</v>
      </c>
      <c r="V146" s="26" t="n">
        <v>6</v>
      </c>
      <c r="W146" s="26"/>
      <c r="X146" s="27" t="n">
        <f aca="false">SUM(T146:W146)</f>
        <v>14</v>
      </c>
      <c r="Y146" s="28" t="n">
        <f aca="false">COUNT(T146:W146)</f>
        <v>3</v>
      </c>
      <c r="Z146" s="29" t="n">
        <f aca="false">R146*X146</f>
        <v>1119.86</v>
      </c>
      <c r="AA146" s="30" t="n">
        <v>46096</v>
      </c>
    </row>
    <row r="147" customFormat="false" ht="15" hidden="false" customHeight="true" outlineLevel="0" collapsed="false">
      <c r="A147" s="4" t="s">
        <v>944</v>
      </c>
      <c r="B147" s="4" t="s">
        <v>945</v>
      </c>
      <c r="C147" s="4" t="s">
        <v>460</v>
      </c>
      <c r="D147" s="4" t="s">
        <v>181</v>
      </c>
      <c r="E147" s="4" t="s">
        <v>182</v>
      </c>
      <c r="F147" s="4" t="s">
        <v>461</v>
      </c>
      <c r="G147" s="4" t="s">
        <v>462</v>
      </c>
      <c r="H147" s="4" t="s">
        <v>463</v>
      </c>
      <c r="I147" s="4" t="s">
        <v>161</v>
      </c>
      <c r="J147" s="4" t="s">
        <v>186</v>
      </c>
      <c r="K147" s="4" t="s">
        <v>209</v>
      </c>
      <c r="L147" s="4" t="s">
        <v>464</v>
      </c>
      <c r="M147" s="24" t="s">
        <v>258</v>
      </c>
      <c r="N147" s="4" t="s">
        <v>153</v>
      </c>
      <c r="O147" s="4" t="s">
        <v>131</v>
      </c>
      <c r="P147" s="4" t="s">
        <v>118</v>
      </c>
      <c r="Q147" s="25" t="n">
        <v>84.99</v>
      </c>
      <c r="R147" s="25" t="n">
        <v>84.99</v>
      </c>
      <c r="S147" s="25" t="n">
        <v>42.89</v>
      </c>
      <c r="T147" s="26" t="n">
        <v>6</v>
      </c>
      <c r="U147" s="26"/>
      <c r="V147" s="26" t="n">
        <v>2</v>
      </c>
      <c r="W147" s="26" t="n">
        <v>3</v>
      </c>
      <c r="X147" s="27" t="n">
        <f aca="false">SUM(T147:W147)</f>
        <v>11</v>
      </c>
      <c r="Y147" s="28" t="n">
        <f aca="false">COUNT(T147:W147)</f>
        <v>3</v>
      </c>
      <c r="Z147" s="29" t="n">
        <f aca="false">R147*X147</f>
        <v>934.89</v>
      </c>
      <c r="AA147" s="30" t="n">
        <v>46140</v>
      </c>
    </row>
    <row r="148" customFormat="false" ht="15" hidden="false" customHeight="true" outlineLevel="0" collapsed="false">
      <c r="A148" s="4" t="s">
        <v>946</v>
      </c>
      <c r="B148" s="4" t="s">
        <v>947</v>
      </c>
      <c r="C148" s="4" t="s">
        <v>803</v>
      </c>
      <c r="D148" s="4" t="s">
        <v>193</v>
      </c>
      <c r="E148" s="4" t="s">
        <v>194</v>
      </c>
      <c r="F148" s="4" t="s">
        <v>804</v>
      </c>
      <c r="G148" s="4" t="s">
        <v>805</v>
      </c>
      <c r="H148" s="4" t="s">
        <v>806</v>
      </c>
      <c r="I148" s="4" t="s">
        <v>111</v>
      </c>
      <c r="J148" s="4" t="s">
        <v>198</v>
      </c>
      <c r="K148" s="4" t="s">
        <v>209</v>
      </c>
      <c r="L148" s="4" t="s">
        <v>807</v>
      </c>
      <c r="M148" s="24" t="s">
        <v>338</v>
      </c>
      <c r="N148" s="4" t="s">
        <v>153</v>
      </c>
      <c r="O148" s="4" t="s">
        <v>117</v>
      </c>
      <c r="P148" s="4" t="s">
        <v>202</v>
      </c>
      <c r="Q148" s="25" t="n">
        <v>64.99</v>
      </c>
      <c r="R148" s="25" t="n">
        <v>64.99</v>
      </c>
      <c r="S148" s="25" t="n">
        <v>34</v>
      </c>
      <c r="T148" s="26" t="n">
        <v>5</v>
      </c>
      <c r="U148" s="26" t="n">
        <v>1</v>
      </c>
      <c r="V148" s="26" t="n">
        <v>4</v>
      </c>
      <c r="W148" s="26"/>
      <c r="X148" s="27" t="n">
        <f aca="false">SUM(T148:W148)</f>
        <v>10</v>
      </c>
      <c r="Y148" s="28" t="n">
        <f aca="false">COUNT(T148:W148)</f>
        <v>3</v>
      </c>
      <c r="Z148" s="29" t="n">
        <f aca="false">R148*X148</f>
        <v>649.9</v>
      </c>
      <c r="AA148" s="30" t="n">
        <v>46108</v>
      </c>
    </row>
    <row r="149" customFormat="false" ht="15" hidden="false" customHeight="true" outlineLevel="0" collapsed="false">
      <c r="A149" s="4" t="s">
        <v>948</v>
      </c>
      <c r="B149" s="4" t="s">
        <v>949</v>
      </c>
      <c r="C149" s="4" t="s">
        <v>708</v>
      </c>
      <c r="D149" s="4" t="s">
        <v>135</v>
      </c>
      <c r="E149" s="4" t="s">
        <v>136</v>
      </c>
      <c r="F149" s="4" t="s">
        <v>413</v>
      </c>
      <c r="G149" s="4" t="s">
        <v>709</v>
      </c>
      <c r="H149" s="4" t="s">
        <v>710</v>
      </c>
      <c r="I149" s="4" t="s">
        <v>161</v>
      </c>
      <c r="J149" s="4" t="s">
        <v>246</v>
      </c>
      <c r="K149" s="4" t="s">
        <v>187</v>
      </c>
      <c r="L149" s="4" t="s">
        <v>176</v>
      </c>
      <c r="M149" s="24" t="s">
        <v>291</v>
      </c>
      <c r="N149" s="4" t="s">
        <v>189</v>
      </c>
      <c r="O149" s="4" t="s">
        <v>380</v>
      </c>
      <c r="P149" s="4" t="s">
        <v>118</v>
      </c>
      <c r="Q149" s="25" t="n">
        <v>89.99</v>
      </c>
      <c r="R149" s="25" t="n">
        <v>89.99</v>
      </c>
      <c r="S149" s="25" t="n">
        <v>44</v>
      </c>
      <c r="T149" s="26" t="n">
        <v>0</v>
      </c>
      <c r="U149" s="26" t="n">
        <v>2</v>
      </c>
      <c r="V149" s="26" t="n">
        <v>4</v>
      </c>
      <c r="W149" s="26"/>
      <c r="X149" s="27" t="n">
        <f aca="false">SUM(T149:W149)</f>
        <v>6</v>
      </c>
      <c r="Y149" s="28" t="n">
        <f aca="false">COUNT(T149:W149)</f>
        <v>3</v>
      </c>
      <c r="Z149" s="29" t="n">
        <f aca="false">R149*X149</f>
        <v>539.94</v>
      </c>
      <c r="AA149" s="30" t="n">
        <v>46162</v>
      </c>
    </row>
    <row r="150" customFormat="false" ht="15" hidden="false" customHeight="true" outlineLevel="0" collapsed="false">
      <c r="A150" s="4" t="s">
        <v>950</v>
      </c>
      <c r="B150" s="4" t="s">
        <v>951</v>
      </c>
      <c r="C150" s="4" t="s">
        <v>313</v>
      </c>
      <c r="D150" s="4" t="s">
        <v>145</v>
      </c>
      <c r="E150" s="4" t="s">
        <v>146</v>
      </c>
      <c r="F150" s="4" t="s">
        <v>314</v>
      </c>
      <c r="G150" s="4" t="s">
        <v>315</v>
      </c>
      <c r="H150" s="4" t="s">
        <v>316</v>
      </c>
      <c r="I150" s="4" t="s">
        <v>226</v>
      </c>
      <c r="J150" s="4" t="s">
        <v>265</v>
      </c>
      <c r="K150" s="4" t="s">
        <v>113</v>
      </c>
      <c r="L150" s="4" t="s">
        <v>317</v>
      </c>
      <c r="M150" s="24" t="s">
        <v>177</v>
      </c>
      <c r="N150" s="4" t="s">
        <v>116</v>
      </c>
      <c r="O150" s="4" t="s">
        <v>165</v>
      </c>
      <c r="P150" s="4" t="s">
        <v>118</v>
      </c>
      <c r="Q150" s="25" t="n">
        <v>169.99</v>
      </c>
      <c r="R150" s="25" t="n">
        <v>169.99</v>
      </c>
      <c r="S150" s="25" t="n">
        <v>86.49</v>
      </c>
      <c r="T150" s="26" t="n">
        <v>3</v>
      </c>
      <c r="U150" s="26" t="n">
        <v>3</v>
      </c>
      <c r="V150" s="26" t="n">
        <v>5</v>
      </c>
      <c r="W150" s="26"/>
      <c r="X150" s="27" t="n">
        <f aca="false">SUM(T150:W150)</f>
        <v>11</v>
      </c>
      <c r="Y150" s="28" t="n">
        <f aca="false">COUNT(T150:W150)</f>
        <v>3</v>
      </c>
      <c r="Z150" s="29" t="n">
        <f aca="false">R150*X150</f>
        <v>1869.89</v>
      </c>
      <c r="AA150" s="30" t="n">
        <v>46172</v>
      </c>
    </row>
    <row r="151" customFormat="false" ht="15" hidden="false" customHeight="true" outlineLevel="0" collapsed="false">
      <c r="A151" s="4" t="s">
        <v>952</v>
      </c>
      <c r="B151" s="4" t="s">
        <v>953</v>
      </c>
      <c r="C151" s="4" t="s">
        <v>767</v>
      </c>
      <c r="D151" s="4" t="s">
        <v>374</v>
      </c>
      <c r="E151" s="4" t="s">
        <v>375</v>
      </c>
      <c r="F151" s="4" t="s">
        <v>768</v>
      </c>
      <c r="G151" s="4" t="s">
        <v>769</v>
      </c>
      <c r="H151" s="4" t="s">
        <v>770</v>
      </c>
      <c r="I151" s="4" t="s">
        <v>771</v>
      </c>
      <c r="J151" s="4" t="s">
        <v>772</v>
      </c>
      <c r="K151" s="4" t="s">
        <v>113</v>
      </c>
      <c r="L151" s="4" t="s">
        <v>773</v>
      </c>
      <c r="M151" s="24" t="s">
        <v>188</v>
      </c>
      <c r="N151" s="4" t="s">
        <v>116</v>
      </c>
      <c r="O151" s="4" t="s">
        <v>131</v>
      </c>
      <c r="P151" s="4" t="s">
        <v>118</v>
      </c>
      <c r="Q151" s="25" t="n">
        <v>149.99</v>
      </c>
      <c r="R151" s="25" t="n">
        <v>149.99</v>
      </c>
      <c r="S151" s="25" t="n">
        <v>72.27</v>
      </c>
      <c r="T151" s="26"/>
      <c r="U151" s="26"/>
      <c r="V151" s="26" t="n">
        <v>0</v>
      </c>
      <c r="W151" s="26"/>
      <c r="X151" s="27" t="n">
        <f aca="false">SUM(T151:W151)</f>
        <v>0</v>
      </c>
      <c r="Y151" s="28" t="n">
        <f aca="false">COUNT(T151:W151)</f>
        <v>1</v>
      </c>
      <c r="Z151" s="29" t="n">
        <f aca="false">R151*X151</f>
        <v>0</v>
      </c>
      <c r="AA151" s="30" t="n">
        <v>46025</v>
      </c>
    </row>
    <row r="152" customFormat="false" ht="15" hidden="false" customHeight="true" outlineLevel="0" collapsed="false">
      <c r="A152" s="4" t="s">
        <v>954</v>
      </c>
      <c r="B152" s="4" t="s">
        <v>955</v>
      </c>
      <c r="C152" s="4" t="s">
        <v>373</v>
      </c>
      <c r="D152" s="4" t="s">
        <v>374</v>
      </c>
      <c r="E152" s="4" t="s">
        <v>375</v>
      </c>
      <c r="F152" s="4" t="s">
        <v>376</v>
      </c>
      <c r="G152" s="4" t="s">
        <v>377</v>
      </c>
      <c r="H152" s="4" t="s">
        <v>378</v>
      </c>
      <c r="I152" s="4" t="s">
        <v>161</v>
      </c>
      <c r="J152" s="4" t="s">
        <v>235</v>
      </c>
      <c r="K152" s="4" t="s">
        <v>113</v>
      </c>
      <c r="L152" s="4" t="s">
        <v>379</v>
      </c>
      <c r="M152" s="24" t="s">
        <v>188</v>
      </c>
      <c r="N152" s="4" t="s">
        <v>116</v>
      </c>
      <c r="O152" s="4" t="s">
        <v>380</v>
      </c>
      <c r="P152" s="4" t="s">
        <v>239</v>
      </c>
      <c r="Q152" s="25" t="n">
        <v>89.99</v>
      </c>
      <c r="R152" s="25" t="n">
        <v>62.99</v>
      </c>
      <c r="S152" s="25" t="n">
        <v>49.53</v>
      </c>
      <c r="T152" s="26" t="n">
        <v>0</v>
      </c>
      <c r="U152" s="26" t="n">
        <v>3</v>
      </c>
      <c r="V152" s="26" t="n">
        <v>2</v>
      </c>
      <c r="W152" s="26" t="n">
        <v>1</v>
      </c>
      <c r="X152" s="27" t="n">
        <f aca="false">SUM(T152:W152)</f>
        <v>6</v>
      </c>
      <c r="Y152" s="28" t="n">
        <f aca="false">COUNT(T152:W152)</f>
        <v>4</v>
      </c>
      <c r="Z152" s="29" t="n">
        <f aca="false">R152*X152</f>
        <v>377.94</v>
      </c>
      <c r="AA152" s="30" t="n">
        <v>46201</v>
      </c>
    </row>
    <row r="153" customFormat="false" ht="15" hidden="false" customHeight="true" outlineLevel="0" collapsed="false">
      <c r="A153" s="4" t="s">
        <v>956</v>
      </c>
      <c r="B153" s="4" t="s">
        <v>957</v>
      </c>
      <c r="C153" s="4" t="s">
        <v>611</v>
      </c>
      <c r="D153" s="4" t="s">
        <v>145</v>
      </c>
      <c r="E153" s="4" t="s">
        <v>146</v>
      </c>
      <c r="F153" s="4" t="s">
        <v>612</v>
      </c>
      <c r="G153" s="4" t="s">
        <v>613</v>
      </c>
      <c r="H153" s="4" t="s">
        <v>614</v>
      </c>
      <c r="I153" s="4" t="s">
        <v>127</v>
      </c>
      <c r="J153" s="4" t="s">
        <v>280</v>
      </c>
      <c r="K153" s="4" t="s">
        <v>113</v>
      </c>
      <c r="L153" s="4" t="s">
        <v>615</v>
      </c>
      <c r="M153" s="24" t="s">
        <v>164</v>
      </c>
      <c r="N153" s="4" t="s">
        <v>116</v>
      </c>
      <c r="O153" s="4" t="s">
        <v>165</v>
      </c>
      <c r="P153" s="4" t="s">
        <v>118</v>
      </c>
      <c r="Q153" s="25" t="n">
        <v>99.99</v>
      </c>
      <c r="R153" s="25" t="n">
        <v>99.99</v>
      </c>
      <c r="S153" s="25" t="n">
        <v>51.72</v>
      </c>
      <c r="T153" s="26" t="n">
        <v>0</v>
      </c>
      <c r="U153" s="26" t="n">
        <v>0</v>
      </c>
      <c r="V153" s="26"/>
      <c r="W153" s="26" t="n">
        <v>2</v>
      </c>
      <c r="X153" s="27" t="n">
        <f aca="false">SUM(T153:W153)</f>
        <v>2</v>
      </c>
      <c r="Y153" s="28" t="n">
        <f aca="false">COUNT(T153:W153)</f>
        <v>3</v>
      </c>
      <c r="Z153" s="29" t="n">
        <f aca="false">R153*X153</f>
        <v>199.98</v>
      </c>
      <c r="AA153" s="30" t="n">
        <v>46125</v>
      </c>
    </row>
    <row r="154" customFormat="false" ht="15" hidden="false" customHeight="true" outlineLevel="0" collapsed="false">
      <c r="A154" s="4" t="s">
        <v>958</v>
      </c>
      <c r="B154" s="4" t="s">
        <v>959</v>
      </c>
      <c r="C154" s="4" t="s">
        <v>813</v>
      </c>
      <c r="D154" s="4" t="s">
        <v>331</v>
      </c>
      <c r="E154" s="4" t="s">
        <v>332</v>
      </c>
      <c r="F154" s="4" t="s">
        <v>814</v>
      </c>
      <c r="G154" s="4" t="s">
        <v>815</v>
      </c>
      <c r="H154" s="4" t="s">
        <v>816</v>
      </c>
      <c r="I154" s="4" t="s">
        <v>127</v>
      </c>
      <c r="J154" s="4" t="s">
        <v>817</v>
      </c>
      <c r="K154" s="4" t="s">
        <v>113</v>
      </c>
      <c r="L154" s="4" t="s">
        <v>818</v>
      </c>
      <c r="M154" s="24" t="s">
        <v>177</v>
      </c>
      <c r="N154" s="4" t="s">
        <v>116</v>
      </c>
      <c r="O154" s="4" t="s">
        <v>165</v>
      </c>
      <c r="P154" s="4" t="s">
        <v>239</v>
      </c>
      <c r="Q154" s="25" t="n">
        <v>179.99</v>
      </c>
      <c r="R154" s="25" t="n">
        <v>107.99</v>
      </c>
      <c r="S154" s="25" t="n">
        <v>100.67</v>
      </c>
      <c r="T154" s="26"/>
      <c r="U154" s="26" t="n">
        <v>3</v>
      </c>
      <c r="V154" s="26" t="n">
        <v>0</v>
      </c>
      <c r="W154" s="26"/>
      <c r="X154" s="27" t="n">
        <f aca="false">SUM(T154:W154)</f>
        <v>3</v>
      </c>
      <c r="Y154" s="28" t="n">
        <f aca="false">COUNT(T154:W154)</f>
        <v>2</v>
      </c>
      <c r="Z154" s="29" t="n">
        <f aca="false">R154*X154</f>
        <v>323.97</v>
      </c>
      <c r="AA154" s="30" t="n">
        <v>46149</v>
      </c>
    </row>
    <row r="155" customFormat="false" ht="15" hidden="false" customHeight="true" outlineLevel="0" collapsed="false">
      <c r="A155" s="4" t="s">
        <v>960</v>
      </c>
      <c r="B155" s="4" t="s">
        <v>961</v>
      </c>
      <c r="C155" s="4" t="s">
        <v>467</v>
      </c>
      <c r="D155" s="4" t="s">
        <v>135</v>
      </c>
      <c r="E155" s="4" t="s">
        <v>136</v>
      </c>
      <c r="F155" s="4" t="s">
        <v>468</v>
      </c>
      <c r="G155" s="4" t="s">
        <v>469</v>
      </c>
      <c r="H155" s="4" t="s">
        <v>470</v>
      </c>
      <c r="I155" s="4" t="s">
        <v>127</v>
      </c>
      <c r="J155" s="4" t="s">
        <v>347</v>
      </c>
      <c r="K155" s="4" t="s">
        <v>187</v>
      </c>
      <c r="L155" s="4" t="s">
        <v>471</v>
      </c>
      <c r="M155" s="24" t="s">
        <v>291</v>
      </c>
      <c r="N155" s="4" t="s">
        <v>189</v>
      </c>
      <c r="O155" s="4" t="s">
        <v>165</v>
      </c>
      <c r="P155" s="4" t="s">
        <v>118</v>
      </c>
      <c r="Q155" s="25" t="n">
        <v>169.99</v>
      </c>
      <c r="R155" s="25" t="n">
        <v>169.99</v>
      </c>
      <c r="S155" s="25" t="n">
        <v>94.08</v>
      </c>
      <c r="T155" s="26" t="n">
        <v>0</v>
      </c>
      <c r="U155" s="26" t="n">
        <v>3</v>
      </c>
      <c r="V155" s="26" t="n">
        <v>3</v>
      </c>
      <c r="W155" s="26" t="n">
        <v>4</v>
      </c>
      <c r="X155" s="27" t="n">
        <f aca="false">SUM(T155:W155)</f>
        <v>10</v>
      </c>
      <c r="Y155" s="28" t="n">
        <f aca="false">COUNT(T155:W155)</f>
        <v>4</v>
      </c>
      <c r="Z155" s="29" t="n">
        <f aca="false">R155*X155</f>
        <v>1699.9</v>
      </c>
      <c r="AA155" s="30" t="n">
        <v>46073</v>
      </c>
    </row>
    <row r="156" customFormat="false" ht="15" hidden="false" customHeight="true" outlineLevel="0" collapsed="false">
      <c r="A156" s="4" t="s">
        <v>962</v>
      </c>
      <c r="B156" s="4" t="s">
        <v>963</v>
      </c>
      <c r="C156" s="4" t="s">
        <v>964</v>
      </c>
      <c r="D156" s="4" t="s">
        <v>106</v>
      </c>
      <c r="E156" s="4" t="s">
        <v>107</v>
      </c>
      <c r="F156" s="4" t="s">
        <v>965</v>
      </c>
      <c r="G156" s="4" t="s">
        <v>966</v>
      </c>
      <c r="H156" s="4" t="s">
        <v>967</v>
      </c>
      <c r="I156" s="4" t="s">
        <v>127</v>
      </c>
      <c r="J156" s="4" t="s">
        <v>128</v>
      </c>
      <c r="K156" s="4" t="s">
        <v>187</v>
      </c>
      <c r="L156" s="4" t="s">
        <v>968</v>
      </c>
      <c r="M156" s="24" t="s">
        <v>188</v>
      </c>
      <c r="N156" s="4" t="s">
        <v>189</v>
      </c>
      <c r="O156" s="4" t="s">
        <v>131</v>
      </c>
      <c r="P156" s="4" t="s">
        <v>118</v>
      </c>
      <c r="Q156" s="25" t="n">
        <v>64.99</v>
      </c>
      <c r="R156" s="25" t="n">
        <v>64.99</v>
      </c>
      <c r="S156" s="25" t="n">
        <v>34.29</v>
      </c>
      <c r="T156" s="26" t="n">
        <v>1</v>
      </c>
      <c r="U156" s="26"/>
      <c r="V156" s="26" t="n">
        <v>3</v>
      </c>
      <c r="W156" s="26" t="n">
        <v>5</v>
      </c>
      <c r="X156" s="27" t="n">
        <f aca="false">SUM(T156:W156)</f>
        <v>9</v>
      </c>
      <c r="Y156" s="28" t="n">
        <f aca="false">COUNT(T156:W156)</f>
        <v>3</v>
      </c>
      <c r="Z156" s="29" t="n">
        <f aca="false">R156*X156</f>
        <v>584.91</v>
      </c>
      <c r="AA156" s="30" t="n">
        <v>46078</v>
      </c>
    </row>
    <row r="157" customFormat="false" ht="15" hidden="false" customHeight="true" outlineLevel="0" collapsed="false">
      <c r="A157" s="4" t="s">
        <v>969</v>
      </c>
      <c r="B157" s="4" t="s">
        <v>970</v>
      </c>
      <c r="C157" s="4" t="s">
        <v>562</v>
      </c>
      <c r="D157" s="4" t="s">
        <v>145</v>
      </c>
      <c r="E157" s="4" t="s">
        <v>146</v>
      </c>
      <c r="F157" s="4" t="s">
        <v>563</v>
      </c>
      <c r="G157" s="4" t="s">
        <v>564</v>
      </c>
      <c r="H157" s="4" t="s">
        <v>565</v>
      </c>
      <c r="I157" s="4" t="s">
        <v>127</v>
      </c>
      <c r="J157" s="4" t="s">
        <v>128</v>
      </c>
      <c r="K157" s="4" t="s">
        <v>113</v>
      </c>
      <c r="L157" s="4" t="s">
        <v>464</v>
      </c>
      <c r="M157" s="24" t="s">
        <v>177</v>
      </c>
      <c r="N157" s="4" t="s">
        <v>116</v>
      </c>
      <c r="O157" s="4" t="s">
        <v>131</v>
      </c>
      <c r="P157" s="4" t="s">
        <v>239</v>
      </c>
      <c r="Q157" s="25" t="n">
        <v>84.99</v>
      </c>
      <c r="R157" s="25" t="n">
        <v>54.99</v>
      </c>
      <c r="S157" s="25" t="n">
        <v>45.86</v>
      </c>
      <c r="T157" s="26" t="n">
        <v>1</v>
      </c>
      <c r="U157" s="26" t="n">
        <v>3</v>
      </c>
      <c r="V157" s="26" t="n">
        <v>6</v>
      </c>
      <c r="W157" s="26" t="n">
        <v>0</v>
      </c>
      <c r="X157" s="27" t="n">
        <f aca="false">SUM(T157:W157)</f>
        <v>10</v>
      </c>
      <c r="Y157" s="28" t="n">
        <f aca="false">COUNT(T157:W157)</f>
        <v>4</v>
      </c>
      <c r="Z157" s="29" t="n">
        <f aca="false">R157*X157</f>
        <v>549.9</v>
      </c>
      <c r="AA157" s="30" t="n">
        <v>46168</v>
      </c>
    </row>
    <row r="158" customFormat="false" ht="15" hidden="false" customHeight="true" outlineLevel="0" collapsed="false">
      <c r="A158" s="4" t="s">
        <v>971</v>
      </c>
      <c r="B158" s="4" t="s">
        <v>972</v>
      </c>
      <c r="C158" s="4" t="s">
        <v>483</v>
      </c>
      <c r="D158" s="4" t="s">
        <v>484</v>
      </c>
      <c r="E158" s="4" t="s">
        <v>485</v>
      </c>
      <c r="F158" s="4" t="s">
        <v>486</v>
      </c>
      <c r="G158" s="4" t="s">
        <v>487</v>
      </c>
      <c r="H158" s="4" t="s">
        <v>488</v>
      </c>
      <c r="I158" s="4" t="s">
        <v>127</v>
      </c>
      <c r="J158" s="4" t="s">
        <v>280</v>
      </c>
      <c r="K158" s="4" t="s">
        <v>113</v>
      </c>
      <c r="L158" s="4" t="s">
        <v>489</v>
      </c>
      <c r="M158" s="24" t="s">
        <v>356</v>
      </c>
      <c r="N158" s="4" t="s">
        <v>116</v>
      </c>
      <c r="O158" s="4" t="s">
        <v>131</v>
      </c>
      <c r="P158" s="4" t="s">
        <v>239</v>
      </c>
      <c r="Q158" s="25" t="n">
        <v>144.99</v>
      </c>
      <c r="R158" s="25" t="n">
        <v>93.99</v>
      </c>
      <c r="S158" s="25" t="n">
        <v>77.83</v>
      </c>
      <c r="T158" s="26" t="n">
        <v>0</v>
      </c>
      <c r="U158" s="26" t="n">
        <v>1</v>
      </c>
      <c r="V158" s="26" t="n">
        <v>3</v>
      </c>
      <c r="W158" s="26" t="n">
        <v>0</v>
      </c>
      <c r="X158" s="27" t="n">
        <f aca="false">SUM(T158:W158)</f>
        <v>4</v>
      </c>
      <c r="Y158" s="28" t="n">
        <f aca="false">COUNT(T158:W158)</f>
        <v>4</v>
      </c>
      <c r="Z158" s="29" t="n">
        <f aca="false">R158*X158</f>
        <v>375.96</v>
      </c>
      <c r="AA158" s="30" t="n">
        <v>46230</v>
      </c>
    </row>
    <row r="159" customFormat="false" ht="15" hidden="false" customHeight="true" outlineLevel="0" collapsed="false">
      <c r="A159" s="4" t="s">
        <v>973</v>
      </c>
      <c r="B159" s="4" t="s">
        <v>974</v>
      </c>
      <c r="C159" s="4" t="s">
        <v>222</v>
      </c>
      <c r="D159" s="4" t="s">
        <v>122</v>
      </c>
      <c r="E159" s="4" t="s">
        <v>123</v>
      </c>
      <c r="F159" s="4" t="s">
        <v>223</v>
      </c>
      <c r="G159" s="4" t="s">
        <v>224</v>
      </c>
      <c r="H159" s="4" t="s">
        <v>225</v>
      </c>
      <c r="I159" s="4" t="s">
        <v>226</v>
      </c>
      <c r="J159" s="4" t="s">
        <v>227</v>
      </c>
      <c r="K159" s="4" t="s">
        <v>113</v>
      </c>
      <c r="L159" s="4" t="s">
        <v>228</v>
      </c>
      <c r="M159" s="24" t="s">
        <v>327</v>
      </c>
      <c r="N159" s="4" t="s">
        <v>116</v>
      </c>
      <c r="O159" s="4" t="s">
        <v>165</v>
      </c>
      <c r="P159" s="4" t="s">
        <v>118</v>
      </c>
      <c r="Q159" s="25" t="n">
        <v>199.99</v>
      </c>
      <c r="R159" s="25" t="n">
        <v>199.99</v>
      </c>
      <c r="S159" s="25" t="n">
        <v>102.88</v>
      </c>
      <c r="T159" s="26" t="n">
        <v>3</v>
      </c>
      <c r="U159" s="26" t="n">
        <v>3</v>
      </c>
      <c r="V159" s="26" t="n">
        <v>5</v>
      </c>
      <c r="W159" s="26" t="n">
        <v>0</v>
      </c>
      <c r="X159" s="27" t="n">
        <f aca="false">SUM(T159:W159)</f>
        <v>11</v>
      </c>
      <c r="Y159" s="28" t="n">
        <f aca="false">COUNT(T159:W159)</f>
        <v>4</v>
      </c>
      <c r="Z159" s="29" t="n">
        <f aca="false">R159*X159</f>
        <v>2199.89</v>
      </c>
      <c r="AA159" s="30" t="n">
        <v>46200</v>
      </c>
    </row>
    <row r="160" customFormat="false" ht="15" hidden="false" customHeight="true" outlineLevel="0" collapsed="false">
      <c r="A160" s="4" t="s">
        <v>975</v>
      </c>
      <c r="B160" s="4" t="s">
        <v>976</v>
      </c>
      <c r="C160" s="4" t="s">
        <v>861</v>
      </c>
      <c r="D160" s="4" t="s">
        <v>475</v>
      </c>
      <c r="E160" s="4" t="s">
        <v>476</v>
      </c>
      <c r="F160" s="4" t="s">
        <v>862</v>
      </c>
      <c r="G160" s="4" t="s">
        <v>863</v>
      </c>
      <c r="H160" s="4" t="s">
        <v>864</v>
      </c>
      <c r="I160" s="4" t="s">
        <v>161</v>
      </c>
      <c r="J160" s="4" t="s">
        <v>186</v>
      </c>
      <c r="K160" s="4" t="s">
        <v>209</v>
      </c>
      <c r="L160" s="4" t="s">
        <v>348</v>
      </c>
      <c r="M160" s="24" t="s">
        <v>538</v>
      </c>
      <c r="N160" s="4" t="s">
        <v>153</v>
      </c>
      <c r="O160" s="4" t="s">
        <v>131</v>
      </c>
      <c r="P160" s="4" t="s">
        <v>118</v>
      </c>
      <c r="Q160" s="25" t="n">
        <v>69.99</v>
      </c>
      <c r="R160" s="25" t="n">
        <v>69.99</v>
      </c>
      <c r="S160" s="25" t="n">
        <v>36.17</v>
      </c>
      <c r="T160" s="26" t="n">
        <v>3</v>
      </c>
      <c r="U160" s="26"/>
      <c r="V160" s="26" t="n">
        <v>5</v>
      </c>
      <c r="W160" s="26"/>
      <c r="X160" s="27" t="n">
        <f aca="false">SUM(T160:W160)</f>
        <v>8</v>
      </c>
      <c r="Y160" s="28" t="n">
        <f aca="false">COUNT(T160:W160)</f>
        <v>2</v>
      </c>
      <c r="Z160" s="29" t="n">
        <f aca="false">R160*X160</f>
        <v>559.92</v>
      </c>
      <c r="AA160" s="30" t="n">
        <v>46070</v>
      </c>
    </row>
    <row r="161" customFormat="false" ht="15" hidden="false" customHeight="true" outlineLevel="0" collapsed="false">
      <c r="A161" s="4" t="s">
        <v>977</v>
      </c>
      <c r="B161" s="4" t="s">
        <v>978</v>
      </c>
      <c r="C161" s="4" t="s">
        <v>426</v>
      </c>
      <c r="D161" s="4" t="s">
        <v>427</v>
      </c>
      <c r="E161" s="4" t="s">
        <v>428</v>
      </c>
      <c r="F161" s="4" t="s">
        <v>429</v>
      </c>
      <c r="G161" s="4" t="s">
        <v>430</v>
      </c>
      <c r="H161" s="4" t="s">
        <v>431</v>
      </c>
      <c r="I161" s="4" t="s">
        <v>127</v>
      </c>
      <c r="J161" s="4" t="s">
        <v>298</v>
      </c>
      <c r="K161" s="4" t="s">
        <v>113</v>
      </c>
      <c r="L161" s="4" t="s">
        <v>432</v>
      </c>
      <c r="M161" s="24" t="s">
        <v>130</v>
      </c>
      <c r="N161" s="4" t="s">
        <v>116</v>
      </c>
      <c r="O161" s="4" t="s">
        <v>165</v>
      </c>
      <c r="P161" s="4" t="s">
        <v>118</v>
      </c>
      <c r="Q161" s="25" t="n">
        <v>99.99</v>
      </c>
      <c r="R161" s="25" t="n">
        <v>99.99</v>
      </c>
      <c r="S161" s="25" t="n">
        <v>55.37</v>
      </c>
      <c r="T161" s="26" t="n">
        <v>6</v>
      </c>
      <c r="U161" s="26"/>
      <c r="V161" s="26" t="n">
        <v>3</v>
      </c>
      <c r="W161" s="26" t="n">
        <v>3</v>
      </c>
      <c r="X161" s="27" t="n">
        <f aca="false">SUM(T161:W161)</f>
        <v>12</v>
      </c>
      <c r="Y161" s="28" t="n">
        <f aca="false">COUNT(T161:W161)</f>
        <v>3</v>
      </c>
      <c r="Z161" s="29" t="n">
        <f aca="false">R161*X161</f>
        <v>1199.88</v>
      </c>
      <c r="AA161" s="30" t="n">
        <v>46220</v>
      </c>
    </row>
    <row r="162" customFormat="false" ht="15" hidden="false" customHeight="true" outlineLevel="0" collapsed="false">
      <c r="A162" s="4" t="s">
        <v>979</v>
      </c>
      <c r="B162" s="4" t="s">
        <v>980</v>
      </c>
      <c r="C162" s="4" t="s">
        <v>937</v>
      </c>
      <c r="D162" s="4" t="s">
        <v>122</v>
      </c>
      <c r="E162" s="4" t="s">
        <v>123</v>
      </c>
      <c r="F162" s="4" t="s">
        <v>938</v>
      </c>
      <c r="G162" s="4" t="s">
        <v>939</v>
      </c>
      <c r="H162" s="4" t="s">
        <v>940</v>
      </c>
      <c r="I162" s="4" t="s">
        <v>226</v>
      </c>
      <c r="J162" s="4" t="s">
        <v>790</v>
      </c>
      <c r="K162" s="4" t="s">
        <v>113</v>
      </c>
      <c r="L162" s="4" t="s">
        <v>941</v>
      </c>
      <c r="M162" s="24" t="s">
        <v>188</v>
      </c>
      <c r="N162" s="4" t="s">
        <v>116</v>
      </c>
      <c r="O162" s="4" t="s">
        <v>165</v>
      </c>
      <c r="P162" s="4" t="s">
        <v>239</v>
      </c>
      <c r="Q162" s="25" t="n">
        <v>109.99</v>
      </c>
      <c r="R162" s="25" t="n">
        <v>81.99</v>
      </c>
      <c r="S162" s="25" t="n">
        <v>52.89</v>
      </c>
      <c r="T162" s="26"/>
      <c r="U162" s="26" t="n">
        <v>2</v>
      </c>
      <c r="V162" s="26" t="n">
        <v>0</v>
      </c>
      <c r="W162" s="26"/>
      <c r="X162" s="27" t="n">
        <f aca="false">SUM(T162:W162)</f>
        <v>2</v>
      </c>
      <c r="Y162" s="28" t="n">
        <f aca="false">COUNT(T162:W162)</f>
        <v>2</v>
      </c>
      <c r="Z162" s="29" t="n">
        <f aca="false">R162*X162</f>
        <v>163.98</v>
      </c>
      <c r="AA162" s="30" t="n">
        <v>46133</v>
      </c>
    </row>
    <row r="163" customFormat="false" ht="15" hidden="false" customHeight="true" outlineLevel="0" collapsed="false">
      <c r="A163" s="4" t="s">
        <v>981</v>
      </c>
      <c r="B163" s="4" t="s">
        <v>982</v>
      </c>
      <c r="C163" s="4" t="s">
        <v>284</v>
      </c>
      <c r="D163" s="4" t="s">
        <v>122</v>
      </c>
      <c r="E163" s="4" t="s">
        <v>285</v>
      </c>
      <c r="F163" s="4" t="s">
        <v>286</v>
      </c>
      <c r="G163" s="4" t="s">
        <v>287</v>
      </c>
      <c r="H163" s="4" t="s">
        <v>288</v>
      </c>
      <c r="I163" s="4" t="s">
        <v>161</v>
      </c>
      <c r="J163" s="4" t="s">
        <v>289</v>
      </c>
      <c r="K163" s="4" t="s">
        <v>187</v>
      </c>
      <c r="L163" s="4" t="s">
        <v>290</v>
      </c>
      <c r="M163" s="24" t="s">
        <v>188</v>
      </c>
      <c r="N163" s="4" t="s">
        <v>189</v>
      </c>
      <c r="O163" s="4" t="s">
        <v>165</v>
      </c>
      <c r="P163" s="4" t="s">
        <v>239</v>
      </c>
      <c r="Q163" s="25" t="n">
        <v>129.99</v>
      </c>
      <c r="R163" s="25" t="n">
        <v>77.99</v>
      </c>
      <c r="S163" s="25" t="n">
        <v>70.91</v>
      </c>
      <c r="T163" s="26"/>
      <c r="U163" s="26"/>
      <c r="V163" s="26" t="n">
        <v>3</v>
      </c>
      <c r="W163" s="26"/>
      <c r="X163" s="27" t="n">
        <f aca="false">SUM(T163:W163)</f>
        <v>3</v>
      </c>
      <c r="Y163" s="28" t="n">
        <f aca="false">COUNT(T163:W163)</f>
        <v>1</v>
      </c>
      <c r="Z163" s="29" t="n">
        <f aca="false">R163*X163</f>
        <v>233.97</v>
      </c>
      <c r="AA163" s="30" t="n">
        <v>46035</v>
      </c>
    </row>
    <row r="164" customFormat="false" ht="15" hidden="false" customHeight="true" outlineLevel="0" collapsed="false">
      <c r="A164" s="4" t="s">
        <v>983</v>
      </c>
      <c r="B164" s="4" t="s">
        <v>984</v>
      </c>
      <c r="C164" s="4" t="s">
        <v>582</v>
      </c>
      <c r="D164" s="4" t="s">
        <v>583</v>
      </c>
      <c r="E164" s="4" t="s">
        <v>584</v>
      </c>
      <c r="F164" s="4" t="s">
        <v>585</v>
      </c>
      <c r="G164" s="4" t="s">
        <v>586</v>
      </c>
      <c r="H164" s="4" t="s">
        <v>587</v>
      </c>
      <c r="I164" s="4" t="s">
        <v>127</v>
      </c>
      <c r="J164" s="4" t="s">
        <v>306</v>
      </c>
      <c r="K164" s="4" t="s">
        <v>113</v>
      </c>
      <c r="L164" s="4" t="s">
        <v>588</v>
      </c>
      <c r="M164" s="24" t="s">
        <v>211</v>
      </c>
      <c r="N164" s="4" t="s">
        <v>116</v>
      </c>
      <c r="O164" s="4" t="s">
        <v>380</v>
      </c>
      <c r="P164" s="4" t="s">
        <v>239</v>
      </c>
      <c r="Q164" s="25" t="n">
        <v>169.99</v>
      </c>
      <c r="R164" s="25" t="n">
        <v>101.99</v>
      </c>
      <c r="S164" s="25" t="n">
        <v>84.77</v>
      </c>
      <c r="T164" s="26"/>
      <c r="U164" s="26"/>
      <c r="V164" s="26" t="n">
        <v>0</v>
      </c>
      <c r="W164" s="26"/>
      <c r="X164" s="27" t="n">
        <f aca="false">SUM(T164:W164)</f>
        <v>0</v>
      </c>
      <c r="Y164" s="28" t="n">
        <f aca="false">COUNT(T164:W164)</f>
        <v>1</v>
      </c>
      <c r="Z164" s="29" t="n">
        <f aca="false">R164*X164</f>
        <v>0</v>
      </c>
      <c r="AA164" s="30" t="n">
        <v>46053</v>
      </c>
    </row>
    <row r="165" customFormat="false" ht="15" hidden="false" customHeight="true" outlineLevel="0" collapsed="false">
      <c r="A165" s="4" t="s">
        <v>985</v>
      </c>
      <c r="B165" s="4" t="s">
        <v>986</v>
      </c>
      <c r="C165" s="4" t="s">
        <v>555</v>
      </c>
      <c r="D165" s="4" t="s">
        <v>122</v>
      </c>
      <c r="E165" s="4" t="s">
        <v>123</v>
      </c>
      <c r="F165" s="4" t="s">
        <v>556</v>
      </c>
      <c r="G165" s="4" t="s">
        <v>557</v>
      </c>
      <c r="H165" s="4" t="s">
        <v>558</v>
      </c>
      <c r="I165" s="4" t="s">
        <v>161</v>
      </c>
      <c r="J165" s="4" t="s">
        <v>246</v>
      </c>
      <c r="K165" s="4" t="s">
        <v>187</v>
      </c>
      <c r="L165" s="4" t="s">
        <v>559</v>
      </c>
      <c r="M165" s="24" t="s">
        <v>291</v>
      </c>
      <c r="N165" s="4" t="s">
        <v>189</v>
      </c>
      <c r="O165" s="4" t="s">
        <v>117</v>
      </c>
      <c r="P165" s="4" t="s">
        <v>202</v>
      </c>
      <c r="Q165" s="25" t="n">
        <v>119.99</v>
      </c>
      <c r="R165" s="25" t="n">
        <v>119.99</v>
      </c>
      <c r="S165" s="25" t="n">
        <v>62.97</v>
      </c>
      <c r="T165" s="26" t="n">
        <v>2</v>
      </c>
      <c r="U165" s="26"/>
      <c r="V165" s="26" t="n">
        <v>2</v>
      </c>
      <c r="W165" s="26" t="n">
        <v>2</v>
      </c>
      <c r="X165" s="27" t="n">
        <f aca="false">SUM(T165:W165)</f>
        <v>6</v>
      </c>
      <c r="Y165" s="28" t="n">
        <f aca="false">COUNT(T165:W165)</f>
        <v>3</v>
      </c>
      <c r="Z165" s="29" t="n">
        <f aca="false">R165*X165</f>
        <v>719.94</v>
      </c>
      <c r="AA165" s="30" t="n">
        <v>46138</v>
      </c>
    </row>
    <row r="166" customFormat="false" ht="15" hidden="false" customHeight="true" outlineLevel="0" collapsed="false">
      <c r="A166" s="4" t="s">
        <v>987</v>
      </c>
      <c r="B166" s="4" t="s">
        <v>988</v>
      </c>
      <c r="C166" s="4" t="s">
        <v>460</v>
      </c>
      <c r="D166" s="4" t="s">
        <v>181</v>
      </c>
      <c r="E166" s="4" t="s">
        <v>182</v>
      </c>
      <c r="F166" s="4" t="s">
        <v>461</v>
      </c>
      <c r="G166" s="4" t="s">
        <v>462</v>
      </c>
      <c r="H166" s="4" t="s">
        <v>463</v>
      </c>
      <c r="I166" s="4" t="s">
        <v>161</v>
      </c>
      <c r="J166" s="4" t="s">
        <v>186</v>
      </c>
      <c r="K166" s="4" t="s">
        <v>209</v>
      </c>
      <c r="L166" s="4" t="s">
        <v>464</v>
      </c>
      <c r="M166" s="24" t="s">
        <v>211</v>
      </c>
      <c r="N166" s="4" t="s">
        <v>153</v>
      </c>
      <c r="O166" s="4" t="s">
        <v>131</v>
      </c>
      <c r="P166" s="4" t="s">
        <v>118</v>
      </c>
      <c r="Q166" s="25" t="n">
        <v>84.99</v>
      </c>
      <c r="R166" s="25" t="n">
        <v>84.99</v>
      </c>
      <c r="S166" s="25" t="n">
        <v>42.89</v>
      </c>
      <c r="T166" s="26" t="n">
        <v>4</v>
      </c>
      <c r="U166" s="26"/>
      <c r="V166" s="26" t="n">
        <v>5</v>
      </c>
      <c r="W166" s="26" t="n">
        <v>1</v>
      </c>
      <c r="X166" s="27" t="n">
        <f aca="false">SUM(T166:W166)</f>
        <v>10</v>
      </c>
      <c r="Y166" s="28" t="n">
        <f aca="false">COUNT(T166:W166)</f>
        <v>3</v>
      </c>
      <c r="Z166" s="29" t="n">
        <f aca="false">R166*X166</f>
        <v>849.9</v>
      </c>
      <c r="AA166" s="30" t="n">
        <v>46193</v>
      </c>
    </row>
    <row r="167" customFormat="false" ht="15" hidden="false" customHeight="true" outlineLevel="0" collapsed="false">
      <c r="A167" s="4" t="s">
        <v>989</v>
      </c>
      <c r="B167" s="4" t="s">
        <v>990</v>
      </c>
      <c r="C167" s="4" t="s">
        <v>821</v>
      </c>
      <c r="D167" s="4" t="s">
        <v>331</v>
      </c>
      <c r="E167" s="4" t="s">
        <v>332</v>
      </c>
      <c r="F167" s="4" t="s">
        <v>822</v>
      </c>
      <c r="G167" s="4" t="s">
        <v>823</v>
      </c>
      <c r="H167" s="4" t="s">
        <v>824</v>
      </c>
      <c r="I167" s="4" t="s">
        <v>161</v>
      </c>
      <c r="J167" s="4" t="s">
        <v>336</v>
      </c>
      <c r="K167" s="4" t="s">
        <v>209</v>
      </c>
      <c r="L167" s="4" t="s">
        <v>825</v>
      </c>
      <c r="M167" s="24" t="s">
        <v>164</v>
      </c>
      <c r="N167" s="4" t="s">
        <v>153</v>
      </c>
      <c r="O167" s="4" t="s">
        <v>131</v>
      </c>
      <c r="P167" s="4" t="s">
        <v>239</v>
      </c>
      <c r="Q167" s="25" t="n">
        <v>149.99</v>
      </c>
      <c r="R167" s="25" t="n">
        <v>104.99</v>
      </c>
      <c r="S167" s="25" t="n">
        <v>83.5</v>
      </c>
      <c r="T167" s="26" t="n">
        <v>0</v>
      </c>
      <c r="U167" s="26"/>
      <c r="V167" s="26" t="n">
        <v>5</v>
      </c>
      <c r="W167" s="26" t="n">
        <v>1</v>
      </c>
      <c r="X167" s="27" t="n">
        <f aca="false">SUM(T167:W167)</f>
        <v>6</v>
      </c>
      <c r="Y167" s="28" t="n">
        <f aca="false">COUNT(T167:W167)</f>
        <v>3</v>
      </c>
      <c r="Z167" s="29" t="n">
        <f aca="false">R167*X167</f>
        <v>629.94</v>
      </c>
      <c r="AA167" s="30" t="n">
        <v>46069</v>
      </c>
    </row>
    <row r="168" customFormat="false" ht="15" hidden="false" customHeight="true" outlineLevel="0" collapsed="false">
      <c r="A168" s="4" t="s">
        <v>991</v>
      </c>
      <c r="B168" s="4" t="s">
        <v>992</v>
      </c>
      <c r="C168" s="4" t="s">
        <v>993</v>
      </c>
      <c r="D168" s="4" t="s">
        <v>583</v>
      </c>
      <c r="E168" s="4" t="s">
        <v>584</v>
      </c>
      <c r="F168" s="4" t="s">
        <v>994</v>
      </c>
      <c r="G168" s="4" t="s">
        <v>995</v>
      </c>
      <c r="H168" s="4" t="s">
        <v>996</v>
      </c>
      <c r="I168" s="4" t="s">
        <v>127</v>
      </c>
      <c r="J168" s="4" t="s">
        <v>347</v>
      </c>
      <c r="K168" s="4" t="s">
        <v>187</v>
      </c>
      <c r="L168" s="4" t="s">
        <v>997</v>
      </c>
      <c r="M168" s="24" t="s">
        <v>188</v>
      </c>
      <c r="N168" s="4" t="s">
        <v>189</v>
      </c>
      <c r="O168" s="4" t="s">
        <v>131</v>
      </c>
      <c r="P168" s="4" t="s">
        <v>118</v>
      </c>
      <c r="Q168" s="25" t="n">
        <v>179.99</v>
      </c>
      <c r="R168" s="25" t="n">
        <v>179.99</v>
      </c>
      <c r="S168" s="25" t="n">
        <v>97.26</v>
      </c>
      <c r="T168" s="26" t="n">
        <v>3</v>
      </c>
      <c r="U168" s="26" t="n">
        <v>1</v>
      </c>
      <c r="V168" s="26" t="n">
        <v>3</v>
      </c>
      <c r="W168" s="26"/>
      <c r="X168" s="27" t="n">
        <f aca="false">SUM(T168:W168)</f>
        <v>7</v>
      </c>
      <c r="Y168" s="28" t="n">
        <f aca="false">COUNT(T168:W168)</f>
        <v>3</v>
      </c>
      <c r="Z168" s="29" t="n">
        <f aca="false">R168*X168</f>
        <v>1259.93</v>
      </c>
      <c r="AA168" s="30" t="n">
        <v>46076</v>
      </c>
    </row>
    <row r="169" customFormat="false" ht="15" hidden="false" customHeight="true" outlineLevel="0" collapsed="false">
      <c r="A169" s="4" t="s">
        <v>998</v>
      </c>
      <c r="B169" s="4" t="s">
        <v>999</v>
      </c>
      <c r="C169" s="4" t="s">
        <v>891</v>
      </c>
      <c r="D169" s="4" t="s">
        <v>643</v>
      </c>
      <c r="E169" s="4" t="s">
        <v>644</v>
      </c>
      <c r="F169" s="4" t="s">
        <v>645</v>
      </c>
      <c r="G169" s="4" t="s">
        <v>892</v>
      </c>
      <c r="H169" s="4" t="s">
        <v>893</v>
      </c>
      <c r="I169" s="4" t="s">
        <v>127</v>
      </c>
      <c r="J169" s="4" t="s">
        <v>280</v>
      </c>
      <c r="K169" s="4" t="s">
        <v>113</v>
      </c>
      <c r="L169" s="4" t="s">
        <v>894</v>
      </c>
      <c r="M169" s="24" t="s">
        <v>188</v>
      </c>
      <c r="N169" s="4" t="s">
        <v>116</v>
      </c>
      <c r="O169" s="4" t="s">
        <v>380</v>
      </c>
      <c r="P169" s="4" t="s">
        <v>118</v>
      </c>
      <c r="Q169" s="25" t="n">
        <v>149.99</v>
      </c>
      <c r="R169" s="25" t="n">
        <v>149.99</v>
      </c>
      <c r="S169" s="25" t="n">
        <v>76.29</v>
      </c>
      <c r="T169" s="26" t="n">
        <v>4</v>
      </c>
      <c r="U169" s="26" t="n">
        <v>4</v>
      </c>
      <c r="V169" s="26" t="n">
        <v>5</v>
      </c>
      <c r="W169" s="26" t="n">
        <v>1</v>
      </c>
      <c r="X169" s="27" t="n">
        <f aca="false">SUM(T169:W169)</f>
        <v>14</v>
      </c>
      <c r="Y169" s="28" t="n">
        <f aca="false">COUNT(T169:W169)</f>
        <v>4</v>
      </c>
      <c r="Z169" s="29" t="n">
        <f aca="false">R169*X169</f>
        <v>2099.86</v>
      </c>
      <c r="AA169" s="30" t="n">
        <v>46230</v>
      </c>
    </row>
    <row r="170" customFormat="false" ht="15" hidden="false" customHeight="true" outlineLevel="0" collapsed="false">
      <c r="A170" s="4" t="s">
        <v>1000</v>
      </c>
      <c r="B170" s="4" t="s">
        <v>1001</v>
      </c>
      <c r="C170" s="4" t="s">
        <v>302</v>
      </c>
      <c r="D170" s="4" t="s">
        <v>122</v>
      </c>
      <c r="E170" s="4" t="s">
        <v>123</v>
      </c>
      <c r="F170" s="4" t="s">
        <v>303</v>
      </c>
      <c r="G170" s="4" t="s">
        <v>304</v>
      </c>
      <c r="H170" s="4" t="s">
        <v>305</v>
      </c>
      <c r="I170" s="4" t="s">
        <v>127</v>
      </c>
      <c r="J170" s="4" t="s">
        <v>306</v>
      </c>
      <c r="K170" s="4" t="s">
        <v>187</v>
      </c>
      <c r="L170" s="4" t="s">
        <v>307</v>
      </c>
      <c r="M170" s="24" t="s">
        <v>291</v>
      </c>
      <c r="N170" s="4" t="s">
        <v>189</v>
      </c>
      <c r="O170" s="4" t="s">
        <v>165</v>
      </c>
      <c r="P170" s="4" t="s">
        <v>118</v>
      </c>
      <c r="Q170" s="25" t="n">
        <v>164.99</v>
      </c>
      <c r="R170" s="25" t="n">
        <v>164.99</v>
      </c>
      <c r="S170" s="25" t="n">
        <v>89.57</v>
      </c>
      <c r="T170" s="26" t="n">
        <v>3</v>
      </c>
      <c r="U170" s="26" t="n">
        <v>6</v>
      </c>
      <c r="V170" s="26" t="n">
        <v>4</v>
      </c>
      <c r="W170" s="26" t="n">
        <v>0</v>
      </c>
      <c r="X170" s="27" t="n">
        <f aca="false">SUM(T170:W170)</f>
        <v>13</v>
      </c>
      <c r="Y170" s="28" t="n">
        <f aca="false">COUNT(T170:W170)</f>
        <v>4</v>
      </c>
      <c r="Z170" s="29" t="n">
        <f aca="false">R170*X170</f>
        <v>2144.87</v>
      </c>
      <c r="AA170" s="30" t="n">
        <v>46136</v>
      </c>
    </row>
    <row r="171" customFormat="false" ht="15" hidden="false" customHeight="true" outlineLevel="0" collapsed="false">
      <c r="A171" s="4" t="s">
        <v>1002</v>
      </c>
      <c r="B171" s="4" t="s">
        <v>1003</v>
      </c>
      <c r="C171" s="4" t="s">
        <v>803</v>
      </c>
      <c r="D171" s="4" t="s">
        <v>193</v>
      </c>
      <c r="E171" s="4" t="s">
        <v>194</v>
      </c>
      <c r="F171" s="4" t="s">
        <v>804</v>
      </c>
      <c r="G171" s="4" t="s">
        <v>805</v>
      </c>
      <c r="H171" s="4" t="s">
        <v>806</v>
      </c>
      <c r="I171" s="4" t="s">
        <v>111</v>
      </c>
      <c r="J171" s="4" t="s">
        <v>198</v>
      </c>
      <c r="K171" s="4" t="s">
        <v>209</v>
      </c>
      <c r="L171" s="4" t="s">
        <v>807</v>
      </c>
      <c r="M171" s="24" t="s">
        <v>211</v>
      </c>
      <c r="N171" s="4" t="s">
        <v>153</v>
      </c>
      <c r="O171" s="4" t="s">
        <v>117</v>
      </c>
      <c r="P171" s="4" t="s">
        <v>202</v>
      </c>
      <c r="Q171" s="25" t="n">
        <v>64.99</v>
      </c>
      <c r="R171" s="25" t="n">
        <v>64.99</v>
      </c>
      <c r="S171" s="25" t="n">
        <v>34</v>
      </c>
      <c r="T171" s="26" t="n">
        <v>3</v>
      </c>
      <c r="U171" s="26" t="n">
        <v>4</v>
      </c>
      <c r="V171" s="26" t="n">
        <v>4</v>
      </c>
      <c r="W171" s="26"/>
      <c r="X171" s="27" t="n">
        <f aca="false">SUM(T171:W171)</f>
        <v>11</v>
      </c>
      <c r="Y171" s="28" t="n">
        <f aca="false">COUNT(T171:W171)</f>
        <v>3</v>
      </c>
      <c r="Z171" s="29" t="n">
        <f aca="false">R171*X171</f>
        <v>714.89</v>
      </c>
      <c r="AA171" s="30" t="n">
        <v>46133</v>
      </c>
    </row>
    <row r="172" customFormat="false" ht="15" hidden="false" customHeight="true" outlineLevel="0" collapsed="false">
      <c r="A172" s="4" t="s">
        <v>1004</v>
      </c>
      <c r="B172" s="4" t="s">
        <v>1005</v>
      </c>
      <c r="C172" s="4" t="s">
        <v>242</v>
      </c>
      <c r="D172" s="4" t="s">
        <v>135</v>
      </c>
      <c r="E172" s="4" t="s">
        <v>136</v>
      </c>
      <c r="F172" s="4" t="s">
        <v>243</v>
      </c>
      <c r="G172" s="4" t="s">
        <v>244</v>
      </c>
      <c r="H172" s="4" t="s">
        <v>245</v>
      </c>
      <c r="I172" s="4" t="s">
        <v>161</v>
      </c>
      <c r="J172" s="4" t="s">
        <v>246</v>
      </c>
      <c r="K172" s="4" t="s">
        <v>113</v>
      </c>
      <c r="L172" s="4" t="s">
        <v>247</v>
      </c>
      <c r="M172" s="24" t="s">
        <v>211</v>
      </c>
      <c r="N172" s="4" t="s">
        <v>116</v>
      </c>
      <c r="O172" s="4" t="s">
        <v>238</v>
      </c>
      <c r="P172" s="4" t="s">
        <v>239</v>
      </c>
      <c r="Q172" s="25" t="n">
        <v>149.99</v>
      </c>
      <c r="R172" s="25" t="n">
        <v>89.99</v>
      </c>
      <c r="S172" s="25" t="n">
        <v>74.84</v>
      </c>
      <c r="T172" s="26"/>
      <c r="U172" s="26" t="n">
        <v>1</v>
      </c>
      <c r="V172" s="26" t="n">
        <v>3</v>
      </c>
      <c r="W172" s="26"/>
      <c r="X172" s="27" t="n">
        <f aca="false">SUM(T172:W172)</f>
        <v>4</v>
      </c>
      <c r="Y172" s="28" t="n">
        <f aca="false">COUNT(T172:W172)</f>
        <v>2</v>
      </c>
      <c r="Z172" s="29" t="n">
        <f aca="false">R172*X172</f>
        <v>359.96</v>
      </c>
      <c r="AA172" s="30" t="n">
        <v>46176</v>
      </c>
    </row>
    <row r="173" customFormat="false" ht="15" hidden="false" customHeight="true" outlineLevel="0" collapsed="false">
      <c r="A173" s="4" t="s">
        <v>1006</v>
      </c>
      <c r="B173" s="4" t="s">
        <v>1007</v>
      </c>
      <c r="C173" s="4" t="s">
        <v>525</v>
      </c>
      <c r="D173" s="4" t="s">
        <v>122</v>
      </c>
      <c r="E173" s="4" t="s">
        <v>123</v>
      </c>
      <c r="F173" s="4" t="s">
        <v>526</v>
      </c>
      <c r="G173" s="4" t="s">
        <v>527</v>
      </c>
      <c r="H173" s="4" t="s">
        <v>528</v>
      </c>
      <c r="I173" s="4" t="s">
        <v>111</v>
      </c>
      <c r="J173" s="4" t="s">
        <v>112</v>
      </c>
      <c r="K173" s="4" t="s">
        <v>113</v>
      </c>
      <c r="L173" s="4" t="s">
        <v>348</v>
      </c>
      <c r="M173" s="24" t="s">
        <v>164</v>
      </c>
      <c r="N173" s="4" t="s">
        <v>116</v>
      </c>
      <c r="O173" s="4" t="s">
        <v>238</v>
      </c>
      <c r="P173" s="4" t="s">
        <v>239</v>
      </c>
      <c r="Q173" s="25" t="n">
        <v>34.99</v>
      </c>
      <c r="R173" s="25" t="n">
        <v>23.99</v>
      </c>
      <c r="S173" s="25" t="n">
        <v>19</v>
      </c>
      <c r="T173" s="26" t="n">
        <v>2</v>
      </c>
      <c r="U173" s="26" t="n">
        <v>0</v>
      </c>
      <c r="V173" s="26" t="n">
        <v>5</v>
      </c>
      <c r="W173" s="26" t="n">
        <v>0</v>
      </c>
      <c r="X173" s="27" t="n">
        <f aca="false">SUM(T173:W173)</f>
        <v>7</v>
      </c>
      <c r="Y173" s="28" t="n">
        <f aca="false">COUNT(T173:W173)</f>
        <v>4</v>
      </c>
      <c r="Z173" s="29" t="n">
        <f aca="false">R173*X173</f>
        <v>167.93</v>
      </c>
      <c r="AA173" s="30" t="n">
        <v>46032</v>
      </c>
    </row>
    <row r="174" customFormat="false" ht="15" hidden="false" customHeight="true" outlineLevel="0" collapsed="false">
      <c r="A174" s="4" t="s">
        <v>1008</v>
      </c>
      <c r="B174" s="4" t="s">
        <v>1009</v>
      </c>
      <c r="C174" s="4" t="s">
        <v>821</v>
      </c>
      <c r="D174" s="4" t="s">
        <v>331</v>
      </c>
      <c r="E174" s="4" t="s">
        <v>332</v>
      </c>
      <c r="F174" s="4" t="s">
        <v>822</v>
      </c>
      <c r="G174" s="4" t="s">
        <v>823</v>
      </c>
      <c r="H174" s="4" t="s">
        <v>824</v>
      </c>
      <c r="I174" s="4" t="s">
        <v>161</v>
      </c>
      <c r="J174" s="4" t="s">
        <v>336</v>
      </c>
      <c r="K174" s="4" t="s">
        <v>209</v>
      </c>
      <c r="L174" s="4" t="s">
        <v>825</v>
      </c>
      <c r="M174" s="24" t="s">
        <v>338</v>
      </c>
      <c r="N174" s="4" t="s">
        <v>153</v>
      </c>
      <c r="O174" s="4" t="s">
        <v>131</v>
      </c>
      <c r="P174" s="4" t="s">
        <v>239</v>
      </c>
      <c r="Q174" s="25" t="n">
        <v>149.99</v>
      </c>
      <c r="R174" s="25" t="n">
        <v>104.99</v>
      </c>
      <c r="S174" s="25" t="n">
        <v>83.5</v>
      </c>
      <c r="T174" s="26" t="n">
        <v>4</v>
      </c>
      <c r="U174" s="26"/>
      <c r="V174" s="26" t="n">
        <v>6</v>
      </c>
      <c r="W174" s="26" t="n">
        <v>3</v>
      </c>
      <c r="X174" s="27" t="n">
        <f aca="false">SUM(T174:W174)</f>
        <v>13</v>
      </c>
      <c r="Y174" s="28" t="n">
        <f aca="false">COUNT(T174:W174)</f>
        <v>3</v>
      </c>
      <c r="Z174" s="29" t="n">
        <f aca="false">R174*X174</f>
        <v>1364.87</v>
      </c>
      <c r="AA174" s="30" t="n">
        <v>46110</v>
      </c>
    </row>
    <row r="175" customFormat="false" ht="15" hidden="false" customHeight="true" outlineLevel="0" collapsed="false">
      <c r="A175" s="4" t="s">
        <v>1010</v>
      </c>
      <c r="B175" s="4" t="s">
        <v>1011</v>
      </c>
      <c r="C175" s="4" t="s">
        <v>867</v>
      </c>
      <c r="D175" s="4" t="s">
        <v>122</v>
      </c>
      <c r="E175" s="4" t="s">
        <v>123</v>
      </c>
      <c r="F175" s="4" t="s">
        <v>868</v>
      </c>
      <c r="G175" s="4" t="s">
        <v>869</v>
      </c>
      <c r="H175" s="4" t="s">
        <v>870</v>
      </c>
      <c r="I175" s="4" t="s">
        <v>771</v>
      </c>
      <c r="J175" s="4" t="s">
        <v>772</v>
      </c>
      <c r="K175" s="4" t="s">
        <v>113</v>
      </c>
      <c r="L175" s="4" t="s">
        <v>871</v>
      </c>
      <c r="M175" s="24" t="s">
        <v>258</v>
      </c>
      <c r="N175" s="4" t="s">
        <v>116</v>
      </c>
      <c r="O175" s="4" t="s">
        <v>380</v>
      </c>
      <c r="P175" s="4" t="s">
        <v>118</v>
      </c>
      <c r="Q175" s="25" t="n">
        <v>129.99</v>
      </c>
      <c r="R175" s="25" t="n">
        <v>129.99</v>
      </c>
      <c r="S175" s="25" t="n">
        <v>63.59</v>
      </c>
      <c r="T175" s="26" t="n">
        <v>3</v>
      </c>
      <c r="U175" s="26"/>
      <c r="V175" s="26" t="n">
        <v>4</v>
      </c>
      <c r="W175" s="26"/>
      <c r="X175" s="27" t="n">
        <f aca="false">SUM(T175:W175)</f>
        <v>7</v>
      </c>
      <c r="Y175" s="28" t="n">
        <f aca="false">COUNT(T175:W175)</f>
        <v>2</v>
      </c>
      <c r="Z175" s="29" t="n">
        <f aca="false">R175*X175</f>
        <v>909.93</v>
      </c>
      <c r="AA175" s="30" t="n">
        <v>46054</v>
      </c>
    </row>
    <row r="176" customFormat="false" ht="15" hidden="false" customHeight="true" outlineLevel="0" collapsed="false">
      <c r="A176" s="4" t="s">
        <v>1012</v>
      </c>
      <c r="B176" s="4" t="s">
        <v>1013</v>
      </c>
      <c r="C176" s="4" t="s">
        <v>1014</v>
      </c>
      <c r="D176" s="4" t="s">
        <v>122</v>
      </c>
      <c r="E176" s="4" t="s">
        <v>285</v>
      </c>
      <c r="F176" s="4" t="s">
        <v>1015</v>
      </c>
      <c r="G176" s="4" t="s">
        <v>1016</v>
      </c>
      <c r="H176" s="4" t="s">
        <v>1017</v>
      </c>
      <c r="I176" s="4" t="s">
        <v>161</v>
      </c>
      <c r="J176" s="4" t="s">
        <v>289</v>
      </c>
      <c r="K176" s="4" t="s">
        <v>113</v>
      </c>
      <c r="L176" s="4" t="s">
        <v>1018</v>
      </c>
      <c r="M176" s="24" t="s">
        <v>356</v>
      </c>
      <c r="N176" s="4" t="s">
        <v>116</v>
      </c>
      <c r="O176" s="4" t="s">
        <v>117</v>
      </c>
      <c r="P176" s="4" t="s">
        <v>202</v>
      </c>
      <c r="Q176" s="25" t="n">
        <v>234.99</v>
      </c>
      <c r="R176" s="25" t="n">
        <v>234.99</v>
      </c>
      <c r="S176" s="25" t="n">
        <v>116.5</v>
      </c>
      <c r="T176" s="26" t="n">
        <v>5</v>
      </c>
      <c r="U176" s="26"/>
      <c r="V176" s="26" t="n">
        <v>2</v>
      </c>
      <c r="W176" s="26" t="n">
        <v>1</v>
      </c>
      <c r="X176" s="27" t="n">
        <f aca="false">SUM(T176:W176)</f>
        <v>8</v>
      </c>
      <c r="Y176" s="28" t="n">
        <f aca="false">COUNT(T176:W176)</f>
        <v>3</v>
      </c>
      <c r="Z176" s="29" t="n">
        <f aca="false">R176*X176</f>
        <v>1879.92</v>
      </c>
      <c r="AA176" s="30" t="n">
        <v>46095</v>
      </c>
    </row>
    <row r="177" customFormat="false" ht="15" hidden="false" customHeight="true" outlineLevel="0" collapsed="false">
      <c r="A177" s="4" t="s">
        <v>1019</v>
      </c>
      <c r="B177" s="4" t="s">
        <v>1020</v>
      </c>
      <c r="C177" s="4" t="s">
        <v>1021</v>
      </c>
      <c r="D177" s="4" t="s">
        <v>106</v>
      </c>
      <c r="E177" s="4" t="s">
        <v>157</v>
      </c>
      <c r="F177" s="4" t="s">
        <v>1022</v>
      </c>
      <c r="G177" s="4" t="s">
        <v>1023</v>
      </c>
      <c r="H177" s="4" t="s">
        <v>1024</v>
      </c>
      <c r="I177" s="4" t="s">
        <v>161</v>
      </c>
      <c r="J177" s="4" t="s">
        <v>235</v>
      </c>
      <c r="K177" s="4" t="s">
        <v>187</v>
      </c>
      <c r="L177" s="4" t="s">
        <v>379</v>
      </c>
      <c r="M177" s="24" t="s">
        <v>164</v>
      </c>
      <c r="N177" s="4" t="s">
        <v>189</v>
      </c>
      <c r="O177" s="4" t="s">
        <v>238</v>
      </c>
      <c r="P177" s="4" t="s">
        <v>118</v>
      </c>
      <c r="Q177" s="25" t="n">
        <v>99.99</v>
      </c>
      <c r="R177" s="25" t="n">
        <v>99.99</v>
      </c>
      <c r="S177" s="25" t="n">
        <v>50.01</v>
      </c>
      <c r="T177" s="26" t="n">
        <v>2</v>
      </c>
      <c r="U177" s="26" t="n">
        <v>2</v>
      </c>
      <c r="V177" s="26" t="n">
        <v>4</v>
      </c>
      <c r="W177" s="26"/>
      <c r="X177" s="27" t="n">
        <f aca="false">SUM(T177:W177)</f>
        <v>8</v>
      </c>
      <c r="Y177" s="28" t="n">
        <f aca="false">COUNT(T177:W177)</f>
        <v>3</v>
      </c>
      <c r="Z177" s="29" t="n">
        <f aca="false">R177*X177</f>
        <v>799.92</v>
      </c>
      <c r="AA177" s="30" t="n">
        <v>46163</v>
      </c>
    </row>
    <row r="178" customFormat="false" ht="15" hidden="false" customHeight="true" outlineLevel="0" collapsed="false">
      <c r="A178" s="4" t="s">
        <v>1025</v>
      </c>
      <c r="B178" s="4" t="s">
        <v>1026</v>
      </c>
      <c r="C178" s="4" t="s">
        <v>435</v>
      </c>
      <c r="D178" s="4" t="s">
        <v>436</v>
      </c>
      <c r="E178" s="4" t="s">
        <v>437</v>
      </c>
      <c r="F178" s="4" t="s">
        <v>438</v>
      </c>
      <c r="G178" s="4" t="s">
        <v>439</v>
      </c>
      <c r="H178" s="4" t="s">
        <v>440</v>
      </c>
      <c r="I178" s="4" t="s">
        <v>111</v>
      </c>
      <c r="J178" s="4" t="s">
        <v>111</v>
      </c>
      <c r="K178" s="4" t="s">
        <v>209</v>
      </c>
      <c r="L178" s="4" t="s">
        <v>441</v>
      </c>
      <c r="M178" s="24" t="s">
        <v>211</v>
      </c>
      <c r="N178" s="4" t="s">
        <v>153</v>
      </c>
      <c r="O178" s="4" t="s">
        <v>238</v>
      </c>
      <c r="P178" s="4" t="s">
        <v>118</v>
      </c>
      <c r="Q178" s="25" t="n">
        <v>54.99</v>
      </c>
      <c r="R178" s="25" t="n">
        <v>54.99</v>
      </c>
      <c r="S178" s="25" t="n">
        <v>26.61</v>
      </c>
      <c r="T178" s="26" t="n">
        <v>1</v>
      </c>
      <c r="U178" s="26"/>
      <c r="V178" s="26" t="n">
        <v>5</v>
      </c>
      <c r="W178" s="26"/>
      <c r="X178" s="27" t="n">
        <f aca="false">SUM(T178:W178)</f>
        <v>6</v>
      </c>
      <c r="Y178" s="28" t="n">
        <f aca="false">COUNT(T178:W178)</f>
        <v>2</v>
      </c>
      <c r="Z178" s="29" t="n">
        <f aca="false">R178*X178</f>
        <v>329.94</v>
      </c>
      <c r="AA178" s="30" t="n">
        <v>46067</v>
      </c>
    </row>
    <row r="179" customFormat="false" ht="15" hidden="false" customHeight="true" outlineLevel="0" collapsed="false">
      <c r="A179" s="4" t="s">
        <v>1027</v>
      </c>
      <c r="B179" s="4" t="s">
        <v>1028</v>
      </c>
      <c r="C179" s="4" t="s">
        <v>284</v>
      </c>
      <c r="D179" s="4" t="s">
        <v>122</v>
      </c>
      <c r="E179" s="4" t="s">
        <v>285</v>
      </c>
      <c r="F179" s="4" t="s">
        <v>286</v>
      </c>
      <c r="G179" s="4" t="s">
        <v>287</v>
      </c>
      <c r="H179" s="4" t="s">
        <v>288</v>
      </c>
      <c r="I179" s="4" t="s">
        <v>161</v>
      </c>
      <c r="J179" s="4" t="s">
        <v>289</v>
      </c>
      <c r="K179" s="4" t="s">
        <v>187</v>
      </c>
      <c r="L179" s="4" t="s">
        <v>290</v>
      </c>
      <c r="M179" s="24" t="s">
        <v>308</v>
      </c>
      <c r="N179" s="4" t="s">
        <v>189</v>
      </c>
      <c r="O179" s="4" t="s">
        <v>165</v>
      </c>
      <c r="P179" s="4" t="s">
        <v>239</v>
      </c>
      <c r="Q179" s="25" t="n">
        <v>129.99</v>
      </c>
      <c r="R179" s="25" t="n">
        <v>77.99</v>
      </c>
      <c r="S179" s="25" t="n">
        <v>70.91</v>
      </c>
      <c r="T179" s="26"/>
      <c r="U179" s="26"/>
      <c r="V179" s="26" t="n">
        <v>4</v>
      </c>
      <c r="W179" s="26"/>
      <c r="X179" s="27" t="n">
        <f aca="false">SUM(T179:W179)</f>
        <v>4</v>
      </c>
      <c r="Y179" s="28" t="n">
        <f aca="false">COUNT(T179:W179)</f>
        <v>1</v>
      </c>
      <c r="Z179" s="29" t="n">
        <f aca="false">R179*X179</f>
        <v>311.96</v>
      </c>
      <c r="AA179" s="30" t="n">
        <v>46205</v>
      </c>
    </row>
    <row r="180" customFormat="false" ht="15" hidden="false" customHeight="true" outlineLevel="0" collapsed="false">
      <c r="A180" s="4" t="s">
        <v>1029</v>
      </c>
      <c r="B180" s="4" t="s">
        <v>1030</v>
      </c>
      <c r="C180" s="4" t="s">
        <v>214</v>
      </c>
      <c r="D180" s="4" t="s">
        <v>122</v>
      </c>
      <c r="E180" s="4" t="s">
        <v>123</v>
      </c>
      <c r="F180" s="4" t="s">
        <v>215</v>
      </c>
      <c r="G180" s="4" t="s">
        <v>216</v>
      </c>
      <c r="H180" s="4" t="s">
        <v>217</v>
      </c>
      <c r="I180" s="4" t="s">
        <v>161</v>
      </c>
      <c r="J180" s="4" t="s">
        <v>218</v>
      </c>
      <c r="K180" s="4" t="s">
        <v>113</v>
      </c>
      <c r="L180" s="4" t="s">
        <v>219</v>
      </c>
      <c r="M180" s="24" t="s">
        <v>327</v>
      </c>
      <c r="N180" s="4" t="s">
        <v>116</v>
      </c>
      <c r="O180" s="4" t="s">
        <v>165</v>
      </c>
      <c r="P180" s="4" t="s">
        <v>118</v>
      </c>
      <c r="Q180" s="25" t="n">
        <v>169.99</v>
      </c>
      <c r="R180" s="25" t="n">
        <v>169.99</v>
      </c>
      <c r="S180" s="25" t="n">
        <v>82.49</v>
      </c>
      <c r="T180" s="26"/>
      <c r="U180" s="26"/>
      <c r="V180" s="26" t="n">
        <v>0</v>
      </c>
      <c r="W180" s="26"/>
      <c r="X180" s="27" t="n">
        <f aca="false">SUM(T180:W180)</f>
        <v>0</v>
      </c>
      <c r="Y180" s="28" t="n">
        <f aca="false">COUNT(T180:W180)</f>
        <v>1</v>
      </c>
      <c r="Z180" s="29" t="n">
        <f aca="false">R180*X180</f>
        <v>0</v>
      </c>
      <c r="AA180" s="30" t="n">
        <v>46042</v>
      </c>
    </row>
    <row r="181" customFormat="false" ht="15" hidden="false" customHeight="true" outlineLevel="0" collapsed="false">
      <c r="A181" s="4" t="s">
        <v>1031</v>
      </c>
      <c r="B181" s="4" t="s">
        <v>1032</v>
      </c>
      <c r="C181" s="4" t="s">
        <v>445</v>
      </c>
      <c r="D181" s="4" t="s">
        <v>122</v>
      </c>
      <c r="E181" s="4" t="s">
        <v>285</v>
      </c>
      <c r="F181" s="4" t="s">
        <v>446</v>
      </c>
      <c r="G181" s="4" t="s">
        <v>447</v>
      </c>
      <c r="H181" s="4" t="s">
        <v>448</v>
      </c>
      <c r="I181" s="4" t="s">
        <v>161</v>
      </c>
      <c r="J181" s="4" t="s">
        <v>289</v>
      </c>
      <c r="K181" s="4" t="s">
        <v>150</v>
      </c>
      <c r="L181" s="4" t="s">
        <v>449</v>
      </c>
      <c r="M181" s="24" t="s">
        <v>749</v>
      </c>
      <c r="N181" s="4" t="s">
        <v>153</v>
      </c>
      <c r="O181" s="4" t="s">
        <v>117</v>
      </c>
      <c r="P181" s="4" t="s">
        <v>118</v>
      </c>
      <c r="Q181" s="25" t="n">
        <v>154.99</v>
      </c>
      <c r="R181" s="25" t="n">
        <v>154.99</v>
      </c>
      <c r="S181" s="25" t="n">
        <v>85.71</v>
      </c>
      <c r="T181" s="26" t="n">
        <v>4</v>
      </c>
      <c r="U181" s="26"/>
      <c r="V181" s="26" t="n">
        <v>4</v>
      </c>
      <c r="W181" s="26" t="n">
        <v>2</v>
      </c>
      <c r="X181" s="27" t="n">
        <f aca="false">SUM(T181:W181)</f>
        <v>10</v>
      </c>
      <c r="Y181" s="28" t="n">
        <f aca="false">COUNT(T181:W181)</f>
        <v>3</v>
      </c>
      <c r="Z181" s="29" t="n">
        <f aca="false">R181*X181</f>
        <v>1549.9</v>
      </c>
      <c r="AA181" s="30" t="n">
        <v>46222</v>
      </c>
    </row>
    <row r="182" customFormat="false" ht="15" hidden="false" customHeight="true" outlineLevel="0" collapsed="false">
      <c r="A182" s="4" t="s">
        <v>1033</v>
      </c>
      <c r="B182" s="4" t="s">
        <v>1034</v>
      </c>
      <c r="C182" s="4" t="s">
        <v>320</v>
      </c>
      <c r="D182" s="4" t="s">
        <v>181</v>
      </c>
      <c r="E182" s="4" t="s">
        <v>321</v>
      </c>
      <c r="F182" s="4" t="s">
        <v>322</v>
      </c>
      <c r="G182" s="4" t="s">
        <v>323</v>
      </c>
      <c r="H182" s="4" t="s">
        <v>324</v>
      </c>
      <c r="I182" s="4" t="s">
        <v>161</v>
      </c>
      <c r="J182" s="4" t="s">
        <v>325</v>
      </c>
      <c r="K182" s="4" t="s">
        <v>113</v>
      </c>
      <c r="L182" s="4" t="s">
        <v>326</v>
      </c>
      <c r="M182" s="24" t="s">
        <v>188</v>
      </c>
      <c r="N182" s="4" t="s">
        <v>116</v>
      </c>
      <c r="O182" s="4" t="s">
        <v>131</v>
      </c>
      <c r="P182" s="4" t="s">
        <v>118</v>
      </c>
      <c r="Q182" s="25" t="n">
        <v>209.99</v>
      </c>
      <c r="R182" s="25" t="n">
        <v>209.99</v>
      </c>
      <c r="S182" s="25" t="n">
        <v>110.54</v>
      </c>
      <c r="T182" s="26" t="n">
        <v>2</v>
      </c>
      <c r="U182" s="26"/>
      <c r="V182" s="26" t="n">
        <v>3</v>
      </c>
      <c r="W182" s="26"/>
      <c r="X182" s="27" t="n">
        <f aca="false">SUM(T182:W182)</f>
        <v>5</v>
      </c>
      <c r="Y182" s="28" t="n">
        <f aca="false">COUNT(T182:W182)</f>
        <v>2</v>
      </c>
      <c r="Z182" s="29" t="n">
        <f aca="false">R182*X182</f>
        <v>1049.95</v>
      </c>
      <c r="AA182" s="30" t="n">
        <v>46048</v>
      </c>
    </row>
    <row r="183" customFormat="false" ht="15" hidden="false" customHeight="true" outlineLevel="0" collapsed="false">
      <c r="A183" s="4" t="s">
        <v>1035</v>
      </c>
      <c r="B183" s="4" t="s">
        <v>1036</v>
      </c>
      <c r="C183" s="4" t="s">
        <v>453</v>
      </c>
      <c r="D183" s="4" t="s">
        <v>251</v>
      </c>
      <c r="E183" s="4" t="s">
        <v>252</v>
      </c>
      <c r="F183" s="4" t="s">
        <v>454</v>
      </c>
      <c r="G183" s="4" t="s">
        <v>455</v>
      </c>
      <c r="H183" s="4" t="s">
        <v>456</v>
      </c>
      <c r="I183" s="4" t="s">
        <v>161</v>
      </c>
      <c r="J183" s="4" t="s">
        <v>235</v>
      </c>
      <c r="K183" s="4" t="s">
        <v>199</v>
      </c>
      <c r="L183" s="4" t="s">
        <v>457</v>
      </c>
      <c r="M183" s="24" t="s">
        <v>633</v>
      </c>
      <c r="N183" s="4" t="s">
        <v>153</v>
      </c>
      <c r="O183" s="4" t="s">
        <v>380</v>
      </c>
      <c r="P183" s="4" t="s">
        <v>239</v>
      </c>
      <c r="Q183" s="25" t="n">
        <v>44.99</v>
      </c>
      <c r="R183" s="25" t="n">
        <v>33.99</v>
      </c>
      <c r="S183" s="25" t="n">
        <v>24.11</v>
      </c>
      <c r="T183" s="26"/>
      <c r="U183" s="26"/>
      <c r="V183" s="26" t="n">
        <v>2</v>
      </c>
      <c r="W183" s="26"/>
      <c r="X183" s="27" t="n">
        <f aca="false">SUM(T183:W183)</f>
        <v>2</v>
      </c>
      <c r="Y183" s="28" t="n">
        <f aca="false">COUNT(T183:W183)</f>
        <v>1</v>
      </c>
      <c r="Z183" s="29" t="n">
        <f aca="false">R183*X183</f>
        <v>67.98</v>
      </c>
      <c r="AA183" s="30" t="n">
        <v>46029</v>
      </c>
    </row>
    <row r="184" customFormat="false" ht="15" hidden="false" customHeight="true" outlineLevel="0" collapsed="false">
      <c r="A184" s="4" t="s">
        <v>1037</v>
      </c>
      <c r="B184" s="4" t="s">
        <v>1038</v>
      </c>
      <c r="C184" s="4" t="s">
        <v>396</v>
      </c>
      <c r="D184" s="4" t="s">
        <v>106</v>
      </c>
      <c r="E184" s="4" t="s">
        <v>107</v>
      </c>
      <c r="F184" s="4" t="s">
        <v>397</v>
      </c>
      <c r="G184" s="4" t="s">
        <v>398</v>
      </c>
      <c r="H184" s="4" t="s">
        <v>399</v>
      </c>
      <c r="I184" s="4" t="s">
        <v>161</v>
      </c>
      <c r="J184" s="4" t="s">
        <v>235</v>
      </c>
      <c r="K184" s="4" t="s">
        <v>199</v>
      </c>
      <c r="L184" s="4" t="s">
        <v>400</v>
      </c>
      <c r="M184" s="24" t="s">
        <v>201</v>
      </c>
      <c r="N184" s="4" t="s">
        <v>153</v>
      </c>
      <c r="O184" s="4" t="s">
        <v>165</v>
      </c>
      <c r="P184" s="4" t="s">
        <v>118</v>
      </c>
      <c r="Q184" s="25" t="n">
        <v>49.99</v>
      </c>
      <c r="R184" s="25" t="n">
        <v>49.99</v>
      </c>
      <c r="S184" s="25" t="n">
        <v>24.93</v>
      </c>
      <c r="T184" s="26" t="n">
        <v>0</v>
      </c>
      <c r="U184" s="26" t="n">
        <v>0</v>
      </c>
      <c r="V184" s="26" t="n">
        <v>2</v>
      </c>
      <c r="W184" s="26" t="n">
        <v>3</v>
      </c>
      <c r="X184" s="27" t="n">
        <f aca="false">SUM(T184:W184)</f>
        <v>5</v>
      </c>
      <c r="Y184" s="28" t="n">
        <f aca="false">COUNT(T184:W184)</f>
        <v>4</v>
      </c>
      <c r="Z184" s="29" t="n">
        <f aca="false">R184*X184</f>
        <v>249.95</v>
      </c>
      <c r="AA184" s="30" t="n">
        <v>46025</v>
      </c>
    </row>
    <row r="185" customFormat="false" ht="15" hidden="false" customHeight="true" outlineLevel="0" collapsed="false">
      <c r="A185" s="4" t="s">
        <v>1039</v>
      </c>
      <c r="B185" s="4" t="s">
        <v>1040</v>
      </c>
      <c r="C185" s="4" t="s">
        <v>897</v>
      </c>
      <c r="D185" s="4" t="s">
        <v>475</v>
      </c>
      <c r="E185" s="4" t="s">
        <v>476</v>
      </c>
      <c r="F185" s="4" t="s">
        <v>898</v>
      </c>
      <c r="G185" s="4" t="s">
        <v>899</v>
      </c>
      <c r="H185" s="4" t="s">
        <v>900</v>
      </c>
      <c r="I185" s="4" t="s">
        <v>161</v>
      </c>
      <c r="J185" s="4" t="s">
        <v>186</v>
      </c>
      <c r="K185" s="4" t="s">
        <v>209</v>
      </c>
      <c r="L185" s="4" t="s">
        <v>901</v>
      </c>
      <c r="M185" s="24" t="s">
        <v>538</v>
      </c>
      <c r="N185" s="4" t="s">
        <v>153</v>
      </c>
      <c r="O185" s="4" t="s">
        <v>131</v>
      </c>
      <c r="P185" s="4" t="s">
        <v>118</v>
      </c>
      <c r="Q185" s="25" t="n">
        <v>89.99</v>
      </c>
      <c r="R185" s="25" t="n">
        <v>89.99</v>
      </c>
      <c r="S185" s="25" t="n">
        <v>44.27</v>
      </c>
      <c r="T185" s="26" t="n">
        <v>6</v>
      </c>
      <c r="U185" s="26" t="n">
        <v>0</v>
      </c>
      <c r="V185" s="26" t="n">
        <v>3</v>
      </c>
      <c r="W185" s="26" t="n">
        <v>0</v>
      </c>
      <c r="X185" s="27" t="n">
        <f aca="false">SUM(T185:W185)</f>
        <v>9</v>
      </c>
      <c r="Y185" s="28" t="n">
        <f aca="false">COUNT(T185:W185)</f>
        <v>4</v>
      </c>
      <c r="Z185" s="29" t="n">
        <f aca="false">R185*X185</f>
        <v>809.91</v>
      </c>
      <c r="AA185" s="30" t="n">
        <v>46193</v>
      </c>
    </row>
    <row r="186" customFormat="false" ht="15" hidden="false" customHeight="true" outlineLevel="0" collapsed="false">
      <c r="A186" s="4" t="s">
        <v>1041</v>
      </c>
      <c r="B186" s="4" t="s">
        <v>1042</v>
      </c>
      <c r="C186" s="4" t="s">
        <v>651</v>
      </c>
      <c r="D186" s="4" t="s">
        <v>122</v>
      </c>
      <c r="E186" s="4" t="s">
        <v>123</v>
      </c>
      <c r="F186" s="4" t="s">
        <v>652</v>
      </c>
      <c r="G186" s="4" t="s">
        <v>653</v>
      </c>
      <c r="H186" s="4" t="s">
        <v>654</v>
      </c>
      <c r="I186" s="4" t="s">
        <v>161</v>
      </c>
      <c r="J186" s="4" t="s">
        <v>246</v>
      </c>
      <c r="K186" s="4" t="s">
        <v>113</v>
      </c>
      <c r="L186" s="4" t="s">
        <v>655</v>
      </c>
      <c r="M186" s="24" t="s">
        <v>356</v>
      </c>
      <c r="N186" s="4" t="s">
        <v>116</v>
      </c>
      <c r="O186" s="4" t="s">
        <v>131</v>
      </c>
      <c r="P186" s="4" t="s">
        <v>118</v>
      </c>
      <c r="Q186" s="25" t="n">
        <v>189.99</v>
      </c>
      <c r="R186" s="25" t="n">
        <v>189.99</v>
      </c>
      <c r="S186" s="25" t="n">
        <v>101.4</v>
      </c>
      <c r="T186" s="26" t="n">
        <v>3</v>
      </c>
      <c r="U186" s="26"/>
      <c r="V186" s="26" t="n">
        <v>3</v>
      </c>
      <c r="W186" s="26"/>
      <c r="X186" s="27" t="n">
        <f aca="false">SUM(T186:W186)</f>
        <v>6</v>
      </c>
      <c r="Y186" s="28" t="n">
        <f aca="false">COUNT(T186:W186)</f>
        <v>2</v>
      </c>
      <c r="Z186" s="29" t="n">
        <f aca="false">R186*X186</f>
        <v>1139.94</v>
      </c>
      <c r="AA186" s="30" t="n">
        <v>46034</v>
      </c>
    </row>
    <row r="187" customFormat="false" ht="15" hidden="false" customHeight="true" outlineLevel="0" collapsed="false">
      <c r="A187" s="4" t="s">
        <v>1043</v>
      </c>
      <c r="B187" s="4" t="s">
        <v>1044</v>
      </c>
      <c r="C187" s="4" t="s">
        <v>1045</v>
      </c>
      <c r="D187" s="4" t="s">
        <v>122</v>
      </c>
      <c r="E187" s="4" t="s">
        <v>123</v>
      </c>
      <c r="F187" s="4" t="s">
        <v>1046</v>
      </c>
      <c r="G187" s="4" t="s">
        <v>1047</v>
      </c>
      <c r="H187" s="4" t="s">
        <v>1048</v>
      </c>
      <c r="I187" s="4" t="s">
        <v>161</v>
      </c>
      <c r="J187" s="4" t="s">
        <v>246</v>
      </c>
      <c r="K187" s="4" t="s">
        <v>113</v>
      </c>
      <c r="L187" s="4" t="s">
        <v>1049</v>
      </c>
      <c r="M187" s="24" t="s">
        <v>177</v>
      </c>
      <c r="N187" s="4" t="s">
        <v>116</v>
      </c>
      <c r="O187" s="4" t="s">
        <v>238</v>
      </c>
      <c r="P187" s="4" t="s">
        <v>239</v>
      </c>
      <c r="Q187" s="25" t="n">
        <v>139.99</v>
      </c>
      <c r="R187" s="25" t="n">
        <v>90.99</v>
      </c>
      <c r="S187" s="25" t="n">
        <v>70.14</v>
      </c>
      <c r="T187" s="26" t="n">
        <v>4</v>
      </c>
      <c r="U187" s="26" t="n">
        <v>0</v>
      </c>
      <c r="V187" s="26"/>
      <c r="W187" s="26"/>
      <c r="X187" s="27" t="n">
        <f aca="false">SUM(T187:W187)</f>
        <v>4</v>
      </c>
      <c r="Y187" s="28" t="n">
        <f aca="false">COUNT(T187:W187)</f>
        <v>2</v>
      </c>
      <c r="Z187" s="29" t="n">
        <f aca="false">R187*X187</f>
        <v>363.96</v>
      </c>
      <c r="AA187" s="30" t="n">
        <v>46049</v>
      </c>
    </row>
    <row r="188" customFormat="false" ht="15" hidden="false" customHeight="true" outlineLevel="0" collapsed="false">
      <c r="A188" s="4" t="s">
        <v>1050</v>
      </c>
      <c r="B188" s="4" t="s">
        <v>1051</v>
      </c>
      <c r="C188" s="4" t="s">
        <v>1052</v>
      </c>
      <c r="D188" s="4" t="s">
        <v>583</v>
      </c>
      <c r="E188" s="4" t="s">
        <v>584</v>
      </c>
      <c r="F188" s="4" t="s">
        <v>1053</v>
      </c>
      <c r="G188" s="4" t="s">
        <v>1054</v>
      </c>
      <c r="H188" s="4" t="s">
        <v>1055</v>
      </c>
      <c r="I188" s="4" t="s">
        <v>127</v>
      </c>
      <c r="J188" s="4" t="s">
        <v>128</v>
      </c>
      <c r="K188" s="4" t="s">
        <v>113</v>
      </c>
      <c r="L188" s="4" t="s">
        <v>1056</v>
      </c>
      <c r="M188" s="24" t="s">
        <v>141</v>
      </c>
      <c r="N188" s="4" t="s">
        <v>116</v>
      </c>
      <c r="O188" s="4" t="s">
        <v>131</v>
      </c>
      <c r="P188" s="4" t="s">
        <v>118</v>
      </c>
      <c r="Q188" s="25" t="n">
        <v>79.99</v>
      </c>
      <c r="R188" s="25" t="n">
        <v>79.99</v>
      </c>
      <c r="S188" s="25" t="n">
        <v>40.55</v>
      </c>
      <c r="T188" s="26" t="n">
        <v>0</v>
      </c>
      <c r="U188" s="26" t="n">
        <v>2</v>
      </c>
      <c r="V188" s="26" t="n">
        <v>4</v>
      </c>
      <c r="W188" s="26"/>
      <c r="X188" s="27" t="n">
        <f aca="false">SUM(T188:W188)</f>
        <v>6</v>
      </c>
      <c r="Y188" s="28" t="n">
        <f aca="false">COUNT(T188:W188)</f>
        <v>3</v>
      </c>
      <c r="Z188" s="29" t="n">
        <f aca="false">R188*X188</f>
        <v>479.94</v>
      </c>
      <c r="AA188" s="30" t="n">
        <v>46071</v>
      </c>
    </row>
    <row r="189" customFormat="false" ht="15" hidden="false" customHeight="true" outlineLevel="0" collapsed="false">
      <c r="A189" s="4" t="s">
        <v>1057</v>
      </c>
      <c r="B189" s="4" t="s">
        <v>1058</v>
      </c>
      <c r="C189" s="4" t="s">
        <v>737</v>
      </c>
      <c r="D189" s="4" t="s">
        <v>122</v>
      </c>
      <c r="E189" s="4" t="s">
        <v>123</v>
      </c>
      <c r="F189" s="4" t="s">
        <v>420</v>
      </c>
      <c r="G189" s="4" t="s">
        <v>738</v>
      </c>
      <c r="H189" s="4" t="s">
        <v>739</v>
      </c>
      <c r="I189" s="4" t="s">
        <v>161</v>
      </c>
      <c r="J189" s="4" t="s">
        <v>235</v>
      </c>
      <c r="K189" s="4" t="s">
        <v>187</v>
      </c>
      <c r="L189" s="4" t="s">
        <v>273</v>
      </c>
      <c r="M189" s="24" t="s">
        <v>188</v>
      </c>
      <c r="N189" s="4" t="s">
        <v>189</v>
      </c>
      <c r="O189" s="4" t="s">
        <v>117</v>
      </c>
      <c r="P189" s="4" t="s">
        <v>118</v>
      </c>
      <c r="Q189" s="25" t="n">
        <v>124.99</v>
      </c>
      <c r="R189" s="25" t="n">
        <v>124.99</v>
      </c>
      <c r="S189" s="25" t="n">
        <v>66.91</v>
      </c>
      <c r="T189" s="26" t="n">
        <v>3</v>
      </c>
      <c r="U189" s="26" t="n">
        <v>3</v>
      </c>
      <c r="V189" s="26" t="n">
        <v>6</v>
      </c>
      <c r="W189" s="26" t="n">
        <v>2</v>
      </c>
      <c r="X189" s="27" t="n">
        <f aca="false">SUM(T189:W189)</f>
        <v>14</v>
      </c>
      <c r="Y189" s="28" t="n">
        <f aca="false">COUNT(T189:W189)</f>
        <v>4</v>
      </c>
      <c r="Z189" s="29" t="n">
        <f aca="false">R189*X189</f>
        <v>1749.86</v>
      </c>
      <c r="AA189" s="30" t="n">
        <v>46204</v>
      </c>
    </row>
    <row r="190" customFormat="false" ht="15" hidden="false" customHeight="true" outlineLevel="0" collapsed="false">
      <c r="A190" s="4" t="s">
        <v>1059</v>
      </c>
      <c r="B190" s="4" t="s">
        <v>1060</v>
      </c>
      <c r="C190" s="4" t="s">
        <v>205</v>
      </c>
      <c r="D190" s="4" t="s">
        <v>181</v>
      </c>
      <c r="E190" s="4" t="s">
        <v>182</v>
      </c>
      <c r="F190" s="4" t="s">
        <v>206</v>
      </c>
      <c r="G190" s="4" t="s">
        <v>207</v>
      </c>
      <c r="H190" s="4" t="s">
        <v>208</v>
      </c>
      <c r="I190" s="4" t="s">
        <v>161</v>
      </c>
      <c r="J190" s="4" t="s">
        <v>186</v>
      </c>
      <c r="K190" s="4" t="s">
        <v>209</v>
      </c>
      <c r="L190" s="4" t="s">
        <v>210</v>
      </c>
      <c r="M190" s="24" t="s">
        <v>338</v>
      </c>
      <c r="N190" s="4" t="s">
        <v>153</v>
      </c>
      <c r="O190" s="4" t="s">
        <v>131</v>
      </c>
      <c r="P190" s="4" t="s">
        <v>118</v>
      </c>
      <c r="Q190" s="25" t="n">
        <v>69.99</v>
      </c>
      <c r="R190" s="25" t="n">
        <v>69.99</v>
      </c>
      <c r="S190" s="25" t="n">
        <v>37.84</v>
      </c>
      <c r="T190" s="26" t="n">
        <v>7</v>
      </c>
      <c r="U190" s="26" t="n">
        <v>0</v>
      </c>
      <c r="V190" s="26" t="n">
        <v>4</v>
      </c>
      <c r="W190" s="26" t="n">
        <v>2</v>
      </c>
      <c r="X190" s="27" t="n">
        <f aca="false">SUM(T190:W190)</f>
        <v>13</v>
      </c>
      <c r="Y190" s="28" t="n">
        <f aca="false">COUNT(T190:W190)</f>
        <v>4</v>
      </c>
      <c r="Z190" s="29" t="n">
        <f aca="false">R190*X190</f>
        <v>909.87</v>
      </c>
      <c r="AA190" s="30" t="n">
        <v>46194</v>
      </c>
    </row>
    <row r="191" customFormat="false" ht="15" hidden="false" customHeight="true" outlineLevel="0" collapsed="false">
      <c r="A191" s="4" t="s">
        <v>1061</v>
      </c>
      <c r="B191" s="4" t="s">
        <v>1062</v>
      </c>
      <c r="C191" s="4" t="s">
        <v>366</v>
      </c>
      <c r="D191" s="4" t="s">
        <v>251</v>
      </c>
      <c r="E191" s="4" t="s">
        <v>252</v>
      </c>
      <c r="F191" s="4" t="s">
        <v>367</v>
      </c>
      <c r="G191" s="4" t="s">
        <v>368</v>
      </c>
      <c r="H191" s="4" t="s">
        <v>369</v>
      </c>
      <c r="I191" s="4" t="s">
        <v>161</v>
      </c>
      <c r="J191" s="4" t="s">
        <v>162</v>
      </c>
      <c r="K191" s="4" t="s">
        <v>187</v>
      </c>
      <c r="L191" s="4" t="s">
        <v>370</v>
      </c>
      <c r="M191" s="24" t="s">
        <v>291</v>
      </c>
      <c r="N191" s="4" t="s">
        <v>189</v>
      </c>
      <c r="O191" s="4" t="s">
        <v>117</v>
      </c>
      <c r="P191" s="4" t="s">
        <v>118</v>
      </c>
      <c r="Q191" s="25" t="n">
        <v>89.99</v>
      </c>
      <c r="R191" s="25" t="n">
        <v>89.99</v>
      </c>
      <c r="S191" s="25" t="n">
        <v>45.15</v>
      </c>
      <c r="T191" s="26" t="n">
        <v>4</v>
      </c>
      <c r="U191" s="26"/>
      <c r="V191" s="26" t="n">
        <v>6</v>
      </c>
      <c r="W191" s="26" t="n">
        <v>0</v>
      </c>
      <c r="X191" s="27" t="n">
        <f aca="false">SUM(T191:W191)</f>
        <v>10</v>
      </c>
      <c r="Y191" s="28" t="n">
        <f aca="false">COUNT(T191:W191)</f>
        <v>3</v>
      </c>
      <c r="Z191" s="29" t="n">
        <f aca="false">R191*X191</f>
        <v>899.9</v>
      </c>
      <c r="AA191" s="30" t="n">
        <v>46128</v>
      </c>
    </row>
    <row r="192" customFormat="false" ht="15" hidden="false" customHeight="true" outlineLevel="0" collapsed="false">
      <c r="A192" s="4" t="s">
        <v>1063</v>
      </c>
      <c r="B192" s="4" t="s">
        <v>1064</v>
      </c>
      <c r="C192" s="4" t="s">
        <v>1065</v>
      </c>
      <c r="D192" s="4" t="s">
        <v>643</v>
      </c>
      <c r="E192" s="4" t="s">
        <v>644</v>
      </c>
      <c r="F192" s="4" t="s">
        <v>1066</v>
      </c>
      <c r="G192" s="4" t="s">
        <v>1067</v>
      </c>
      <c r="H192" s="4" t="s">
        <v>1068</v>
      </c>
      <c r="I192" s="4" t="s">
        <v>127</v>
      </c>
      <c r="J192" s="4" t="s">
        <v>306</v>
      </c>
      <c r="K192" s="4" t="s">
        <v>187</v>
      </c>
      <c r="L192" s="4" t="s">
        <v>1069</v>
      </c>
      <c r="M192" s="24" t="s">
        <v>177</v>
      </c>
      <c r="N192" s="4" t="s">
        <v>189</v>
      </c>
      <c r="O192" s="4" t="s">
        <v>131</v>
      </c>
      <c r="P192" s="4" t="s">
        <v>118</v>
      </c>
      <c r="Q192" s="25" t="n">
        <v>149.99</v>
      </c>
      <c r="R192" s="25" t="n">
        <v>149.99</v>
      </c>
      <c r="S192" s="25" t="n">
        <v>72.34</v>
      </c>
      <c r="T192" s="26" t="n">
        <v>5</v>
      </c>
      <c r="U192" s="26" t="n">
        <v>3</v>
      </c>
      <c r="V192" s="26" t="n">
        <v>3</v>
      </c>
      <c r="W192" s="26" t="n">
        <v>4</v>
      </c>
      <c r="X192" s="27" t="n">
        <f aca="false">SUM(T192:W192)</f>
        <v>15</v>
      </c>
      <c r="Y192" s="28" t="n">
        <f aca="false">COUNT(T192:W192)</f>
        <v>4</v>
      </c>
      <c r="Z192" s="29" t="n">
        <f aca="false">R192*X192</f>
        <v>2249.85</v>
      </c>
      <c r="AA192" s="30" t="n">
        <v>46157</v>
      </c>
    </row>
    <row r="193" customFormat="false" ht="15" hidden="false" customHeight="true" outlineLevel="0" collapsed="false">
      <c r="A193" s="4" t="s">
        <v>1070</v>
      </c>
      <c r="B193" s="4" t="s">
        <v>1071</v>
      </c>
      <c r="C193" s="4" t="s">
        <v>460</v>
      </c>
      <c r="D193" s="4" t="s">
        <v>181</v>
      </c>
      <c r="E193" s="4" t="s">
        <v>182</v>
      </c>
      <c r="F193" s="4" t="s">
        <v>461</v>
      </c>
      <c r="G193" s="4" t="s">
        <v>462</v>
      </c>
      <c r="H193" s="4" t="s">
        <v>463</v>
      </c>
      <c r="I193" s="4" t="s">
        <v>161</v>
      </c>
      <c r="J193" s="4" t="s">
        <v>186</v>
      </c>
      <c r="K193" s="4" t="s">
        <v>209</v>
      </c>
      <c r="L193" s="4" t="s">
        <v>464</v>
      </c>
      <c r="M193" s="24" t="s">
        <v>356</v>
      </c>
      <c r="N193" s="4" t="s">
        <v>153</v>
      </c>
      <c r="O193" s="4" t="s">
        <v>131</v>
      </c>
      <c r="P193" s="4" t="s">
        <v>118</v>
      </c>
      <c r="Q193" s="25" t="n">
        <v>84.99</v>
      </c>
      <c r="R193" s="25" t="n">
        <v>84.99</v>
      </c>
      <c r="S193" s="25" t="n">
        <v>42.89</v>
      </c>
      <c r="T193" s="26" t="n">
        <v>3</v>
      </c>
      <c r="U193" s="26"/>
      <c r="V193" s="26" t="n">
        <v>1</v>
      </c>
      <c r="W193" s="26" t="n">
        <v>1</v>
      </c>
      <c r="X193" s="27" t="n">
        <f aca="false">SUM(T193:W193)</f>
        <v>5</v>
      </c>
      <c r="Y193" s="28" t="n">
        <f aca="false">COUNT(T193:W193)</f>
        <v>3</v>
      </c>
      <c r="Z193" s="29" t="n">
        <f aca="false">R193*X193</f>
        <v>424.95</v>
      </c>
      <c r="AA193" s="30" t="n">
        <v>46173</v>
      </c>
    </row>
    <row r="194" customFormat="false" ht="15" hidden="false" customHeight="true" outlineLevel="0" collapsed="false">
      <c r="A194" s="4" t="s">
        <v>1072</v>
      </c>
      <c r="B194" s="4" t="s">
        <v>1073</v>
      </c>
      <c r="C194" s="4" t="s">
        <v>1074</v>
      </c>
      <c r="D194" s="4" t="s">
        <v>122</v>
      </c>
      <c r="E194" s="4" t="s">
        <v>123</v>
      </c>
      <c r="F194" s="4" t="s">
        <v>1075</v>
      </c>
      <c r="G194" s="4" t="s">
        <v>1076</v>
      </c>
      <c r="H194" s="4" t="s">
        <v>1077</v>
      </c>
      <c r="I194" s="4" t="s">
        <v>161</v>
      </c>
      <c r="J194" s="4" t="s">
        <v>246</v>
      </c>
      <c r="K194" s="4" t="s">
        <v>113</v>
      </c>
      <c r="L194" s="4" t="s">
        <v>1078</v>
      </c>
      <c r="M194" s="24" t="s">
        <v>211</v>
      </c>
      <c r="N194" s="4" t="s">
        <v>116</v>
      </c>
      <c r="O194" s="4" t="s">
        <v>165</v>
      </c>
      <c r="P194" s="4" t="s">
        <v>118</v>
      </c>
      <c r="Q194" s="25" t="n">
        <v>159.99</v>
      </c>
      <c r="R194" s="25" t="n">
        <v>159.99</v>
      </c>
      <c r="S194" s="25" t="n">
        <v>87.97</v>
      </c>
      <c r="T194" s="26" t="n">
        <v>5</v>
      </c>
      <c r="U194" s="26" t="n">
        <v>3</v>
      </c>
      <c r="V194" s="26" t="n">
        <v>2</v>
      </c>
      <c r="W194" s="26" t="n">
        <v>1</v>
      </c>
      <c r="X194" s="27" t="n">
        <f aca="false">SUM(T194:W194)</f>
        <v>11</v>
      </c>
      <c r="Y194" s="28" t="n">
        <f aca="false">COUNT(T194:W194)</f>
        <v>4</v>
      </c>
      <c r="Z194" s="29" t="n">
        <f aca="false">R194*X194</f>
        <v>1759.89</v>
      </c>
      <c r="AA194" s="30" t="n">
        <v>46226</v>
      </c>
    </row>
    <row r="195" customFormat="false" ht="15" hidden="false" customHeight="true" outlineLevel="0" collapsed="false">
      <c r="A195" s="4" t="s">
        <v>1079</v>
      </c>
      <c r="B195" s="4" t="s">
        <v>1080</v>
      </c>
      <c r="C195" s="4" t="s">
        <v>1081</v>
      </c>
      <c r="D195" s="4" t="s">
        <v>181</v>
      </c>
      <c r="E195" s="4" t="s">
        <v>182</v>
      </c>
      <c r="F195" s="4" t="s">
        <v>1082</v>
      </c>
      <c r="G195" s="4" t="s">
        <v>1083</v>
      </c>
      <c r="H195" s="4" t="s">
        <v>1084</v>
      </c>
      <c r="I195" s="4" t="s">
        <v>161</v>
      </c>
      <c r="J195" s="4" t="s">
        <v>186</v>
      </c>
      <c r="K195" s="4" t="s">
        <v>209</v>
      </c>
      <c r="L195" s="4" t="s">
        <v>348</v>
      </c>
      <c r="M195" s="24" t="s">
        <v>211</v>
      </c>
      <c r="N195" s="4" t="s">
        <v>153</v>
      </c>
      <c r="O195" s="4" t="s">
        <v>131</v>
      </c>
      <c r="P195" s="4" t="s">
        <v>239</v>
      </c>
      <c r="Q195" s="25" t="n">
        <v>74.99</v>
      </c>
      <c r="R195" s="25" t="n">
        <v>55.99</v>
      </c>
      <c r="S195" s="25" t="n">
        <v>38.23</v>
      </c>
      <c r="T195" s="26"/>
      <c r="U195" s="26" t="n">
        <v>2</v>
      </c>
      <c r="V195" s="26" t="n">
        <v>7</v>
      </c>
      <c r="W195" s="26"/>
      <c r="X195" s="27" t="n">
        <f aca="false">SUM(T195:W195)</f>
        <v>9</v>
      </c>
      <c r="Y195" s="28" t="n">
        <f aca="false">COUNT(T195:W195)</f>
        <v>2</v>
      </c>
      <c r="Z195" s="29" t="n">
        <f aca="false">R195*X195</f>
        <v>503.91</v>
      </c>
      <c r="AA195" s="30" t="n">
        <v>46176</v>
      </c>
    </row>
    <row r="196" customFormat="false" ht="15" hidden="false" customHeight="true" outlineLevel="0" collapsed="false">
      <c r="A196" s="4" t="s">
        <v>1085</v>
      </c>
      <c r="B196" s="4" t="s">
        <v>1086</v>
      </c>
      <c r="C196" s="4" t="s">
        <v>1087</v>
      </c>
      <c r="D196" s="4" t="s">
        <v>135</v>
      </c>
      <c r="E196" s="4" t="s">
        <v>136</v>
      </c>
      <c r="F196" s="4" t="s">
        <v>1088</v>
      </c>
      <c r="G196" s="4" t="s">
        <v>1089</v>
      </c>
      <c r="H196" s="4" t="s">
        <v>1090</v>
      </c>
      <c r="I196" s="4" t="s">
        <v>161</v>
      </c>
      <c r="J196" s="4" t="s">
        <v>246</v>
      </c>
      <c r="K196" s="4" t="s">
        <v>113</v>
      </c>
      <c r="L196" s="4" t="s">
        <v>1091</v>
      </c>
      <c r="M196" s="24" t="s">
        <v>177</v>
      </c>
      <c r="N196" s="4" t="s">
        <v>116</v>
      </c>
      <c r="O196" s="4" t="s">
        <v>238</v>
      </c>
      <c r="P196" s="4" t="s">
        <v>239</v>
      </c>
      <c r="Q196" s="25" t="n">
        <v>149.99</v>
      </c>
      <c r="R196" s="25" t="n">
        <v>111.99</v>
      </c>
      <c r="S196" s="25" t="n">
        <v>79.73</v>
      </c>
      <c r="T196" s="26" t="n">
        <v>2</v>
      </c>
      <c r="U196" s="26" t="n">
        <v>0</v>
      </c>
      <c r="V196" s="26" t="n">
        <v>5</v>
      </c>
      <c r="W196" s="26" t="n">
        <v>1</v>
      </c>
      <c r="X196" s="27" t="n">
        <f aca="false">SUM(T196:W196)</f>
        <v>8</v>
      </c>
      <c r="Y196" s="28" t="n">
        <f aca="false">COUNT(T196:W196)</f>
        <v>4</v>
      </c>
      <c r="Z196" s="29" t="n">
        <f aca="false">R196*X196</f>
        <v>895.92</v>
      </c>
      <c r="AA196" s="30" t="n">
        <v>46101</v>
      </c>
    </row>
    <row r="197" customFormat="false" ht="15" hidden="false" customHeight="true" outlineLevel="0" collapsed="false">
      <c r="A197" s="4" t="s">
        <v>1092</v>
      </c>
      <c r="B197" s="4" t="s">
        <v>1093</v>
      </c>
      <c r="C197" s="4" t="s">
        <v>1094</v>
      </c>
      <c r="D197" s="4" t="s">
        <v>122</v>
      </c>
      <c r="E197" s="4" t="s">
        <v>285</v>
      </c>
      <c r="F197" s="4" t="s">
        <v>1095</v>
      </c>
      <c r="G197" s="4" t="s">
        <v>1096</v>
      </c>
      <c r="H197" s="4" t="s">
        <v>1097</v>
      </c>
      <c r="I197" s="4" t="s">
        <v>161</v>
      </c>
      <c r="J197" s="4" t="s">
        <v>235</v>
      </c>
      <c r="K197" s="4" t="s">
        <v>113</v>
      </c>
      <c r="L197" s="4" t="s">
        <v>1098</v>
      </c>
      <c r="M197" s="24" t="s">
        <v>141</v>
      </c>
      <c r="N197" s="4" t="s">
        <v>116</v>
      </c>
      <c r="O197" s="4" t="s">
        <v>165</v>
      </c>
      <c r="P197" s="4" t="s">
        <v>118</v>
      </c>
      <c r="Q197" s="25" t="n">
        <v>99.99</v>
      </c>
      <c r="R197" s="25" t="n">
        <v>99.99</v>
      </c>
      <c r="S197" s="25" t="n">
        <v>55.24</v>
      </c>
      <c r="T197" s="26" t="n">
        <v>2</v>
      </c>
      <c r="U197" s="26" t="n">
        <v>0</v>
      </c>
      <c r="V197" s="26" t="n">
        <v>1</v>
      </c>
      <c r="W197" s="26" t="n">
        <v>1</v>
      </c>
      <c r="X197" s="27" t="n">
        <f aca="false">SUM(T197:W197)</f>
        <v>4</v>
      </c>
      <c r="Y197" s="28" t="n">
        <f aca="false">COUNT(T197:W197)</f>
        <v>4</v>
      </c>
      <c r="Z197" s="29" t="n">
        <f aca="false">R197*X197</f>
        <v>399.96</v>
      </c>
      <c r="AA197" s="30" t="n">
        <v>46124</v>
      </c>
    </row>
    <row r="198" customFormat="false" ht="15" hidden="false" customHeight="true" outlineLevel="0" collapsed="false">
      <c r="A198" s="4" t="s">
        <v>1099</v>
      </c>
      <c r="B198" s="4" t="s">
        <v>1100</v>
      </c>
      <c r="C198" s="4" t="s">
        <v>1087</v>
      </c>
      <c r="D198" s="4" t="s">
        <v>135</v>
      </c>
      <c r="E198" s="4" t="s">
        <v>136</v>
      </c>
      <c r="F198" s="4" t="s">
        <v>1088</v>
      </c>
      <c r="G198" s="4" t="s">
        <v>1089</v>
      </c>
      <c r="H198" s="4" t="s">
        <v>1090</v>
      </c>
      <c r="I198" s="4" t="s">
        <v>161</v>
      </c>
      <c r="J198" s="4" t="s">
        <v>246</v>
      </c>
      <c r="K198" s="4" t="s">
        <v>113</v>
      </c>
      <c r="L198" s="4" t="s">
        <v>1091</v>
      </c>
      <c r="M198" s="24" t="s">
        <v>258</v>
      </c>
      <c r="N198" s="4" t="s">
        <v>116</v>
      </c>
      <c r="O198" s="4" t="s">
        <v>238</v>
      </c>
      <c r="P198" s="4" t="s">
        <v>239</v>
      </c>
      <c r="Q198" s="25" t="n">
        <v>149.99</v>
      </c>
      <c r="R198" s="25" t="n">
        <v>111.99</v>
      </c>
      <c r="S198" s="25" t="n">
        <v>79.73</v>
      </c>
      <c r="T198" s="26" t="n">
        <v>3</v>
      </c>
      <c r="U198" s="26" t="n">
        <v>1</v>
      </c>
      <c r="V198" s="26" t="n">
        <v>6</v>
      </c>
      <c r="W198" s="26" t="n">
        <v>0</v>
      </c>
      <c r="X198" s="27" t="n">
        <f aca="false">SUM(T198:W198)</f>
        <v>10</v>
      </c>
      <c r="Y198" s="28" t="n">
        <f aca="false">COUNT(T198:W198)</f>
        <v>4</v>
      </c>
      <c r="Z198" s="29" t="n">
        <f aca="false">R198*X198</f>
        <v>1119.9</v>
      </c>
      <c r="AA198" s="30" t="n">
        <v>46117</v>
      </c>
    </row>
    <row r="199" customFormat="false" ht="15" hidden="false" customHeight="true" outlineLevel="0" collapsed="false">
      <c r="A199" s="4" t="s">
        <v>1101</v>
      </c>
      <c r="B199" s="4" t="s">
        <v>1102</v>
      </c>
      <c r="C199" s="4" t="s">
        <v>1103</v>
      </c>
      <c r="D199" s="4" t="s">
        <v>122</v>
      </c>
      <c r="E199" s="4" t="s">
        <v>285</v>
      </c>
      <c r="F199" s="4" t="s">
        <v>1104</v>
      </c>
      <c r="G199" s="4" t="s">
        <v>1105</v>
      </c>
      <c r="H199" s="4" t="s">
        <v>1106</v>
      </c>
      <c r="I199" s="4" t="s">
        <v>226</v>
      </c>
      <c r="J199" s="4" t="s">
        <v>265</v>
      </c>
      <c r="K199" s="4" t="s">
        <v>113</v>
      </c>
      <c r="L199" s="4" t="s">
        <v>1107</v>
      </c>
      <c r="M199" s="24" t="s">
        <v>211</v>
      </c>
      <c r="N199" s="4" t="s">
        <v>116</v>
      </c>
      <c r="O199" s="4" t="s">
        <v>165</v>
      </c>
      <c r="P199" s="4" t="s">
        <v>118</v>
      </c>
      <c r="Q199" s="25" t="n">
        <v>119.99</v>
      </c>
      <c r="R199" s="25" t="n">
        <v>119.99</v>
      </c>
      <c r="S199" s="25" t="n">
        <v>66.9</v>
      </c>
      <c r="T199" s="26" t="n">
        <v>2</v>
      </c>
      <c r="U199" s="26" t="n">
        <v>0</v>
      </c>
      <c r="V199" s="26" t="n">
        <v>5</v>
      </c>
      <c r="W199" s="26"/>
      <c r="X199" s="27" t="n">
        <f aca="false">SUM(T199:W199)</f>
        <v>7</v>
      </c>
      <c r="Y199" s="28" t="n">
        <f aca="false">COUNT(T199:W199)</f>
        <v>3</v>
      </c>
      <c r="Z199" s="29" t="n">
        <f aca="false">R199*X199</f>
        <v>839.93</v>
      </c>
      <c r="AA199" s="30" t="n">
        <v>46124</v>
      </c>
    </row>
    <row r="200" customFormat="false" ht="15" hidden="false" customHeight="true" outlineLevel="0" collapsed="false">
      <c r="A200" s="4" t="s">
        <v>1108</v>
      </c>
      <c r="B200" s="4" t="s">
        <v>1109</v>
      </c>
      <c r="C200" s="4" t="s">
        <v>1103</v>
      </c>
      <c r="D200" s="4" t="s">
        <v>122</v>
      </c>
      <c r="E200" s="4" t="s">
        <v>285</v>
      </c>
      <c r="F200" s="4" t="s">
        <v>1104</v>
      </c>
      <c r="G200" s="4" t="s">
        <v>1105</v>
      </c>
      <c r="H200" s="4" t="s">
        <v>1106</v>
      </c>
      <c r="I200" s="4" t="s">
        <v>226</v>
      </c>
      <c r="J200" s="4" t="s">
        <v>265</v>
      </c>
      <c r="K200" s="4" t="s">
        <v>113</v>
      </c>
      <c r="L200" s="4" t="s">
        <v>1107</v>
      </c>
      <c r="M200" s="24" t="s">
        <v>258</v>
      </c>
      <c r="N200" s="4" t="s">
        <v>116</v>
      </c>
      <c r="O200" s="4" t="s">
        <v>165</v>
      </c>
      <c r="P200" s="4" t="s">
        <v>118</v>
      </c>
      <c r="Q200" s="25" t="n">
        <v>119.99</v>
      </c>
      <c r="R200" s="25" t="n">
        <v>119.99</v>
      </c>
      <c r="S200" s="25" t="n">
        <v>66.9</v>
      </c>
      <c r="T200" s="26" t="n">
        <v>3</v>
      </c>
      <c r="U200" s="26" t="n">
        <v>0</v>
      </c>
      <c r="V200" s="26" t="n">
        <v>4</v>
      </c>
      <c r="W200" s="26"/>
      <c r="X200" s="27" t="n">
        <f aca="false">SUM(T200:W200)</f>
        <v>7</v>
      </c>
      <c r="Y200" s="28" t="n">
        <f aca="false">COUNT(T200:W200)</f>
        <v>3</v>
      </c>
      <c r="Z200" s="29" t="n">
        <f aca="false">R200*X200</f>
        <v>839.93</v>
      </c>
      <c r="AA200" s="30" t="n">
        <v>46168</v>
      </c>
    </row>
    <row r="201" customFormat="false" ht="15" hidden="false" customHeight="true" outlineLevel="0" collapsed="false">
      <c r="A201" s="4" t="s">
        <v>1110</v>
      </c>
      <c r="B201" s="4" t="s">
        <v>1111</v>
      </c>
      <c r="C201" s="4" t="s">
        <v>1112</v>
      </c>
      <c r="D201" s="4" t="s">
        <v>583</v>
      </c>
      <c r="E201" s="4" t="s">
        <v>584</v>
      </c>
      <c r="F201" s="4" t="s">
        <v>1113</v>
      </c>
      <c r="G201" s="4" t="s">
        <v>1114</v>
      </c>
      <c r="H201" s="4" t="s">
        <v>1115</v>
      </c>
      <c r="I201" s="4" t="s">
        <v>127</v>
      </c>
      <c r="J201" s="4" t="s">
        <v>128</v>
      </c>
      <c r="K201" s="4" t="s">
        <v>187</v>
      </c>
      <c r="L201" s="4" t="s">
        <v>1116</v>
      </c>
      <c r="M201" s="24" t="s">
        <v>291</v>
      </c>
      <c r="N201" s="4" t="s">
        <v>189</v>
      </c>
      <c r="O201" s="4" t="s">
        <v>131</v>
      </c>
      <c r="P201" s="4" t="s">
        <v>239</v>
      </c>
      <c r="Q201" s="25" t="n">
        <v>69.99</v>
      </c>
      <c r="R201" s="25" t="n">
        <v>41.99</v>
      </c>
      <c r="S201" s="25" t="n">
        <v>36.27</v>
      </c>
      <c r="T201" s="26"/>
      <c r="U201" s="26"/>
      <c r="V201" s="26" t="n">
        <v>4</v>
      </c>
      <c r="W201" s="26"/>
      <c r="X201" s="27" t="n">
        <f aca="false">SUM(T201:W201)</f>
        <v>4</v>
      </c>
      <c r="Y201" s="28" t="n">
        <f aca="false">COUNT(T201:W201)</f>
        <v>1</v>
      </c>
      <c r="Z201" s="29" t="n">
        <f aca="false">R201*X201</f>
        <v>167.96</v>
      </c>
      <c r="AA201" s="30" t="n">
        <v>46071</v>
      </c>
    </row>
    <row r="202" customFormat="false" ht="15" hidden="false" customHeight="true" outlineLevel="0" collapsed="false">
      <c r="A202" s="4" t="s">
        <v>1117</v>
      </c>
      <c r="B202" s="4" t="s">
        <v>1118</v>
      </c>
      <c r="C202" s="4" t="s">
        <v>1119</v>
      </c>
      <c r="D202" s="4" t="s">
        <v>583</v>
      </c>
      <c r="E202" s="4" t="s">
        <v>584</v>
      </c>
      <c r="F202" s="4" t="s">
        <v>1120</v>
      </c>
      <c r="G202" s="4" t="s">
        <v>1121</v>
      </c>
      <c r="H202" s="4" t="s">
        <v>1122</v>
      </c>
      <c r="I202" s="4" t="s">
        <v>161</v>
      </c>
      <c r="J202" s="4" t="s">
        <v>246</v>
      </c>
      <c r="K202" s="4" t="s">
        <v>209</v>
      </c>
      <c r="L202" s="4" t="s">
        <v>1123</v>
      </c>
      <c r="M202" s="24" t="s">
        <v>538</v>
      </c>
      <c r="N202" s="4" t="s">
        <v>153</v>
      </c>
      <c r="O202" s="4" t="s">
        <v>131</v>
      </c>
      <c r="P202" s="4" t="s">
        <v>239</v>
      </c>
      <c r="Q202" s="25" t="n">
        <v>109.99</v>
      </c>
      <c r="R202" s="25" t="n">
        <v>70.99</v>
      </c>
      <c r="S202" s="25" t="n">
        <v>57.65</v>
      </c>
      <c r="T202" s="26" t="n">
        <v>4</v>
      </c>
      <c r="U202" s="26"/>
      <c r="V202" s="26" t="n">
        <v>3</v>
      </c>
      <c r="W202" s="26" t="n">
        <v>2</v>
      </c>
      <c r="X202" s="27" t="n">
        <f aca="false">SUM(T202:W202)</f>
        <v>9</v>
      </c>
      <c r="Y202" s="28" t="n">
        <f aca="false">COUNT(T202:W202)</f>
        <v>3</v>
      </c>
      <c r="Z202" s="29" t="n">
        <f aca="false">R202*X202</f>
        <v>638.91</v>
      </c>
      <c r="AA202" s="30" t="n">
        <v>46100</v>
      </c>
    </row>
    <row r="203" customFormat="false" ht="15" hidden="false" customHeight="true" outlineLevel="0" collapsed="false">
      <c r="A203" s="4" t="s">
        <v>1124</v>
      </c>
      <c r="B203" s="4" t="s">
        <v>1125</v>
      </c>
      <c r="C203" s="4" t="s">
        <v>503</v>
      </c>
      <c r="D203" s="4" t="s">
        <v>504</v>
      </c>
      <c r="E203" s="4" t="s">
        <v>504</v>
      </c>
      <c r="F203" s="4" t="s">
        <v>505</v>
      </c>
      <c r="G203" s="4" t="s">
        <v>506</v>
      </c>
      <c r="H203" s="4" t="s">
        <v>507</v>
      </c>
      <c r="I203" s="4" t="s">
        <v>161</v>
      </c>
      <c r="J203" s="4" t="s">
        <v>256</v>
      </c>
      <c r="K203" s="4" t="s">
        <v>187</v>
      </c>
      <c r="L203" s="4" t="s">
        <v>508</v>
      </c>
      <c r="M203" s="24" t="s">
        <v>538</v>
      </c>
      <c r="N203" s="4" t="s">
        <v>189</v>
      </c>
      <c r="O203" s="4" t="s">
        <v>380</v>
      </c>
      <c r="P203" s="4" t="s">
        <v>239</v>
      </c>
      <c r="Q203" s="25" t="n">
        <v>74.99</v>
      </c>
      <c r="R203" s="25" t="n">
        <v>51.99</v>
      </c>
      <c r="S203" s="25" t="n">
        <v>36.67</v>
      </c>
      <c r="T203" s="26"/>
      <c r="U203" s="26"/>
      <c r="V203" s="26" t="n">
        <v>3</v>
      </c>
      <c r="W203" s="26"/>
      <c r="X203" s="27" t="n">
        <f aca="false">SUM(T203:W203)</f>
        <v>3</v>
      </c>
      <c r="Y203" s="28" t="n">
        <f aca="false">COUNT(T203:W203)</f>
        <v>1</v>
      </c>
      <c r="Z203" s="29" t="n">
        <f aca="false">R203*X203</f>
        <v>155.97</v>
      </c>
      <c r="AA203" s="30" t="n">
        <v>46029</v>
      </c>
    </row>
    <row r="204" customFormat="false" ht="15" hidden="false" customHeight="true" outlineLevel="0" collapsed="false">
      <c r="A204" s="4" t="s">
        <v>1126</v>
      </c>
      <c r="B204" s="4" t="s">
        <v>1127</v>
      </c>
      <c r="C204" s="4" t="s">
        <v>737</v>
      </c>
      <c r="D204" s="4" t="s">
        <v>122</v>
      </c>
      <c r="E204" s="4" t="s">
        <v>123</v>
      </c>
      <c r="F204" s="4" t="s">
        <v>420</v>
      </c>
      <c r="G204" s="4" t="s">
        <v>738</v>
      </c>
      <c r="H204" s="4" t="s">
        <v>739</v>
      </c>
      <c r="I204" s="4" t="s">
        <v>161</v>
      </c>
      <c r="J204" s="4" t="s">
        <v>235</v>
      </c>
      <c r="K204" s="4" t="s">
        <v>187</v>
      </c>
      <c r="L204" s="4" t="s">
        <v>273</v>
      </c>
      <c r="M204" s="24" t="s">
        <v>338</v>
      </c>
      <c r="N204" s="4" t="s">
        <v>189</v>
      </c>
      <c r="O204" s="4" t="s">
        <v>117</v>
      </c>
      <c r="P204" s="4" t="s">
        <v>118</v>
      </c>
      <c r="Q204" s="25" t="n">
        <v>124.99</v>
      </c>
      <c r="R204" s="25" t="n">
        <v>124.99</v>
      </c>
      <c r="S204" s="25" t="n">
        <v>66.91</v>
      </c>
      <c r="T204" s="26" t="n">
        <v>5</v>
      </c>
      <c r="U204" s="26" t="n">
        <v>2</v>
      </c>
      <c r="V204" s="26" t="n">
        <v>5</v>
      </c>
      <c r="W204" s="26" t="n">
        <v>1</v>
      </c>
      <c r="X204" s="27" t="n">
        <f aca="false">SUM(T204:W204)</f>
        <v>13</v>
      </c>
      <c r="Y204" s="28" t="n">
        <f aca="false">COUNT(T204:W204)</f>
        <v>4</v>
      </c>
      <c r="Z204" s="29" t="n">
        <f aca="false">R204*X204</f>
        <v>1624.87</v>
      </c>
      <c r="AA204" s="30" t="n">
        <v>46023</v>
      </c>
    </row>
    <row r="205" customFormat="false" ht="15" hidden="false" customHeight="true" outlineLevel="0" collapsed="false">
      <c r="A205" s="4" t="s">
        <v>1128</v>
      </c>
      <c r="B205" s="4" t="s">
        <v>1129</v>
      </c>
      <c r="C205" s="4" t="s">
        <v>1130</v>
      </c>
      <c r="D205" s="4" t="s">
        <v>122</v>
      </c>
      <c r="E205" s="4" t="s">
        <v>123</v>
      </c>
      <c r="F205" s="4" t="s">
        <v>1131</v>
      </c>
      <c r="G205" s="4" t="s">
        <v>1132</v>
      </c>
      <c r="H205" s="4" t="s">
        <v>1133</v>
      </c>
      <c r="I205" s="4" t="s">
        <v>226</v>
      </c>
      <c r="J205" s="4" t="s">
        <v>265</v>
      </c>
      <c r="K205" s="4" t="s">
        <v>113</v>
      </c>
      <c r="L205" s="4" t="s">
        <v>1134</v>
      </c>
      <c r="M205" s="24" t="s">
        <v>356</v>
      </c>
      <c r="N205" s="4" t="s">
        <v>116</v>
      </c>
      <c r="O205" s="4" t="s">
        <v>117</v>
      </c>
      <c r="P205" s="4" t="s">
        <v>202</v>
      </c>
      <c r="Q205" s="25" t="n">
        <v>129.99</v>
      </c>
      <c r="R205" s="25" t="n">
        <v>129.99</v>
      </c>
      <c r="S205" s="25" t="n">
        <v>72.02</v>
      </c>
      <c r="T205" s="26" t="n">
        <v>3</v>
      </c>
      <c r="U205" s="26" t="n">
        <v>1</v>
      </c>
      <c r="V205" s="26" t="n">
        <v>0</v>
      </c>
      <c r="W205" s="26" t="n">
        <v>1</v>
      </c>
      <c r="X205" s="27" t="n">
        <f aca="false">SUM(T205:W205)</f>
        <v>5</v>
      </c>
      <c r="Y205" s="28" t="n">
        <f aca="false">COUNT(T205:W205)</f>
        <v>4</v>
      </c>
      <c r="Z205" s="29" t="n">
        <f aca="false">R205*X205</f>
        <v>649.95</v>
      </c>
      <c r="AA205" s="30" t="n">
        <v>46182</v>
      </c>
    </row>
    <row r="206" customFormat="false" ht="15" hidden="false" customHeight="true" outlineLevel="0" collapsed="false">
      <c r="A206" s="4" t="s">
        <v>1135</v>
      </c>
      <c r="B206" s="4" t="s">
        <v>1136</v>
      </c>
      <c r="C206" s="4" t="s">
        <v>1021</v>
      </c>
      <c r="D206" s="4" t="s">
        <v>106</v>
      </c>
      <c r="E206" s="4" t="s">
        <v>157</v>
      </c>
      <c r="F206" s="4" t="s">
        <v>1022</v>
      </c>
      <c r="G206" s="4" t="s">
        <v>1023</v>
      </c>
      <c r="H206" s="4" t="s">
        <v>1024</v>
      </c>
      <c r="I206" s="4" t="s">
        <v>161</v>
      </c>
      <c r="J206" s="4" t="s">
        <v>235</v>
      </c>
      <c r="K206" s="4" t="s">
        <v>187</v>
      </c>
      <c r="L206" s="4" t="s">
        <v>379</v>
      </c>
      <c r="M206" s="24" t="s">
        <v>188</v>
      </c>
      <c r="N206" s="4" t="s">
        <v>189</v>
      </c>
      <c r="O206" s="4" t="s">
        <v>238</v>
      </c>
      <c r="P206" s="4" t="s">
        <v>118</v>
      </c>
      <c r="Q206" s="25" t="n">
        <v>99.99</v>
      </c>
      <c r="R206" s="25" t="n">
        <v>99.99</v>
      </c>
      <c r="S206" s="25" t="n">
        <v>50.01</v>
      </c>
      <c r="T206" s="26" t="n">
        <v>2</v>
      </c>
      <c r="U206" s="26" t="n">
        <v>2</v>
      </c>
      <c r="V206" s="26" t="n">
        <v>3</v>
      </c>
      <c r="W206" s="26"/>
      <c r="X206" s="27" t="n">
        <f aca="false">SUM(T206:W206)</f>
        <v>7</v>
      </c>
      <c r="Y206" s="28" t="n">
        <f aca="false">COUNT(T206:W206)</f>
        <v>3</v>
      </c>
      <c r="Z206" s="29" t="n">
        <f aca="false">R206*X206</f>
        <v>699.93</v>
      </c>
      <c r="AA206" s="30" t="n">
        <v>46072</v>
      </c>
    </row>
    <row r="207" customFormat="false" ht="15" hidden="false" customHeight="true" outlineLevel="0" collapsed="false">
      <c r="A207" s="4" t="s">
        <v>1137</v>
      </c>
      <c r="B207" s="4" t="s">
        <v>1138</v>
      </c>
      <c r="C207" s="4" t="s">
        <v>435</v>
      </c>
      <c r="D207" s="4" t="s">
        <v>436</v>
      </c>
      <c r="E207" s="4" t="s">
        <v>437</v>
      </c>
      <c r="F207" s="4" t="s">
        <v>438</v>
      </c>
      <c r="G207" s="4" t="s">
        <v>439</v>
      </c>
      <c r="H207" s="4" t="s">
        <v>440</v>
      </c>
      <c r="I207" s="4" t="s">
        <v>111</v>
      </c>
      <c r="J207" s="4" t="s">
        <v>111</v>
      </c>
      <c r="K207" s="4" t="s">
        <v>209</v>
      </c>
      <c r="L207" s="4" t="s">
        <v>441</v>
      </c>
      <c r="M207" s="24" t="s">
        <v>338</v>
      </c>
      <c r="N207" s="4" t="s">
        <v>153</v>
      </c>
      <c r="O207" s="4" t="s">
        <v>238</v>
      </c>
      <c r="P207" s="4" t="s">
        <v>118</v>
      </c>
      <c r="Q207" s="25" t="n">
        <v>54.99</v>
      </c>
      <c r="R207" s="25" t="n">
        <v>54.99</v>
      </c>
      <c r="S207" s="25" t="n">
        <v>26.61</v>
      </c>
      <c r="T207" s="26" t="n">
        <v>4</v>
      </c>
      <c r="U207" s="26"/>
      <c r="V207" s="26" t="n">
        <v>6</v>
      </c>
      <c r="W207" s="26"/>
      <c r="X207" s="27" t="n">
        <f aca="false">SUM(T207:W207)</f>
        <v>10</v>
      </c>
      <c r="Y207" s="28" t="n">
        <f aca="false">COUNT(T207:W207)</f>
        <v>2</v>
      </c>
      <c r="Z207" s="29" t="n">
        <f aca="false">R207*X207</f>
        <v>549.9</v>
      </c>
      <c r="AA207" s="30" t="n">
        <v>46139</v>
      </c>
    </row>
    <row r="208" customFormat="false" ht="15" hidden="false" customHeight="true" outlineLevel="0" collapsed="false">
      <c r="A208" s="4" t="s">
        <v>1139</v>
      </c>
      <c r="B208" s="4" t="s">
        <v>1140</v>
      </c>
      <c r="C208" s="4" t="s">
        <v>803</v>
      </c>
      <c r="D208" s="4" t="s">
        <v>193</v>
      </c>
      <c r="E208" s="4" t="s">
        <v>194</v>
      </c>
      <c r="F208" s="4" t="s">
        <v>804</v>
      </c>
      <c r="G208" s="4" t="s">
        <v>805</v>
      </c>
      <c r="H208" s="4" t="s">
        <v>806</v>
      </c>
      <c r="I208" s="4" t="s">
        <v>111</v>
      </c>
      <c r="J208" s="4" t="s">
        <v>198</v>
      </c>
      <c r="K208" s="4" t="s">
        <v>209</v>
      </c>
      <c r="L208" s="4" t="s">
        <v>807</v>
      </c>
      <c r="M208" s="24" t="s">
        <v>442</v>
      </c>
      <c r="N208" s="4" t="s">
        <v>153</v>
      </c>
      <c r="O208" s="4" t="s">
        <v>117</v>
      </c>
      <c r="P208" s="4" t="s">
        <v>202</v>
      </c>
      <c r="Q208" s="25" t="n">
        <v>64.99</v>
      </c>
      <c r="R208" s="25" t="n">
        <v>64.99</v>
      </c>
      <c r="S208" s="25" t="n">
        <v>34</v>
      </c>
      <c r="T208" s="26" t="n">
        <v>0</v>
      </c>
      <c r="U208" s="26" t="n">
        <v>2</v>
      </c>
      <c r="V208" s="26" t="n">
        <v>0</v>
      </c>
      <c r="W208" s="26"/>
      <c r="X208" s="27" t="n">
        <f aca="false">SUM(T208:W208)</f>
        <v>2</v>
      </c>
      <c r="Y208" s="28" t="n">
        <f aca="false">COUNT(T208:W208)</f>
        <v>3</v>
      </c>
      <c r="Z208" s="29" t="n">
        <f aca="false">R208*X208</f>
        <v>129.98</v>
      </c>
      <c r="AA208" s="30" t="n">
        <v>46164</v>
      </c>
    </row>
    <row r="209" customFormat="false" ht="15" hidden="false" customHeight="true" outlineLevel="0" collapsed="false">
      <c r="A209" s="4" t="s">
        <v>1141</v>
      </c>
      <c r="B209" s="4" t="s">
        <v>1142</v>
      </c>
      <c r="C209" s="4" t="s">
        <v>474</v>
      </c>
      <c r="D209" s="4" t="s">
        <v>475</v>
      </c>
      <c r="E209" s="4" t="s">
        <v>476</v>
      </c>
      <c r="F209" s="4" t="s">
        <v>477</v>
      </c>
      <c r="G209" s="4" t="s">
        <v>478</v>
      </c>
      <c r="H209" s="4" t="s">
        <v>479</v>
      </c>
      <c r="I209" s="4" t="s">
        <v>161</v>
      </c>
      <c r="J209" s="4" t="s">
        <v>186</v>
      </c>
      <c r="K209" s="4" t="s">
        <v>187</v>
      </c>
      <c r="L209" s="4" t="s">
        <v>480</v>
      </c>
      <c r="M209" s="24" t="s">
        <v>356</v>
      </c>
      <c r="N209" s="4" t="s">
        <v>189</v>
      </c>
      <c r="O209" s="4" t="s">
        <v>380</v>
      </c>
      <c r="P209" s="4" t="s">
        <v>239</v>
      </c>
      <c r="Q209" s="25" t="n">
        <v>114.99</v>
      </c>
      <c r="R209" s="25" t="n">
        <v>85.99</v>
      </c>
      <c r="S209" s="25" t="n">
        <v>61.43</v>
      </c>
      <c r="T209" s="26" t="n">
        <v>2</v>
      </c>
      <c r="U209" s="26" t="n">
        <v>3</v>
      </c>
      <c r="V209" s="26" t="n">
        <v>5</v>
      </c>
      <c r="W209" s="26"/>
      <c r="X209" s="27" t="n">
        <f aca="false">SUM(T209:W209)</f>
        <v>10</v>
      </c>
      <c r="Y209" s="28" t="n">
        <f aca="false">COUNT(T209:W209)</f>
        <v>3</v>
      </c>
      <c r="Z209" s="29" t="n">
        <f aca="false">R209*X209</f>
        <v>859.9</v>
      </c>
      <c r="AA209" s="30" t="n">
        <v>46057</v>
      </c>
    </row>
    <row r="210" customFormat="false" ht="15" hidden="false" customHeight="true" outlineLevel="0" collapsed="false">
      <c r="A210" s="4" t="s">
        <v>1143</v>
      </c>
      <c r="B210" s="4" t="s">
        <v>1144</v>
      </c>
      <c r="C210" s="4" t="s">
        <v>192</v>
      </c>
      <c r="D210" s="4" t="s">
        <v>193</v>
      </c>
      <c r="E210" s="4" t="s">
        <v>194</v>
      </c>
      <c r="F210" s="4" t="s">
        <v>195</v>
      </c>
      <c r="G210" s="4" t="s">
        <v>196</v>
      </c>
      <c r="H210" s="4" t="s">
        <v>197</v>
      </c>
      <c r="I210" s="4" t="s">
        <v>111</v>
      </c>
      <c r="J210" s="4" t="s">
        <v>198</v>
      </c>
      <c r="K210" s="4" t="s">
        <v>199</v>
      </c>
      <c r="L210" s="4" t="s">
        <v>200</v>
      </c>
      <c r="M210" s="24" t="s">
        <v>1145</v>
      </c>
      <c r="N210" s="4" t="s">
        <v>153</v>
      </c>
      <c r="O210" s="4" t="s">
        <v>117</v>
      </c>
      <c r="P210" s="4" t="s">
        <v>202</v>
      </c>
      <c r="Q210" s="25" t="n">
        <v>44.99</v>
      </c>
      <c r="R210" s="25" t="n">
        <v>44.99</v>
      </c>
      <c r="S210" s="25" t="n">
        <v>22.09</v>
      </c>
      <c r="T210" s="26" t="n">
        <v>0</v>
      </c>
      <c r="U210" s="26" t="n">
        <v>1</v>
      </c>
      <c r="V210" s="26" t="n">
        <v>5</v>
      </c>
      <c r="W210" s="26" t="n">
        <v>5</v>
      </c>
      <c r="X210" s="27" t="n">
        <f aca="false">SUM(T210:W210)</f>
        <v>11</v>
      </c>
      <c r="Y210" s="28" t="n">
        <f aca="false">COUNT(T210:W210)</f>
        <v>4</v>
      </c>
      <c r="Z210" s="29" t="n">
        <f aca="false">R210*X210</f>
        <v>494.89</v>
      </c>
      <c r="AA210" s="30" t="n">
        <v>46050</v>
      </c>
    </row>
    <row r="211" customFormat="false" ht="15" hidden="false" customHeight="true" outlineLevel="0" collapsed="false">
      <c r="A211" s="4" t="s">
        <v>1146</v>
      </c>
      <c r="B211" s="4" t="s">
        <v>1147</v>
      </c>
      <c r="C211" s="4" t="s">
        <v>853</v>
      </c>
      <c r="D211" s="4" t="s">
        <v>122</v>
      </c>
      <c r="E211" s="4" t="s">
        <v>123</v>
      </c>
      <c r="F211" s="4" t="s">
        <v>854</v>
      </c>
      <c r="G211" s="4" t="s">
        <v>855</v>
      </c>
      <c r="H211" s="4" t="s">
        <v>856</v>
      </c>
      <c r="I211" s="4" t="s">
        <v>161</v>
      </c>
      <c r="J211" s="4" t="s">
        <v>246</v>
      </c>
      <c r="K211" s="4" t="s">
        <v>187</v>
      </c>
      <c r="L211" s="4" t="s">
        <v>348</v>
      </c>
      <c r="M211" s="24" t="s">
        <v>164</v>
      </c>
      <c r="N211" s="4" t="s">
        <v>189</v>
      </c>
      <c r="O211" s="4" t="s">
        <v>131</v>
      </c>
      <c r="P211" s="4" t="s">
        <v>118</v>
      </c>
      <c r="Q211" s="25" t="n">
        <v>169.99</v>
      </c>
      <c r="R211" s="25" t="n">
        <v>169.99</v>
      </c>
      <c r="S211" s="25" t="n">
        <v>85.29</v>
      </c>
      <c r="T211" s="26" t="n">
        <v>4</v>
      </c>
      <c r="U211" s="26" t="n">
        <v>0</v>
      </c>
      <c r="V211" s="26" t="n">
        <v>8</v>
      </c>
      <c r="W211" s="26"/>
      <c r="X211" s="27" t="n">
        <f aca="false">SUM(T211:W211)</f>
        <v>12</v>
      </c>
      <c r="Y211" s="28" t="n">
        <f aca="false">COUNT(T211:W211)</f>
        <v>3</v>
      </c>
      <c r="Z211" s="29" t="n">
        <f aca="false">R211*X211</f>
        <v>2039.88</v>
      </c>
      <c r="AA211" s="30" t="n">
        <v>46154</v>
      </c>
    </row>
    <row r="212" customFormat="false" ht="15" hidden="false" customHeight="true" outlineLevel="0" collapsed="false">
      <c r="A212" s="4" t="s">
        <v>1148</v>
      </c>
      <c r="B212" s="4" t="s">
        <v>1149</v>
      </c>
      <c r="C212" s="4" t="s">
        <v>1021</v>
      </c>
      <c r="D212" s="4" t="s">
        <v>106</v>
      </c>
      <c r="E212" s="4" t="s">
        <v>157</v>
      </c>
      <c r="F212" s="4" t="s">
        <v>1022</v>
      </c>
      <c r="G212" s="4" t="s">
        <v>1023</v>
      </c>
      <c r="H212" s="4" t="s">
        <v>1024</v>
      </c>
      <c r="I212" s="4" t="s">
        <v>161</v>
      </c>
      <c r="J212" s="4" t="s">
        <v>235</v>
      </c>
      <c r="K212" s="4" t="s">
        <v>187</v>
      </c>
      <c r="L212" s="4" t="s">
        <v>379</v>
      </c>
      <c r="M212" s="24" t="s">
        <v>356</v>
      </c>
      <c r="N212" s="4" t="s">
        <v>189</v>
      </c>
      <c r="O212" s="4" t="s">
        <v>238</v>
      </c>
      <c r="P212" s="4" t="s">
        <v>118</v>
      </c>
      <c r="Q212" s="25" t="n">
        <v>99.99</v>
      </c>
      <c r="R212" s="25" t="n">
        <v>99.99</v>
      </c>
      <c r="S212" s="25" t="n">
        <v>50.01</v>
      </c>
      <c r="T212" s="26" t="n">
        <v>1</v>
      </c>
      <c r="U212" s="26" t="n">
        <v>4</v>
      </c>
      <c r="V212" s="26" t="n">
        <v>2</v>
      </c>
      <c r="W212" s="26"/>
      <c r="X212" s="27" t="n">
        <f aca="false">SUM(T212:W212)</f>
        <v>7</v>
      </c>
      <c r="Y212" s="28" t="n">
        <f aca="false">COUNT(T212:W212)</f>
        <v>3</v>
      </c>
      <c r="Z212" s="29" t="n">
        <f aca="false">R212*X212</f>
        <v>699.93</v>
      </c>
      <c r="AA212" s="30" t="n">
        <v>46140</v>
      </c>
    </row>
    <row r="213" customFormat="false" ht="15" hidden="false" customHeight="true" outlineLevel="0" collapsed="false">
      <c r="A213" s="4" t="s">
        <v>1150</v>
      </c>
      <c r="B213" s="4" t="s">
        <v>1151</v>
      </c>
      <c r="C213" s="4" t="s">
        <v>330</v>
      </c>
      <c r="D213" s="4" t="s">
        <v>331</v>
      </c>
      <c r="E213" s="4" t="s">
        <v>332</v>
      </c>
      <c r="F213" s="4" t="s">
        <v>333</v>
      </c>
      <c r="G213" s="4" t="s">
        <v>334</v>
      </c>
      <c r="H213" s="4" t="s">
        <v>335</v>
      </c>
      <c r="I213" s="4" t="s">
        <v>161</v>
      </c>
      <c r="J213" s="4" t="s">
        <v>336</v>
      </c>
      <c r="K213" s="4" t="s">
        <v>187</v>
      </c>
      <c r="L213" s="4" t="s">
        <v>337</v>
      </c>
      <c r="M213" s="24" t="s">
        <v>356</v>
      </c>
      <c r="N213" s="4" t="s">
        <v>189</v>
      </c>
      <c r="O213" s="4" t="s">
        <v>165</v>
      </c>
      <c r="P213" s="4" t="s">
        <v>118</v>
      </c>
      <c r="Q213" s="25" t="n">
        <v>159.99</v>
      </c>
      <c r="R213" s="25" t="n">
        <v>159.99</v>
      </c>
      <c r="S213" s="25" t="n">
        <v>87.47</v>
      </c>
      <c r="T213" s="26" t="n">
        <v>1</v>
      </c>
      <c r="U213" s="26" t="n">
        <v>2</v>
      </c>
      <c r="V213" s="26" t="n">
        <v>2</v>
      </c>
      <c r="W213" s="26"/>
      <c r="X213" s="27" t="n">
        <f aca="false">SUM(T213:W213)</f>
        <v>5</v>
      </c>
      <c r="Y213" s="28" t="n">
        <f aca="false">COUNT(T213:W213)</f>
        <v>3</v>
      </c>
      <c r="Z213" s="29" t="n">
        <f aca="false">R213*X213</f>
        <v>799.95</v>
      </c>
      <c r="AA213" s="30" t="n">
        <v>46028</v>
      </c>
    </row>
    <row r="214" customFormat="false" ht="15" hidden="false" customHeight="true" outlineLevel="0" collapsed="false">
      <c r="A214" s="4" t="s">
        <v>1152</v>
      </c>
      <c r="B214" s="4" t="s">
        <v>1153</v>
      </c>
      <c r="C214" s="4" t="s">
        <v>722</v>
      </c>
      <c r="D214" s="4" t="s">
        <v>106</v>
      </c>
      <c r="E214" s="4" t="s">
        <v>107</v>
      </c>
      <c r="F214" s="4" t="s">
        <v>723</v>
      </c>
      <c r="G214" s="4" t="s">
        <v>724</v>
      </c>
      <c r="H214" s="4" t="s">
        <v>725</v>
      </c>
      <c r="I214" s="4" t="s">
        <v>127</v>
      </c>
      <c r="J214" s="4" t="s">
        <v>128</v>
      </c>
      <c r="K214" s="4" t="s">
        <v>150</v>
      </c>
      <c r="L214" s="4" t="s">
        <v>114</v>
      </c>
      <c r="M214" s="24" t="s">
        <v>152</v>
      </c>
      <c r="N214" s="4" t="s">
        <v>153</v>
      </c>
      <c r="O214" s="4" t="s">
        <v>165</v>
      </c>
      <c r="P214" s="4" t="s">
        <v>118</v>
      </c>
      <c r="Q214" s="25" t="n">
        <v>54.99</v>
      </c>
      <c r="R214" s="25" t="n">
        <v>54.99</v>
      </c>
      <c r="S214" s="25" t="n">
        <v>28.09</v>
      </c>
      <c r="T214" s="26" t="n">
        <v>0</v>
      </c>
      <c r="U214" s="26"/>
      <c r="V214" s="26" t="n">
        <v>4</v>
      </c>
      <c r="W214" s="26"/>
      <c r="X214" s="27" t="n">
        <f aca="false">SUM(T214:W214)</f>
        <v>4</v>
      </c>
      <c r="Y214" s="28" t="n">
        <f aca="false">COUNT(T214:W214)</f>
        <v>2</v>
      </c>
      <c r="Z214" s="29" t="n">
        <f aca="false">R214*X214</f>
        <v>219.96</v>
      </c>
      <c r="AA214" s="30" t="n">
        <v>46059</v>
      </c>
    </row>
    <row r="215" customFormat="false" ht="15" hidden="false" customHeight="true" outlineLevel="0" collapsed="false">
      <c r="A215" s="4" t="s">
        <v>1154</v>
      </c>
      <c r="B215" s="4" t="s">
        <v>1155</v>
      </c>
      <c r="C215" s="4" t="s">
        <v>1087</v>
      </c>
      <c r="D215" s="4" t="s">
        <v>135</v>
      </c>
      <c r="E215" s="4" t="s">
        <v>136</v>
      </c>
      <c r="F215" s="4" t="s">
        <v>1088</v>
      </c>
      <c r="G215" s="4" t="s">
        <v>1089</v>
      </c>
      <c r="H215" s="4" t="s">
        <v>1090</v>
      </c>
      <c r="I215" s="4" t="s">
        <v>161</v>
      </c>
      <c r="J215" s="4" t="s">
        <v>246</v>
      </c>
      <c r="K215" s="4" t="s">
        <v>113</v>
      </c>
      <c r="L215" s="4" t="s">
        <v>1091</v>
      </c>
      <c r="M215" s="24" t="s">
        <v>164</v>
      </c>
      <c r="N215" s="4" t="s">
        <v>116</v>
      </c>
      <c r="O215" s="4" t="s">
        <v>238</v>
      </c>
      <c r="P215" s="4" t="s">
        <v>239</v>
      </c>
      <c r="Q215" s="25" t="n">
        <v>149.99</v>
      </c>
      <c r="R215" s="25" t="n">
        <v>111.99</v>
      </c>
      <c r="S215" s="25" t="n">
        <v>79.73</v>
      </c>
      <c r="T215" s="26" t="n">
        <v>2</v>
      </c>
      <c r="U215" s="26" t="n">
        <v>1</v>
      </c>
      <c r="V215" s="26" t="n">
        <v>2</v>
      </c>
      <c r="W215" s="26" t="n">
        <v>0</v>
      </c>
      <c r="X215" s="27" t="n">
        <f aca="false">SUM(T215:W215)</f>
        <v>5</v>
      </c>
      <c r="Y215" s="28" t="n">
        <f aca="false">COUNT(T215:W215)</f>
        <v>4</v>
      </c>
      <c r="Z215" s="29" t="n">
        <f aca="false">R215*X215</f>
        <v>559.95</v>
      </c>
      <c r="AA215" s="30" t="n">
        <v>46144</v>
      </c>
    </row>
    <row r="216" customFormat="false" ht="15" hidden="false" customHeight="true" outlineLevel="0" collapsed="false">
      <c r="A216" s="4" t="s">
        <v>1156</v>
      </c>
      <c r="B216" s="4" t="s">
        <v>1157</v>
      </c>
      <c r="C216" s="4" t="s">
        <v>1065</v>
      </c>
      <c r="D216" s="4" t="s">
        <v>643</v>
      </c>
      <c r="E216" s="4" t="s">
        <v>644</v>
      </c>
      <c r="F216" s="4" t="s">
        <v>1066</v>
      </c>
      <c r="G216" s="4" t="s">
        <v>1067</v>
      </c>
      <c r="H216" s="4" t="s">
        <v>1068</v>
      </c>
      <c r="I216" s="4" t="s">
        <v>127</v>
      </c>
      <c r="J216" s="4" t="s">
        <v>306</v>
      </c>
      <c r="K216" s="4" t="s">
        <v>187</v>
      </c>
      <c r="L216" s="4" t="s">
        <v>1069</v>
      </c>
      <c r="M216" s="24" t="s">
        <v>164</v>
      </c>
      <c r="N216" s="4" t="s">
        <v>189</v>
      </c>
      <c r="O216" s="4" t="s">
        <v>131</v>
      </c>
      <c r="P216" s="4" t="s">
        <v>118</v>
      </c>
      <c r="Q216" s="25" t="n">
        <v>149.99</v>
      </c>
      <c r="R216" s="25" t="n">
        <v>149.99</v>
      </c>
      <c r="S216" s="25" t="n">
        <v>72.34</v>
      </c>
      <c r="T216" s="26" t="n">
        <v>4</v>
      </c>
      <c r="U216" s="26" t="n">
        <v>0</v>
      </c>
      <c r="V216" s="26" t="n">
        <v>4</v>
      </c>
      <c r="W216" s="26" t="n">
        <v>2</v>
      </c>
      <c r="X216" s="27" t="n">
        <f aca="false">SUM(T216:W216)</f>
        <v>10</v>
      </c>
      <c r="Y216" s="28" t="n">
        <f aca="false">COUNT(T216:W216)</f>
        <v>4</v>
      </c>
      <c r="Z216" s="29" t="n">
        <f aca="false">R216*X216</f>
        <v>1499.9</v>
      </c>
      <c r="AA216" s="30" t="n">
        <v>46094</v>
      </c>
    </row>
    <row r="217" customFormat="false" ht="15" hidden="false" customHeight="true" outlineLevel="0" collapsed="false">
      <c r="A217" s="4" t="s">
        <v>1158</v>
      </c>
      <c r="B217" s="4" t="s">
        <v>1159</v>
      </c>
      <c r="C217" s="4" t="s">
        <v>396</v>
      </c>
      <c r="D217" s="4" t="s">
        <v>106</v>
      </c>
      <c r="E217" s="4" t="s">
        <v>107</v>
      </c>
      <c r="F217" s="4" t="s">
        <v>397</v>
      </c>
      <c r="G217" s="4" t="s">
        <v>398</v>
      </c>
      <c r="H217" s="4" t="s">
        <v>399</v>
      </c>
      <c r="I217" s="4" t="s">
        <v>161</v>
      </c>
      <c r="J217" s="4" t="s">
        <v>235</v>
      </c>
      <c r="K217" s="4" t="s">
        <v>199</v>
      </c>
      <c r="L217" s="4" t="s">
        <v>400</v>
      </c>
      <c r="M217" s="24" t="s">
        <v>876</v>
      </c>
      <c r="N217" s="4" t="s">
        <v>153</v>
      </c>
      <c r="O217" s="4" t="s">
        <v>165</v>
      </c>
      <c r="P217" s="4" t="s">
        <v>118</v>
      </c>
      <c r="Q217" s="25" t="n">
        <v>49.99</v>
      </c>
      <c r="R217" s="25" t="n">
        <v>49.99</v>
      </c>
      <c r="S217" s="25" t="n">
        <v>24.93</v>
      </c>
      <c r="T217" s="26" t="n">
        <v>3</v>
      </c>
      <c r="U217" s="26" t="n">
        <v>1</v>
      </c>
      <c r="V217" s="26" t="n">
        <v>2</v>
      </c>
      <c r="W217" s="26" t="n">
        <v>3</v>
      </c>
      <c r="X217" s="27" t="n">
        <f aca="false">SUM(T217:W217)</f>
        <v>9</v>
      </c>
      <c r="Y217" s="28" t="n">
        <f aca="false">COUNT(T217:W217)</f>
        <v>4</v>
      </c>
      <c r="Z217" s="29" t="n">
        <f aca="false">R217*X217</f>
        <v>449.91</v>
      </c>
      <c r="AA217" s="30" t="n">
        <v>46097</v>
      </c>
    </row>
    <row r="218" customFormat="false" ht="15" hidden="false" customHeight="true" outlineLevel="0" collapsed="false">
      <c r="A218" s="4" t="s">
        <v>1160</v>
      </c>
      <c r="B218" s="4" t="s">
        <v>1161</v>
      </c>
      <c r="C218" s="4" t="s">
        <v>192</v>
      </c>
      <c r="D218" s="4" t="s">
        <v>193</v>
      </c>
      <c r="E218" s="4" t="s">
        <v>194</v>
      </c>
      <c r="F218" s="4" t="s">
        <v>195</v>
      </c>
      <c r="G218" s="4" t="s">
        <v>196</v>
      </c>
      <c r="H218" s="4" t="s">
        <v>197</v>
      </c>
      <c r="I218" s="4" t="s">
        <v>111</v>
      </c>
      <c r="J218" s="4" t="s">
        <v>198</v>
      </c>
      <c r="K218" s="4" t="s">
        <v>199</v>
      </c>
      <c r="L218" s="4" t="s">
        <v>200</v>
      </c>
      <c r="M218" s="24" t="s">
        <v>401</v>
      </c>
      <c r="N218" s="4" t="s">
        <v>153</v>
      </c>
      <c r="O218" s="4" t="s">
        <v>117</v>
      </c>
      <c r="P218" s="4" t="s">
        <v>202</v>
      </c>
      <c r="Q218" s="25" t="n">
        <v>44.99</v>
      </c>
      <c r="R218" s="25" t="n">
        <v>44.99</v>
      </c>
      <c r="S218" s="25" t="n">
        <v>22.09</v>
      </c>
      <c r="T218" s="26" t="n">
        <v>0</v>
      </c>
      <c r="U218" s="26" t="n">
        <v>0</v>
      </c>
      <c r="V218" s="26" t="n">
        <v>5</v>
      </c>
      <c r="W218" s="26" t="n">
        <v>5</v>
      </c>
      <c r="X218" s="27" t="n">
        <f aca="false">SUM(T218:W218)</f>
        <v>10</v>
      </c>
      <c r="Y218" s="28" t="n">
        <f aca="false">COUNT(T218:W218)</f>
        <v>4</v>
      </c>
      <c r="Z218" s="29" t="n">
        <f aca="false">R218*X218</f>
        <v>449.9</v>
      </c>
      <c r="AA218" s="30" t="n">
        <v>46074</v>
      </c>
    </row>
    <row r="219" customFormat="false" ht="15" hidden="false" customHeight="true" outlineLevel="0" collapsed="false">
      <c r="A219" s="4" t="s">
        <v>1162</v>
      </c>
      <c r="B219" s="4" t="s">
        <v>1163</v>
      </c>
      <c r="C219" s="4" t="s">
        <v>786</v>
      </c>
      <c r="D219" s="4" t="s">
        <v>145</v>
      </c>
      <c r="E219" s="4" t="s">
        <v>146</v>
      </c>
      <c r="F219" s="4" t="s">
        <v>787</v>
      </c>
      <c r="G219" s="4" t="s">
        <v>788</v>
      </c>
      <c r="H219" s="4" t="s">
        <v>789</v>
      </c>
      <c r="I219" s="4" t="s">
        <v>226</v>
      </c>
      <c r="J219" s="4" t="s">
        <v>790</v>
      </c>
      <c r="K219" s="4" t="s">
        <v>150</v>
      </c>
      <c r="L219" s="4" t="s">
        <v>348</v>
      </c>
      <c r="M219" s="24" t="s">
        <v>237</v>
      </c>
      <c r="N219" s="4" t="s">
        <v>153</v>
      </c>
      <c r="O219" s="4" t="s">
        <v>238</v>
      </c>
      <c r="P219" s="4" t="s">
        <v>118</v>
      </c>
      <c r="Q219" s="25" t="n">
        <v>74.99</v>
      </c>
      <c r="R219" s="25" t="n">
        <v>74.99</v>
      </c>
      <c r="S219" s="25" t="n">
        <v>40.94</v>
      </c>
      <c r="T219" s="26" t="n">
        <v>3</v>
      </c>
      <c r="U219" s="26" t="n">
        <v>0</v>
      </c>
      <c r="V219" s="26" t="n">
        <v>4</v>
      </c>
      <c r="W219" s="26"/>
      <c r="X219" s="27" t="n">
        <f aca="false">SUM(T219:W219)</f>
        <v>7</v>
      </c>
      <c r="Y219" s="28" t="n">
        <f aca="false">COUNT(T219:W219)</f>
        <v>3</v>
      </c>
      <c r="Z219" s="29" t="n">
        <f aca="false">R219*X219</f>
        <v>524.93</v>
      </c>
      <c r="AA219" s="30" t="n">
        <v>46202</v>
      </c>
    </row>
    <row r="220" customFormat="false" ht="15" hidden="false" customHeight="true" outlineLevel="0" collapsed="false">
      <c r="A220" s="4" t="s">
        <v>1164</v>
      </c>
      <c r="B220" s="4" t="s">
        <v>1165</v>
      </c>
      <c r="C220" s="4" t="s">
        <v>105</v>
      </c>
      <c r="D220" s="4" t="s">
        <v>106</v>
      </c>
      <c r="E220" s="4" t="s">
        <v>107</v>
      </c>
      <c r="F220" s="4" t="s">
        <v>108</v>
      </c>
      <c r="G220" s="4" t="s">
        <v>109</v>
      </c>
      <c r="H220" s="4" t="s">
        <v>110</v>
      </c>
      <c r="I220" s="4" t="s">
        <v>111</v>
      </c>
      <c r="J220" s="4" t="s">
        <v>112</v>
      </c>
      <c r="K220" s="4" t="s">
        <v>113</v>
      </c>
      <c r="L220" s="4" t="s">
        <v>114</v>
      </c>
      <c r="M220" s="24" t="s">
        <v>258</v>
      </c>
      <c r="N220" s="4" t="s">
        <v>116</v>
      </c>
      <c r="O220" s="4" t="s">
        <v>117</v>
      </c>
      <c r="P220" s="4" t="s">
        <v>118</v>
      </c>
      <c r="Q220" s="25" t="n">
        <v>34.99</v>
      </c>
      <c r="R220" s="25" t="n">
        <v>34.99</v>
      </c>
      <c r="S220" s="25" t="n">
        <v>19.22</v>
      </c>
      <c r="T220" s="26" t="n">
        <v>3</v>
      </c>
      <c r="U220" s="26" t="n">
        <v>1</v>
      </c>
      <c r="V220" s="26" t="n">
        <v>4</v>
      </c>
      <c r="W220" s="26"/>
      <c r="X220" s="27" t="n">
        <f aca="false">SUM(T220:W220)</f>
        <v>8</v>
      </c>
      <c r="Y220" s="28" t="n">
        <f aca="false">COUNT(T220:W220)</f>
        <v>3</v>
      </c>
      <c r="Z220" s="29" t="n">
        <f aca="false">R220*X220</f>
        <v>279.92</v>
      </c>
      <c r="AA220" s="30" t="n">
        <v>46104</v>
      </c>
    </row>
    <row r="221" customFormat="false" ht="15" hidden="false" customHeight="true" outlineLevel="0" collapsed="false">
      <c r="A221" s="4" t="s">
        <v>1166</v>
      </c>
      <c r="B221" s="4" t="s">
        <v>1167</v>
      </c>
      <c r="C221" s="4" t="s">
        <v>597</v>
      </c>
      <c r="D221" s="4" t="s">
        <v>122</v>
      </c>
      <c r="E221" s="4" t="s">
        <v>123</v>
      </c>
      <c r="F221" s="4" t="s">
        <v>598</v>
      </c>
      <c r="G221" s="4" t="s">
        <v>599</v>
      </c>
      <c r="H221" s="4" t="s">
        <v>600</v>
      </c>
      <c r="I221" s="4" t="s">
        <v>127</v>
      </c>
      <c r="J221" s="4" t="s">
        <v>280</v>
      </c>
      <c r="K221" s="4" t="s">
        <v>187</v>
      </c>
      <c r="L221" s="4" t="s">
        <v>601</v>
      </c>
      <c r="M221" s="24" t="s">
        <v>338</v>
      </c>
      <c r="N221" s="4" t="s">
        <v>189</v>
      </c>
      <c r="O221" s="4" t="s">
        <v>165</v>
      </c>
      <c r="P221" s="4" t="s">
        <v>118</v>
      </c>
      <c r="Q221" s="25" t="n">
        <v>139.99</v>
      </c>
      <c r="R221" s="25" t="n">
        <v>139.99</v>
      </c>
      <c r="S221" s="25" t="n">
        <v>72.45</v>
      </c>
      <c r="T221" s="26" t="n">
        <v>4</v>
      </c>
      <c r="U221" s="26"/>
      <c r="V221" s="26" t="n">
        <v>3</v>
      </c>
      <c r="W221" s="26"/>
      <c r="X221" s="27" t="n">
        <f aca="false">SUM(T221:W221)</f>
        <v>7</v>
      </c>
      <c r="Y221" s="28" t="n">
        <f aca="false">COUNT(T221:W221)</f>
        <v>2</v>
      </c>
      <c r="Z221" s="29" t="n">
        <f aca="false">R221*X221</f>
        <v>979.93</v>
      </c>
      <c r="AA221" s="30" t="n">
        <v>46212</v>
      </c>
    </row>
    <row r="222" customFormat="false" ht="15" hidden="false" customHeight="true" outlineLevel="0" collapsed="false">
      <c r="A222" s="4" t="s">
        <v>1168</v>
      </c>
      <c r="B222" s="4" t="s">
        <v>1169</v>
      </c>
      <c r="C222" s="4" t="s">
        <v>690</v>
      </c>
      <c r="D222" s="4" t="s">
        <v>122</v>
      </c>
      <c r="E222" s="4" t="s">
        <v>285</v>
      </c>
      <c r="F222" s="4" t="s">
        <v>691</v>
      </c>
      <c r="G222" s="4" t="s">
        <v>692</v>
      </c>
      <c r="H222" s="4" t="s">
        <v>693</v>
      </c>
      <c r="I222" s="4" t="s">
        <v>226</v>
      </c>
      <c r="J222" s="4" t="s">
        <v>265</v>
      </c>
      <c r="K222" s="4" t="s">
        <v>113</v>
      </c>
      <c r="L222" s="4" t="s">
        <v>694</v>
      </c>
      <c r="M222" s="24" t="s">
        <v>130</v>
      </c>
      <c r="N222" s="4" t="s">
        <v>116</v>
      </c>
      <c r="O222" s="4" t="s">
        <v>165</v>
      </c>
      <c r="P222" s="4" t="s">
        <v>118</v>
      </c>
      <c r="Q222" s="25" t="n">
        <v>119.99</v>
      </c>
      <c r="R222" s="25" t="n">
        <v>119.99</v>
      </c>
      <c r="S222" s="25" t="n">
        <v>62.47</v>
      </c>
      <c r="T222" s="26"/>
      <c r="U222" s="26"/>
      <c r="V222" s="26" t="n">
        <v>0</v>
      </c>
      <c r="W222" s="26"/>
      <c r="X222" s="27" t="n">
        <f aca="false">SUM(T222:W222)</f>
        <v>0</v>
      </c>
      <c r="Y222" s="28" t="n">
        <f aca="false">COUNT(T222:W222)</f>
        <v>1</v>
      </c>
      <c r="Z222" s="29" t="n">
        <f aca="false">R222*X222</f>
        <v>0</v>
      </c>
      <c r="AA222" s="30" t="n">
        <v>46112</v>
      </c>
    </row>
    <row r="223" customFormat="false" ht="15" hidden="false" customHeight="true" outlineLevel="0" collapsed="false">
      <c r="A223" s="4" t="s">
        <v>1170</v>
      </c>
      <c r="B223" s="4" t="s">
        <v>1171</v>
      </c>
      <c r="C223" s="4" t="s">
        <v>494</v>
      </c>
      <c r="D223" s="4" t="s">
        <v>106</v>
      </c>
      <c r="E223" s="4" t="s">
        <v>157</v>
      </c>
      <c r="F223" s="4" t="s">
        <v>495</v>
      </c>
      <c r="G223" s="4" t="s">
        <v>496</v>
      </c>
      <c r="H223" s="4" t="s">
        <v>497</v>
      </c>
      <c r="I223" s="4" t="s">
        <v>161</v>
      </c>
      <c r="J223" s="4" t="s">
        <v>162</v>
      </c>
      <c r="K223" s="4" t="s">
        <v>113</v>
      </c>
      <c r="L223" s="4" t="s">
        <v>498</v>
      </c>
      <c r="M223" s="24" t="s">
        <v>177</v>
      </c>
      <c r="N223" s="4" t="s">
        <v>116</v>
      </c>
      <c r="O223" s="4" t="s">
        <v>238</v>
      </c>
      <c r="P223" s="4" t="s">
        <v>239</v>
      </c>
      <c r="Q223" s="25" t="n">
        <v>109.99</v>
      </c>
      <c r="R223" s="25" t="n">
        <v>65.99</v>
      </c>
      <c r="S223" s="25" t="n">
        <v>60.5</v>
      </c>
      <c r="T223" s="26" t="n">
        <v>0</v>
      </c>
      <c r="U223" s="26" t="n">
        <v>4</v>
      </c>
      <c r="V223" s="26" t="n">
        <v>1</v>
      </c>
      <c r="W223" s="26" t="n">
        <v>3</v>
      </c>
      <c r="X223" s="27" t="n">
        <f aca="false">SUM(T223:W223)</f>
        <v>8</v>
      </c>
      <c r="Y223" s="28" t="n">
        <f aca="false">COUNT(T223:W223)</f>
        <v>4</v>
      </c>
      <c r="Z223" s="29" t="n">
        <f aca="false">R223*X223</f>
        <v>527.92</v>
      </c>
      <c r="AA223" s="30" t="n">
        <v>46062</v>
      </c>
    </row>
    <row r="224" customFormat="false" ht="15" hidden="false" customHeight="true" outlineLevel="0" collapsed="false">
      <c r="A224" s="4" t="s">
        <v>1172</v>
      </c>
      <c r="B224" s="4" t="s">
        <v>1173</v>
      </c>
      <c r="C224" s="4" t="s">
        <v>684</v>
      </c>
      <c r="D224" s="4" t="s">
        <v>251</v>
      </c>
      <c r="E224" s="4" t="s">
        <v>252</v>
      </c>
      <c r="F224" s="4" t="s">
        <v>685</v>
      </c>
      <c r="G224" s="4" t="s">
        <v>686</v>
      </c>
      <c r="H224" s="4" t="s">
        <v>687</v>
      </c>
      <c r="I224" s="4" t="s">
        <v>161</v>
      </c>
      <c r="J224" s="4" t="s">
        <v>235</v>
      </c>
      <c r="K224" s="4" t="s">
        <v>113</v>
      </c>
      <c r="L224" s="4" t="s">
        <v>348</v>
      </c>
      <c r="M224" s="24" t="s">
        <v>141</v>
      </c>
      <c r="N224" s="4" t="s">
        <v>116</v>
      </c>
      <c r="O224" s="4" t="s">
        <v>117</v>
      </c>
      <c r="P224" s="4" t="s">
        <v>118</v>
      </c>
      <c r="Q224" s="25" t="n">
        <v>79.99</v>
      </c>
      <c r="R224" s="25" t="n">
        <v>79.99</v>
      </c>
      <c r="S224" s="25" t="n">
        <v>44.53</v>
      </c>
      <c r="T224" s="26" t="n">
        <v>5</v>
      </c>
      <c r="U224" s="26" t="n">
        <v>0</v>
      </c>
      <c r="V224" s="26" t="n">
        <v>2</v>
      </c>
      <c r="W224" s="26" t="n">
        <v>3</v>
      </c>
      <c r="X224" s="27" t="n">
        <f aca="false">SUM(T224:W224)</f>
        <v>10</v>
      </c>
      <c r="Y224" s="28" t="n">
        <f aca="false">COUNT(T224:W224)</f>
        <v>4</v>
      </c>
      <c r="Z224" s="29" t="n">
        <f aca="false">R224*X224</f>
        <v>799.9</v>
      </c>
      <c r="AA224" s="30" t="n">
        <v>46175</v>
      </c>
    </row>
    <row r="225" customFormat="false" ht="15" hidden="false" customHeight="true" outlineLevel="0" collapsed="false">
      <c r="A225" s="4" t="s">
        <v>1174</v>
      </c>
      <c r="B225" s="4" t="s">
        <v>1175</v>
      </c>
      <c r="C225" s="4" t="s">
        <v>1176</v>
      </c>
      <c r="D225" s="4" t="s">
        <v>583</v>
      </c>
      <c r="E225" s="4" t="s">
        <v>584</v>
      </c>
      <c r="F225" s="4" t="s">
        <v>1177</v>
      </c>
      <c r="G225" s="4" t="s">
        <v>1178</v>
      </c>
      <c r="H225" s="4" t="s">
        <v>1179</v>
      </c>
      <c r="I225" s="4" t="s">
        <v>161</v>
      </c>
      <c r="J225" s="4" t="s">
        <v>246</v>
      </c>
      <c r="K225" s="4" t="s">
        <v>209</v>
      </c>
      <c r="L225" s="4" t="s">
        <v>1180</v>
      </c>
      <c r="M225" s="24" t="s">
        <v>442</v>
      </c>
      <c r="N225" s="4" t="s">
        <v>153</v>
      </c>
      <c r="O225" s="4" t="s">
        <v>131</v>
      </c>
      <c r="P225" s="4" t="s">
        <v>118</v>
      </c>
      <c r="Q225" s="25" t="n">
        <v>149.99</v>
      </c>
      <c r="R225" s="25" t="n">
        <v>149.99</v>
      </c>
      <c r="S225" s="25" t="n">
        <v>80.52</v>
      </c>
      <c r="T225" s="26" t="n">
        <v>4</v>
      </c>
      <c r="U225" s="26" t="n">
        <v>1</v>
      </c>
      <c r="V225" s="26" t="n">
        <v>6</v>
      </c>
      <c r="W225" s="26" t="n">
        <v>1</v>
      </c>
      <c r="X225" s="27" t="n">
        <f aca="false">SUM(T225:W225)</f>
        <v>12</v>
      </c>
      <c r="Y225" s="28" t="n">
        <f aca="false">COUNT(T225:W225)</f>
        <v>4</v>
      </c>
      <c r="Z225" s="29" t="n">
        <f aca="false">R225*X225</f>
        <v>1799.88</v>
      </c>
      <c r="AA225" s="30" t="n">
        <v>46099</v>
      </c>
    </row>
    <row r="226" customFormat="false" ht="15" hidden="false" customHeight="true" outlineLevel="0" collapsed="false">
      <c r="A226" s="4" t="s">
        <v>1181</v>
      </c>
      <c r="B226" s="4" t="s">
        <v>1182</v>
      </c>
      <c r="C226" s="4" t="s">
        <v>294</v>
      </c>
      <c r="D226" s="4" t="s">
        <v>251</v>
      </c>
      <c r="E226" s="4" t="s">
        <v>252</v>
      </c>
      <c r="F226" s="4" t="s">
        <v>295</v>
      </c>
      <c r="G226" s="4" t="s">
        <v>296</v>
      </c>
      <c r="H226" s="4" t="s">
        <v>297</v>
      </c>
      <c r="I226" s="4" t="s">
        <v>127</v>
      </c>
      <c r="J226" s="4" t="s">
        <v>298</v>
      </c>
      <c r="K226" s="4" t="s">
        <v>113</v>
      </c>
      <c r="L226" s="4" t="s">
        <v>299</v>
      </c>
      <c r="M226" s="24" t="s">
        <v>258</v>
      </c>
      <c r="N226" s="4" t="s">
        <v>116</v>
      </c>
      <c r="O226" s="4" t="s">
        <v>165</v>
      </c>
      <c r="P226" s="4" t="s">
        <v>118</v>
      </c>
      <c r="Q226" s="25" t="n">
        <v>79.99</v>
      </c>
      <c r="R226" s="25" t="n">
        <v>79.99</v>
      </c>
      <c r="S226" s="25" t="n">
        <v>41.96</v>
      </c>
      <c r="T226" s="26" t="n">
        <v>3</v>
      </c>
      <c r="U226" s="26"/>
      <c r="V226" s="26" t="n">
        <v>0</v>
      </c>
      <c r="W226" s="26" t="n">
        <v>0</v>
      </c>
      <c r="X226" s="27" t="n">
        <f aca="false">SUM(T226:W226)</f>
        <v>3</v>
      </c>
      <c r="Y226" s="28" t="n">
        <f aca="false">COUNT(T226:W226)</f>
        <v>3</v>
      </c>
      <c r="Z226" s="29" t="n">
        <f aca="false">R226*X226</f>
        <v>239.97</v>
      </c>
      <c r="AA226" s="30" t="n">
        <v>46200</v>
      </c>
    </row>
    <row r="227" customFormat="false" ht="15" hidden="false" customHeight="true" outlineLevel="0" collapsed="false">
      <c r="A227" s="4" t="s">
        <v>1183</v>
      </c>
      <c r="B227" s="4" t="s">
        <v>1184</v>
      </c>
      <c r="C227" s="4" t="s">
        <v>419</v>
      </c>
      <c r="D227" s="4" t="s">
        <v>122</v>
      </c>
      <c r="E227" s="4" t="s">
        <v>123</v>
      </c>
      <c r="F227" s="4" t="s">
        <v>420</v>
      </c>
      <c r="G227" s="4" t="s">
        <v>421</v>
      </c>
      <c r="H227" s="4" t="s">
        <v>422</v>
      </c>
      <c r="I227" s="4" t="s">
        <v>161</v>
      </c>
      <c r="J227" s="4" t="s">
        <v>235</v>
      </c>
      <c r="K227" s="4" t="s">
        <v>113</v>
      </c>
      <c r="L227" s="4" t="s">
        <v>423</v>
      </c>
      <c r="M227" s="24" t="s">
        <v>164</v>
      </c>
      <c r="N227" s="4" t="s">
        <v>116</v>
      </c>
      <c r="O227" s="4" t="s">
        <v>131</v>
      </c>
      <c r="P227" s="4" t="s">
        <v>118</v>
      </c>
      <c r="Q227" s="25" t="n">
        <v>124.99</v>
      </c>
      <c r="R227" s="25" t="n">
        <v>124.99</v>
      </c>
      <c r="S227" s="25" t="n">
        <v>68.25</v>
      </c>
      <c r="T227" s="26" t="n">
        <v>0</v>
      </c>
      <c r="U227" s="26" t="n">
        <v>2</v>
      </c>
      <c r="V227" s="26" t="n">
        <v>4</v>
      </c>
      <c r="W227" s="26"/>
      <c r="X227" s="27" t="n">
        <f aca="false">SUM(T227:W227)</f>
        <v>6</v>
      </c>
      <c r="Y227" s="28" t="n">
        <f aca="false">COUNT(T227:W227)</f>
        <v>3</v>
      </c>
      <c r="Z227" s="29" t="n">
        <f aca="false">R227*X227</f>
        <v>749.94</v>
      </c>
      <c r="AA227" s="30" t="n">
        <v>46161</v>
      </c>
    </row>
    <row r="228" customFormat="false" ht="15" hidden="false" customHeight="true" outlineLevel="0" collapsed="false">
      <c r="A228" s="4" t="s">
        <v>1185</v>
      </c>
      <c r="B228" s="4" t="s">
        <v>1186</v>
      </c>
      <c r="C228" s="4" t="s">
        <v>813</v>
      </c>
      <c r="D228" s="4" t="s">
        <v>331</v>
      </c>
      <c r="E228" s="4" t="s">
        <v>332</v>
      </c>
      <c r="F228" s="4" t="s">
        <v>814</v>
      </c>
      <c r="G228" s="4" t="s">
        <v>815</v>
      </c>
      <c r="H228" s="4" t="s">
        <v>816</v>
      </c>
      <c r="I228" s="4" t="s">
        <v>127</v>
      </c>
      <c r="J228" s="4" t="s">
        <v>817</v>
      </c>
      <c r="K228" s="4" t="s">
        <v>113</v>
      </c>
      <c r="L228" s="4" t="s">
        <v>818</v>
      </c>
      <c r="M228" s="24" t="s">
        <v>211</v>
      </c>
      <c r="N228" s="4" t="s">
        <v>116</v>
      </c>
      <c r="O228" s="4" t="s">
        <v>165</v>
      </c>
      <c r="P228" s="4" t="s">
        <v>239</v>
      </c>
      <c r="Q228" s="25" t="n">
        <v>179.99</v>
      </c>
      <c r="R228" s="25" t="n">
        <v>107.99</v>
      </c>
      <c r="S228" s="25" t="n">
        <v>100.67</v>
      </c>
      <c r="T228" s="26"/>
      <c r="U228" s="26" t="n">
        <v>2</v>
      </c>
      <c r="V228" s="26" t="n">
        <v>5</v>
      </c>
      <c r="W228" s="26"/>
      <c r="X228" s="27" t="n">
        <f aca="false">SUM(T228:W228)</f>
        <v>7</v>
      </c>
      <c r="Y228" s="28" t="n">
        <f aca="false">COUNT(T228:W228)</f>
        <v>2</v>
      </c>
      <c r="Z228" s="29" t="n">
        <f aca="false">R228*X228</f>
        <v>755.93</v>
      </c>
      <c r="AA228" s="30" t="n">
        <v>46206</v>
      </c>
    </row>
    <row r="229" customFormat="false" ht="15" hidden="false" customHeight="true" outlineLevel="0" collapsed="false">
      <c r="A229" s="4" t="s">
        <v>1187</v>
      </c>
      <c r="B229" s="4" t="s">
        <v>1188</v>
      </c>
      <c r="C229" s="4" t="s">
        <v>861</v>
      </c>
      <c r="D229" s="4" t="s">
        <v>475</v>
      </c>
      <c r="E229" s="4" t="s">
        <v>476</v>
      </c>
      <c r="F229" s="4" t="s">
        <v>862</v>
      </c>
      <c r="G229" s="4" t="s">
        <v>863</v>
      </c>
      <c r="H229" s="4" t="s">
        <v>864</v>
      </c>
      <c r="I229" s="4" t="s">
        <v>161</v>
      </c>
      <c r="J229" s="4" t="s">
        <v>186</v>
      </c>
      <c r="K229" s="4" t="s">
        <v>209</v>
      </c>
      <c r="L229" s="4" t="s">
        <v>348</v>
      </c>
      <c r="M229" s="24" t="s">
        <v>164</v>
      </c>
      <c r="N229" s="4" t="s">
        <v>153</v>
      </c>
      <c r="O229" s="4" t="s">
        <v>131</v>
      </c>
      <c r="P229" s="4" t="s">
        <v>118</v>
      </c>
      <c r="Q229" s="25" t="n">
        <v>69.99</v>
      </c>
      <c r="R229" s="25" t="n">
        <v>69.99</v>
      </c>
      <c r="S229" s="25" t="n">
        <v>36.17</v>
      </c>
      <c r="T229" s="26" t="n">
        <v>5</v>
      </c>
      <c r="U229" s="26"/>
      <c r="V229" s="26" t="n">
        <v>6</v>
      </c>
      <c r="W229" s="26"/>
      <c r="X229" s="27" t="n">
        <f aca="false">SUM(T229:W229)</f>
        <v>11</v>
      </c>
      <c r="Y229" s="28" t="n">
        <f aca="false">COUNT(T229:W229)</f>
        <v>2</v>
      </c>
      <c r="Z229" s="29" t="n">
        <f aca="false">R229*X229</f>
        <v>769.89</v>
      </c>
      <c r="AA229" s="30" t="n">
        <v>46197</v>
      </c>
    </row>
    <row r="230" customFormat="false" ht="15" hidden="false" customHeight="true" outlineLevel="0" collapsed="false">
      <c r="A230" s="4" t="s">
        <v>1189</v>
      </c>
      <c r="B230" s="4" t="s">
        <v>1190</v>
      </c>
      <c r="C230" s="4" t="s">
        <v>1191</v>
      </c>
      <c r="D230" s="4" t="s">
        <v>106</v>
      </c>
      <c r="E230" s="4" t="s">
        <v>107</v>
      </c>
      <c r="F230" s="4" t="s">
        <v>1192</v>
      </c>
      <c r="G230" s="4" t="s">
        <v>1193</v>
      </c>
      <c r="H230" s="4" t="s">
        <v>1194</v>
      </c>
      <c r="I230" s="4" t="s">
        <v>771</v>
      </c>
      <c r="J230" s="4" t="s">
        <v>772</v>
      </c>
      <c r="K230" s="4" t="s">
        <v>113</v>
      </c>
      <c r="L230" s="4" t="s">
        <v>1195</v>
      </c>
      <c r="M230" s="24" t="s">
        <v>164</v>
      </c>
      <c r="N230" s="4" t="s">
        <v>116</v>
      </c>
      <c r="O230" s="4" t="s">
        <v>131</v>
      </c>
      <c r="P230" s="4" t="s">
        <v>118</v>
      </c>
      <c r="Q230" s="25" t="n">
        <v>119.99</v>
      </c>
      <c r="R230" s="25" t="n">
        <v>119.99</v>
      </c>
      <c r="S230" s="25" t="n">
        <v>66.66</v>
      </c>
      <c r="T230" s="26" t="n">
        <v>3</v>
      </c>
      <c r="U230" s="26" t="n">
        <v>0</v>
      </c>
      <c r="V230" s="26" t="n">
        <v>4</v>
      </c>
      <c r="W230" s="26"/>
      <c r="X230" s="27" t="n">
        <f aca="false">SUM(T230:W230)</f>
        <v>7</v>
      </c>
      <c r="Y230" s="28" t="n">
        <f aca="false">COUNT(T230:W230)</f>
        <v>3</v>
      </c>
      <c r="Z230" s="29" t="n">
        <f aca="false">R230*X230</f>
        <v>839.93</v>
      </c>
      <c r="AA230" s="30" t="n">
        <v>46151</v>
      </c>
    </row>
    <row r="231" customFormat="false" ht="15" hidden="false" customHeight="true" outlineLevel="0" collapsed="false">
      <c r="A231" s="4" t="s">
        <v>1196</v>
      </c>
      <c r="B231" s="4" t="s">
        <v>1197</v>
      </c>
      <c r="C231" s="4" t="s">
        <v>1112</v>
      </c>
      <c r="D231" s="4" t="s">
        <v>583</v>
      </c>
      <c r="E231" s="4" t="s">
        <v>584</v>
      </c>
      <c r="F231" s="4" t="s">
        <v>1113</v>
      </c>
      <c r="G231" s="4" t="s">
        <v>1114</v>
      </c>
      <c r="H231" s="4" t="s">
        <v>1115</v>
      </c>
      <c r="I231" s="4" t="s">
        <v>127</v>
      </c>
      <c r="J231" s="4" t="s">
        <v>128</v>
      </c>
      <c r="K231" s="4" t="s">
        <v>187</v>
      </c>
      <c r="L231" s="4" t="s">
        <v>1116</v>
      </c>
      <c r="M231" s="24" t="s">
        <v>356</v>
      </c>
      <c r="N231" s="4" t="s">
        <v>189</v>
      </c>
      <c r="O231" s="4" t="s">
        <v>131</v>
      </c>
      <c r="P231" s="4" t="s">
        <v>239</v>
      </c>
      <c r="Q231" s="25" t="n">
        <v>69.99</v>
      </c>
      <c r="R231" s="25" t="n">
        <v>41.99</v>
      </c>
      <c r="S231" s="25" t="n">
        <v>36.27</v>
      </c>
      <c r="T231" s="26"/>
      <c r="U231" s="26"/>
      <c r="V231" s="26" t="n">
        <v>1</v>
      </c>
      <c r="W231" s="26"/>
      <c r="X231" s="27" t="n">
        <f aca="false">SUM(T231:W231)</f>
        <v>1</v>
      </c>
      <c r="Y231" s="28" t="n">
        <f aca="false">COUNT(T231:W231)</f>
        <v>1</v>
      </c>
      <c r="Z231" s="29" t="n">
        <f aca="false">R231*X231</f>
        <v>41.99</v>
      </c>
      <c r="AA231" s="30" t="n">
        <v>46047</v>
      </c>
    </row>
    <row r="232" customFormat="false" ht="15" hidden="false" customHeight="true" outlineLevel="0" collapsed="false">
      <c r="A232" s="4" t="s">
        <v>1198</v>
      </c>
      <c r="B232" s="4" t="s">
        <v>1199</v>
      </c>
      <c r="C232" s="4" t="s">
        <v>383</v>
      </c>
      <c r="D232" s="4" t="s">
        <v>135</v>
      </c>
      <c r="E232" s="4" t="s">
        <v>136</v>
      </c>
      <c r="F232" s="4" t="s">
        <v>384</v>
      </c>
      <c r="G232" s="4" t="s">
        <v>385</v>
      </c>
      <c r="H232" s="4" t="s">
        <v>386</v>
      </c>
      <c r="I232" s="4" t="s">
        <v>127</v>
      </c>
      <c r="J232" s="4" t="s">
        <v>280</v>
      </c>
      <c r="K232" s="4" t="s">
        <v>113</v>
      </c>
      <c r="L232" s="4" t="s">
        <v>387</v>
      </c>
      <c r="M232" s="24" t="s">
        <v>211</v>
      </c>
      <c r="N232" s="4" t="s">
        <v>116</v>
      </c>
      <c r="O232" s="4" t="s">
        <v>117</v>
      </c>
      <c r="P232" s="4" t="s">
        <v>202</v>
      </c>
      <c r="Q232" s="25" t="n">
        <v>149.99</v>
      </c>
      <c r="R232" s="25" t="n">
        <v>149.99</v>
      </c>
      <c r="S232" s="25" t="n">
        <v>72.91</v>
      </c>
      <c r="T232" s="26" t="n">
        <v>3</v>
      </c>
      <c r="U232" s="26" t="n">
        <v>0</v>
      </c>
      <c r="V232" s="26" t="n">
        <v>2</v>
      </c>
      <c r="W232" s="26"/>
      <c r="X232" s="27" t="n">
        <f aca="false">SUM(T232:W232)</f>
        <v>5</v>
      </c>
      <c r="Y232" s="28" t="n">
        <f aca="false">COUNT(T232:W232)</f>
        <v>3</v>
      </c>
      <c r="Z232" s="29" t="n">
        <f aca="false">R232*X232</f>
        <v>749.95</v>
      </c>
      <c r="AA232" s="30" t="n">
        <v>46030</v>
      </c>
    </row>
    <row r="233" customFormat="false" ht="15" hidden="false" customHeight="true" outlineLevel="0" collapsed="false">
      <c r="A233" s="4" t="s">
        <v>1200</v>
      </c>
      <c r="B233" s="4" t="s">
        <v>1201</v>
      </c>
      <c r="C233" s="4" t="s">
        <v>156</v>
      </c>
      <c r="D233" s="4" t="s">
        <v>106</v>
      </c>
      <c r="E233" s="4" t="s">
        <v>157</v>
      </c>
      <c r="F233" s="4" t="s">
        <v>158</v>
      </c>
      <c r="G233" s="4" t="s">
        <v>159</v>
      </c>
      <c r="H233" s="4" t="s">
        <v>160</v>
      </c>
      <c r="I233" s="4" t="s">
        <v>161</v>
      </c>
      <c r="J233" s="4" t="s">
        <v>162</v>
      </c>
      <c r="K233" s="4" t="s">
        <v>113</v>
      </c>
      <c r="L233" s="4" t="s">
        <v>163</v>
      </c>
      <c r="M233" s="24" t="s">
        <v>327</v>
      </c>
      <c r="N233" s="4" t="s">
        <v>116</v>
      </c>
      <c r="O233" s="4" t="s">
        <v>165</v>
      </c>
      <c r="P233" s="4" t="s">
        <v>118</v>
      </c>
      <c r="Q233" s="25" t="n">
        <v>109.99</v>
      </c>
      <c r="R233" s="25" t="n">
        <v>109.99</v>
      </c>
      <c r="S233" s="25" t="n">
        <v>54.53</v>
      </c>
      <c r="T233" s="26" t="n">
        <v>0</v>
      </c>
      <c r="U233" s="26" t="n">
        <v>0</v>
      </c>
      <c r="V233" s="26" t="n">
        <v>6</v>
      </c>
      <c r="W233" s="26" t="n">
        <v>0</v>
      </c>
      <c r="X233" s="27" t="n">
        <f aca="false">SUM(T233:W233)</f>
        <v>6</v>
      </c>
      <c r="Y233" s="28" t="n">
        <f aca="false">COUNT(T233:W233)</f>
        <v>4</v>
      </c>
      <c r="Z233" s="29" t="n">
        <f aca="false">R233*X233</f>
        <v>659.94</v>
      </c>
      <c r="AA233" s="30" t="n">
        <v>46168</v>
      </c>
    </row>
    <row r="234" customFormat="false" ht="15" hidden="false" customHeight="true" outlineLevel="0" collapsed="false">
      <c r="A234" s="4" t="s">
        <v>1202</v>
      </c>
      <c r="B234" s="4" t="s">
        <v>1203</v>
      </c>
      <c r="C234" s="4" t="s">
        <v>671</v>
      </c>
      <c r="D234" s="4" t="s">
        <v>122</v>
      </c>
      <c r="E234" s="4" t="s">
        <v>123</v>
      </c>
      <c r="F234" s="4" t="s">
        <v>124</v>
      </c>
      <c r="G234" s="4" t="s">
        <v>672</v>
      </c>
      <c r="H234" s="4" t="s">
        <v>673</v>
      </c>
      <c r="I234" s="4" t="s">
        <v>127</v>
      </c>
      <c r="J234" s="4" t="s">
        <v>128</v>
      </c>
      <c r="K234" s="4" t="s">
        <v>150</v>
      </c>
      <c r="L234" s="4" t="s">
        <v>674</v>
      </c>
      <c r="M234" s="24" t="s">
        <v>237</v>
      </c>
      <c r="N234" s="4" t="s">
        <v>153</v>
      </c>
      <c r="O234" s="4" t="s">
        <v>165</v>
      </c>
      <c r="P234" s="4" t="s">
        <v>118</v>
      </c>
      <c r="Q234" s="25" t="n">
        <v>59.99</v>
      </c>
      <c r="R234" s="25" t="n">
        <v>59.99</v>
      </c>
      <c r="S234" s="25" t="n">
        <v>29.23</v>
      </c>
      <c r="T234" s="26" t="n">
        <v>4</v>
      </c>
      <c r="U234" s="26" t="n">
        <v>2</v>
      </c>
      <c r="V234" s="26" t="n">
        <v>0</v>
      </c>
      <c r="W234" s="26" t="n">
        <v>4</v>
      </c>
      <c r="X234" s="27" t="n">
        <f aca="false">SUM(T234:W234)</f>
        <v>10</v>
      </c>
      <c r="Y234" s="28" t="n">
        <f aca="false">COUNT(T234:W234)</f>
        <v>4</v>
      </c>
      <c r="Z234" s="29" t="n">
        <f aca="false">R234*X234</f>
        <v>599.9</v>
      </c>
      <c r="AA234" s="30" t="n">
        <v>46133</v>
      </c>
    </row>
    <row r="235" customFormat="false" ht="15" hidden="false" customHeight="true" outlineLevel="0" collapsed="false">
      <c r="A235" s="4" t="s">
        <v>1204</v>
      </c>
      <c r="B235" s="4" t="s">
        <v>1205</v>
      </c>
      <c r="C235" s="4" t="s">
        <v>924</v>
      </c>
      <c r="D235" s="4" t="s">
        <v>643</v>
      </c>
      <c r="E235" s="4" t="s">
        <v>644</v>
      </c>
      <c r="F235" s="4" t="s">
        <v>925</v>
      </c>
      <c r="G235" s="4" t="s">
        <v>926</v>
      </c>
      <c r="H235" s="4" t="s">
        <v>927</v>
      </c>
      <c r="I235" s="4" t="s">
        <v>127</v>
      </c>
      <c r="J235" s="4" t="s">
        <v>347</v>
      </c>
      <c r="K235" s="4" t="s">
        <v>113</v>
      </c>
      <c r="L235" s="4" t="s">
        <v>928</v>
      </c>
      <c r="M235" s="24" t="s">
        <v>327</v>
      </c>
      <c r="N235" s="4" t="s">
        <v>116</v>
      </c>
      <c r="O235" s="4" t="s">
        <v>165</v>
      </c>
      <c r="P235" s="4" t="s">
        <v>118</v>
      </c>
      <c r="Q235" s="25" t="n">
        <v>169.99</v>
      </c>
      <c r="R235" s="25" t="n">
        <v>169.99</v>
      </c>
      <c r="S235" s="25" t="n">
        <v>89.36</v>
      </c>
      <c r="T235" s="26" t="n">
        <v>4</v>
      </c>
      <c r="U235" s="26"/>
      <c r="V235" s="26" t="n">
        <v>2</v>
      </c>
      <c r="W235" s="26"/>
      <c r="X235" s="27" t="n">
        <f aca="false">SUM(T235:W235)</f>
        <v>6</v>
      </c>
      <c r="Y235" s="28" t="n">
        <f aca="false">COUNT(T235:W235)</f>
        <v>2</v>
      </c>
      <c r="Z235" s="29" t="n">
        <f aca="false">R235*X235</f>
        <v>1019.94</v>
      </c>
      <c r="AA235" s="30" t="n">
        <v>46194</v>
      </c>
    </row>
    <row r="236" customFormat="false" ht="15" hidden="false" customHeight="true" outlineLevel="0" collapsed="false">
      <c r="A236" s="4" t="s">
        <v>1206</v>
      </c>
      <c r="B236" s="4" t="s">
        <v>1207</v>
      </c>
      <c r="C236" s="4" t="s">
        <v>1208</v>
      </c>
      <c r="D236" s="4" t="s">
        <v>342</v>
      </c>
      <c r="E236" s="4" t="s">
        <v>343</v>
      </c>
      <c r="F236" s="4" t="s">
        <v>1209</v>
      </c>
      <c r="G236" s="4" t="s">
        <v>1210</v>
      </c>
      <c r="H236" s="4" t="s">
        <v>1211</v>
      </c>
      <c r="I236" s="4" t="s">
        <v>127</v>
      </c>
      <c r="J236" s="4" t="s">
        <v>817</v>
      </c>
      <c r="K236" s="4" t="s">
        <v>113</v>
      </c>
      <c r="L236" s="4" t="s">
        <v>1212</v>
      </c>
      <c r="M236" s="24" t="s">
        <v>177</v>
      </c>
      <c r="N236" s="4" t="s">
        <v>116</v>
      </c>
      <c r="O236" s="4" t="s">
        <v>165</v>
      </c>
      <c r="P236" s="4" t="s">
        <v>118</v>
      </c>
      <c r="Q236" s="25" t="n">
        <v>174.99</v>
      </c>
      <c r="R236" s="25" t="n">
        <v>174.99</v>
      </c>
      <c r="S236" s="25" t="n">
        <v>87.2</v>
      </c>
      <c r="T236" s="26" t="n">
        <v>6</v>
      </c>
      <c r="U236" s="26" t="n">
        <v>2</v>
      </c>
      <c r="V236" s="26" t="n">
        <v>4</v>
      </c>
      <c r="W236" s="26"/>
      <c r="X236" s="27" t="n">
        <f aca="false">SUM(T236:W236)</f>
        <v>12</v>
      </c>
      <c r="Y236" s="28" t="n">
        <f aca="false">COUNT(T236:W236)</f>
        <v>3</v>
      </c>
      <c r="Z236" s="29" t="n">
        <f aca="false">R236*X236</f>
        <v>2099.88</v>
      </c>
      <c r="AA236" s="30" t="n">
        <v>46046</v>
      </c>
    </row>
    <row r="237" customFormat="false" ht="15" hidden="false" customHeight="true" outlineLevel="0" collapsed="false">
      <c r="A237" s="4" t="s">
        <v>1213</v>
      </c>
      <c r="B237" s="4" t="s">
        <v>1214</v>
      </c>
      <c r="C237" s="4" t="s">
        <v>575</v>
      </c>
      <c r="D237" s="4" t="s">
        <v>122</v>
      </c>
      <c r="E237" s="4" t="s">
        <v>285</v>
      </c>
      <c r="F237" s="4" t="s">
        <v>576</v>
      </c>
      <c r="G237" s="4" t="s">
        <v>577</v>
      </c>
      <c r="H237" s="4" t="s">
        <v>578</v>
      </c>
      <c r="I237" s="4" t="s">
        <v>161</v>
      </c>
      <c r="J237" s="4" t="s">
        <v>235</v>
      </c>
      <c r="K237" s="4" t="s">
        <v>113</v>
      </c>
      <c r="L237" s="4" t="s">
        <v>579</v>
      </c>
      <c r="M237" s="24" t="s">
        <v>130</v>
      </c>
      <c r="N237" s="4" t="s">
        <v>116</v>
      </c>
      <c r="O237" s="4" t="s">
        <v>380</v>
      </c>
      <c r="P237" s="4" t="s">
        <v>239</v>
      </c>
      <c r="Q237" s="25" t="n">
        <v>109.99</v>
      </c>
      <c r="R237" s="25" t="n">
        <v>65.99</v>
      </c>
      <c r="S237" s="25" t="n">
        <v>57.5</v>
      </c>
      <c r="T237" s="26" t="n">
        <v>3</v>
      </c>
      <c r="U237" s="26" t="n">
        <v>0</v>
      </c>
      <c r="V237" s="26" t="n">
        <v>5</v>
      </c>
      <c r="W237" s="26" t="n">
        <v>1</v>
      </c>
      <c r="X237" s="27" t="n">
        <f aca="false">SUM(T237:W237)</f>
        <v>9</v>
      </c>
      <c r="Y237" s="28" t="n">
        <f aca="false">COUNT(T237:W237)</f>
        <v>4</v>
      </c>
      <c r="Z237" s="29" t="n">
        <f aca="false">R237*X237</f>
        <v>593.91</v>
      </c>
      <c r="AA237" s="30" t="n">
        <v>46110</v>
      </c>
    </row>
    <row r="238" customFormat="false" ht="15" hidden="false" customHeight="true" outlineLevel="0" collapsed="false">
      <c r="A238" s="4" t="s">
        <v>1215</v>
      </c>
      <c r="B238" s="4" t="s">
        <v>1216</v>
      </c>
      <c r="C238" s="4" t="s">
        <v>261</v>
      </c>
      <c r="D238" s="4" t="s">
        <v>122</v>
      </c>
      <c r="E238" s="4" t="s">
        <v>123</v>
      </c>
      <c r="F238" s="4" t="s">
        <v>262</v>
      </c>
      <c r="G238" s="4" t="s">
        <v>263</v>
      </c>
      <c r="H238" s="4" t="s">
        <v>264</v>
      </c>
      <c r="I238" s="4" t="s">
        <v>226</v>
      </c>
      <c r="J238" s="4" t="s">
        <v>265</v>
      </c>
      <c r="K238" s="4" t="s">
        <v>150</v>
      </c>
      <c r="L238" s="4" t="s">
        <v>266</v>
      </c>
      <c r="M238" s="24" t="s">
        <v>910</v>
      </c>
      <c r="N238" s="4" t="s">
        <v>153</v>
      </c>
      <c r="O238" s="4" t="s">
        <v>165</v>
      </c>
      <c r="P238" s="4" t="s">
        <v>118</v>
      </c>
      <c r="Q238" s="25" t="n">
        <v>84.99</v>
      </c>
      <c r="R238" s="25" t="n">
        <v>84.99</v>
      </c>
      <c r="S238" s="25" t="n">
        <v>46.96</v>
      </c>
      <c r="T238" s="26" t="n">
        <v>0</v>
      </c>
      <c r="U238" s="26" t="n">
        <v>3</v>
      </c>
      <c r="V238" s="26"/>
      <c r="W238" s="26"/>
      <c r="X238" s="27" t="n">
        <f aca="false">SUM(T238:W238)</f>
        <v>3</v>
      </c>
      <c r="Y238" s="28" t="n">
        <f aca="false">COUNT(T238:W238)</f>
        <v>2</v>
      </c>
      <c r="Z238" s="29" t="n">
        <f aca="false">R238*X238</f>
        <v>254.97</v>
      </c>
      <c r="AA238" s="30" t="n">
        <v>46149</v>
      </c>
    </row>
    <row r="239" customFormat="false" ht="15" hidden="false" customHeight="true" outlineLevel="0" collapsed="false">
      <c r="A239" s="4" t="s">
        <v>1217</v>
      </c>
      <c r="B239" s="4" t="s">
        <v>1218</v>
      </c>
      <c r="C239" s="4" t="s">
        <v>541</v>
      </c>
      <c r="D239" s="4" t="s">
        <v>135</v>
      </c>
      <c r="E239" s="4" t="s">
        <v>136</v>
      </c>
      <c r="F239" s="4" t="s">
        <v>542</v>
      </c>
      <c r="G239" s="4" t="s">
        <v>543</v>
      </c>
      <c r="H239" s="4" t="s">
        <v>544</v>
      </c>
      <c r="I239" s="4" t="s">
        <v>161</v>
      </c>
      <c r="J239" s="4" t="s">
        <v>246</v>
      </c>
      <c r="K239" s="4" t="s">
        <v>187</v>
      </c>
      <c r="L239" s="4" t="s">
        <v>545</v>
      </c>
      <c r="M239" s="24" t="s">
        <v>356</v>
      </c>
      <c r="N239" s="4" t="s">
        <v>189</v>
      </c>
      <c r="O239" s="4" t="s">
        <v>131</v>
      </c>
      <c r="P239" s="4" t="s">
        <v>118</v>
      </c>
      <c r="Q239" s="25" t="n">
        <v>99.99</v>
      </c>
      <c r="R239" s="25" t="n">
        <v>99.99</v>
      </c>
      <c r="S239" s="25" t="n">
        <v>53.26</v>
      </c>
      <c r="T239" s="26" t="n">
        <v>0</v>
      </c>
      <c r="U239" s="26" t="n">
        <v>0</v>
      </c>
      <c r="V239" s="26" t="n">
        <v>5</v>
      </c>
      <c r="W239" s="26" t="n">
        <v>2</v>
      </c>
      <c r="X239" s="27" t="n">
        <f aca="false">SUM(T239:W239)</f>
        <v>7</v>
      </c>
      <c r="Y239" s="28" t="n">
        <f aca="false">COUNT(T239:W239)</f>
        <v>4</v>
      </c>
      <c r="Z239" s="29" t="n">
        <f aca="false">R239*X239</f>
        <v>699.93</v>
      </c>
      <c r="AA239" s="30" t="n">
        <v>46217</v>
      </c>
    </row>
    <row r="240" customFormat="false" ht="15" hidden="false" customHeight="true" outlineLevel="0" collapsed="false">
      <c r="A240" s="4" t="s">
        <v>1219</v>
      </c>
      <c r="B240" s="4" t="s">
        <v>1220</v>
      </c>
      <c r="C240" s="4" t="s">
        <v>897</v>
      </c>
      <c r="D240" s="4" t="s">
        <v>475</v>
      </c>
      <c r="E240" s="4" t="s">
        <v>476</v>
      </c>
      <c r="F240" s="4" t="s">
        <v>898</v>
      </c>
      <c r="G240" s="4" t="s">
        <v>899</v>
      </c>
      <c r="H240" s="4" t="s">
        <v>900</v>
      </c>
      <c r="I240" s="4" t="s">
        <v>161</v>
      </c>
      <c r="J240" s="4" t="s">
        <v>186</v>
      </c>
      <c r="K240" s="4" t="s">
        <v>209</v>
      </c>
      <c r="L240" s="4" t="s">
        <v>901</v>
      </c>
      <c r="M240" s="24" t="s">
        <v>164</v>
      </c>
      <c r="N240" s="4" t="s">
        <v>153</v>
      </c>
      <c r="O240" s="4" t="s">
        <v>131</v>
      </c>
      <c r="P240" s="4" t="s">
        <v>118</v>
      </c>
      <c r="Q240" s="25" t="n">
        <v>89.99</v>
      </c>
      <c r="R240" s="25" t="n">
        <v>89.99</v>
      </c>
      <c r="S240" s="25" t="n">
        <v>44.27</v>
      </c>
      <c r="T240" s="26" t="n">
        <v>4</v>
      </c>
      <c r="U240" s="26" t="n">
        <v>2</v>
      </c>
      <c r="V240" s="26" t="n">
        <v>5</v>
      </c>
      <c r="W240" s="26" t="n">
        <v>0</v>
      </c>
      <c r="X240" s="27" t="n">
        <f aca="false">SUM(T240:W240)</f>
        <v>11</v>
      </c>
      <c r="Y240" s="28" t="n">
        <f aca="false">COUNT(T240:W240)</f>
        <v>4</v>
      </c>
      <c r="Z240" s="29" t="n">
        <f aca="false">R240*X240</f>
        <v>989.89</v>
      </c>
      <c r="AA240" s="30" t="n">
        <v>46207</v>
      </c>
    </row>
    <row r="241" customFormat="false" ht="15" hidden="false" customHeight="true" outlineLevel="0" collapsed="false">
      <c r="A241" s="4" t="s">
        <v>1221</v>
      </c>
      <c r="B241" s="4" t="s">
        <v>1222</v>
      </c>
      <c r="C241" s="4" t="s">
        <v>708</v>
      </c>
      <c r="D241" s="4" t="s">
        <v>135</v>
      </c>
      <c r="E241" s="4" t="s">
        <v>136</v>
      </c>
      <c r="F241" s="4" t="s">
        <v>413</v>
      </c>
      <c r="G241" s="4" t="s">
        <v>709</v>
      </c>
      <c r="H241" s="4" t="s">
        <v>710</v>
      </c>
      <c r="I241" s="4" t="s">
        <v>161</v>
      </c>
      <c r="J241" s="4" t="s">
        <v>246</v>
      </c>
      <c r="K241" s="4" t="s">
        <v>187</v>
      </c>
      <c r="L241" s="4" t="s">
        <v>176</v>
      </c>
      <c r="M241" s="24" t="s">
        <v>308</v>
      </c>
      <c r="N241" s="4" t="s">
        <v>189</v>
      </c>
      <c r="O241" s="4" t="s">
        <v>380</v>
      </c>
      <c r="P241" s="4" t="s">
        <v>118</v>
      </c>
      <c r="Q241" s="25" t="n">
        <v>89.99</v>
      </c>
      <c r="R241" s="25" t="n">
        <v>89.99</v>
      </c>
      <c r="S241" s="25" t="n">
        <v>44</v>
      </c>
      <c r="T241" s="26" t="n">
        <v>3</v>
      </c>
      <c r="U241" s="26" t="n">
        <v>1</v>
      </c>
      <c r="V241" s="26" t="n">
        <v>4</v>
      </c>
      <c r="W241" s="26"/>
      <c r="X241" s="27" t="n">
        <f aca="false">SUM(T241:W241)</f>
        <v>8</v>
      </c>
      <c r="Y241" s="28" t="n">
        <f aca="false">COUNT(T241:W241)</f>
        <v>3</v>
      </c>
      <c r="Z241" s="29" t="n">
        <f aca="false">R241*X241</f>
        <v>719.92</v>
      </c>
      <c r="AA241" s="30" t="n">
        <v>46155</v>
      </c>
    </row>
    <row r="242" customFormat="false" ht="15" hidden="false" customHeight="true" outlineLevel="0" collapsed="false">
      <c r="A242" s="4" t="s">
        <v>1223</v>
      </c>
      <c r="B242" s="4" t="s">
        <v>1224</v>
      </c>
      <c r="C242" s="4" t="s">
        <v>1094</v>
      </c>
      <c r="D242" s="4" t="s">
        <v>122</v>
      </c>
      <c r="E242" s="4" t="s">
        <v>285</v>
      </c>
      <c r="F242" s="4" t="s">
        <v>1095</v>
      </c>
      <c r="G242" s="4" t="s">
        <v>1096</v>
      </c>
      <c r="H242" s="4" t="s">
        <v>1097</v>
      </c>
      <c r="I242" s="4" t="s">
        <v>161</v>
      </c>
      <c r="J242" s="4" t="s">
        <v>235</v>
      </c>
      <c r="K242" s="4" t="s">
        <v>113</v>
      </c>
      <c r="L242" s="4" t="s">
        <v>1098</v>
      </c>
      <c r="M242" s="24" t="s">
        <v>211</v>
      </c>
      <c r="N242" s="4" t="s">
        <v>116</v>
      </c>
      <c r="O242" s="4" t="s">
        <v>165</v>
      </c>
      <c r="P242" s="4" t="s">
        <v>118</v>
      </c>
      <c r="Q242" s="25" t="n">
        <v>99.99</v>
      </c>
      <c r="R242" s="25" t="n">
        <v>99.99</v>
      </c>
      <c r="S242" s="25" t="n">
        <v>55.24</v>
      </c>
      <c r="T242" s="26" t="n">
        <v>4</v>
      </c>
      <c r="U242" s="26" t="n">
        <v>2</v>
      </c>
      <c r="V242" s="26" t="n">
        <v>1</v>
      </c>
      <c r="W242" s="26" t="n">
        <v>1</v>
      </c>
      <c r="X242" s="27" t="n">
        <f aca="false">SUM(T242:W242)</f>
        <v>8</v>
      </c>
      <c r="Y242" s="28" t="n">
        <f aca="false">COUNT(T242:W242)</f>
        <v>4</v>
      </c>
      <c r="Z242" s="29" t="n">
        <f aca="false">R242*X242</f>
        <v>799.92</v>
      </c>
      <c r="AA242" s="30" t="n">
        <v>46144</v>
      </c>
    </row>
    <row r="243" customFormat="false" ht="15" hidden="false" customHeight="true" outlineLevel="0" collapsed="false">
      <c r="A243" s="4" t="s">
        <v>1225</v>
      </c>
      <c r="B243" s="4" t="s">
        <v>1226</v>
      </c>
      <c r="C243" s="4" t="s">
        <v>786</v>
      </c>
      <c r="D243" s="4" t="s">
        <v>145</v>
      </c>
      <c r="E243" s="4" t="s">
        <v>146</v>
      </c>
      <c r="F243" s="4" t="s">
        <v>787</v>
      </c>
      <c r="G243" s="4" t="s">
        <v>788</v>
      </c>
      <c r="H243" s="4" t="s">
        <v>789</v>
      </c>
      <c r="I243" s="4" t="s">
        <v>226</v>
      </c>
      <c r="J243" s="4" t="s">
        <v>790</v>
      </c>
      <c r="K243" s="4" t="s">
        <v>150</v>
      </c>
      <c r="L243" s="4" t="s">
        <v>348</v>
      </c>
      <c r="M243" s="24" t="s">
        <v>910</v>
      </c>
      <c r="N243" s="4" t="s">
        <v>153</v>
      </c>
      <c r="O243" s="4" t="s">
        <v>238</v>
      </c>
      <c r="P243" s="4" t="s">
        <v>118</v>
      </c>
      <c r="Q243" s="25" t="n">
        <v>74.99</v>
      </c>
      <c r="R243" s="25" t="n">
        <v>74.99</v>
      </c>
      <c r="S243" s="25" t="n">
        <v>40.94</v>
      </c>
      <c r="T243" s="26" t="n">
        <v>3</v>
      </c>
      <c r="U243" s="26" t="n">
        <v>1</v>
      </c>
      <c r="V243" s="26" t="n">
        <v>5</v>
      </c>
      <c r="W243" s="26"/>
      <c r="X243" s="27" t="n">
        <f aca="false">SUM(T243:W243)</f>
        <v>9</v>
      </c>
      <c r="Y243" s="28" t="n">
        <f aca="false">COUNT(T243:W243)</f>
        <v>3</v>
      </c>
      <c r="Z243" s="29" t="n">
        <f aca="false">R243*X243</f>
        <v>674.91</v>
      </c>
      <c r="AA243" s="30" t="n">
        <v>46034</v>
      </c>
    </row>
    <row r="244" customFormat="false" ht="15" hidden="false" customHeight="true" outlineLevel="0" collapsed="false">
      <c r="A244" s="4" t="s">
        <v>1227</v>
      </c>
      <c r="B244" s="4" t="s">
        <v>1228</v>
      </c>
      <c r="C244" s="4" t="s">
        <v>320</v>
      </c>
      <c r="D244" s="4" t="s">
        <v>181</v>
      </c>
      <c r="E244" s="4" t="s">
        <v>321</v>
      </c>
      <c r="F244" s="4" t="s">
        <v>322</v>
      </c>
      <c r="G244" s="4" t="s">
        <v>323</v>
      </c>
      <c r="H244" s="4" t="s">
        <v>324</v>
      </c>
      <c r="I244" s="4" t="s">
        <v>161</v>
      </c>
      <c r="J244" s="4" t="s">
        <v>325</v>
      </c>
      <c r="K244" s="4" t="s">
        <v>113</v>
      </c>
      <c r="L244" s="4" t="s">
        <v>326</v>
      </c>
      <c r="M244" s="24" t="s">
        <v>211</v>
      </c>
      <c r="N244" s="4" t="s">
        <v>116</v>
      </c>
      <c r="O244" s="4" t="s">
        <v>131</v>
      </c>
      <c r="P244" s="4" t="s">
        <v>118</v>
      </c>
      <c r="Q244" s="25" t="n">
        <v>209.99</v>
      </c>
      <c r="R244" s="25" t="n">
        <v>209.99</v>
      </c>
      <c r="S244" s="25" t="n">
        <v>110.54</v>
      </c>
      <c r="T244" s="26" t="n">
        <v>5</v>
      </c>
      <c r="U244" s="26"/>
      <c r="V244" s="26" t="n">
        <v>3</v>
      </c>
      <c r="W244" s="26"/>
      <c r="X244" s="27" t="n">
        <f aca="false">SUM(T244:W244)</f>
        <v>8</v>
      </c>
      <c r="Y244" s="28" t="n">
        <f aca="false">COUNT(T244:W244)</f>
        <v>2</v>
      </c>
      <c r="Z244" s="29" t="n">
        <f aca="false">R244*X244</f>
        <v>1679.92</v>
      </c>
      <c r="AA244" s="30" t="n">
        <v>46038</v>
      </c>
    </row>
    <row r="245" customFormat="false" ht="15" hidden="false" customHeight="true" outlineLevel="0" collapsed="false">
      <c r="A245" s="4" t="s">
        <v>1229</v>
      </c>
      <c r="B245" s="4" t="s">
        <v>1230</v>
      </c>
      <c r="C245" s="4" t="s">
        <v>192</v>
      </c>
      <c r="D245" s="4" t="s">
        <v>193</v>
      </c>
      <c r="E245" s="4" t="s">
        <v>194</v>
      </c>
      <c r="F245" s="4" t="s">
        <v>195</v>
      </c>
      <c r="G245" s="4" t="s">
        <v>196</v>
      </c>
      <c r="H245" s="4" t="s">
        <v>197</v>
      </c>
      <c r="I245" s="4" t="s">
        <v>111</v>
      </c>
      <c r="J245" s="4" t="s">
        <v>198</v>
      </c>
      <c r="K245" s="4" t="s">
        <v>199</v>
      </c>
      <c r="L245" s="4" t="s">
        <v>200</v>
      </c>
      <c r="M245" s="24" t="s">
        <v>810</v>
      </c>
      <c r="N245" s="4" t="s">
        <v>153</v>
      </c>
      <c r="O245" s="4" t="s">
        <v>117</v>
      </c>
      <c r="P245" s="4" t="s">
        <v>202</v>
      </c>
      <c r="Q245" s="25" t="n">
        <v>44.99</v>
      </c>
      <c r="R245" s="25" t="n">
        <v>44.99</v>
      </c>
      <c r="S245" s="25" t="n">
        <v>22.09</v>
      </c>
      <c r="T245" s="26" t="n">
        <v>2</v>
      </c>
      <c r="U245" s="26" t="n">
        <v>0</v>
      </c>
      <c r="V245" s="26" t="n">
        <v>3</v>
      </c>
      <c r="W245" s="26" t="n">
        <v>0</v>
      </c>
      <c r="X245" s="27" t="n">
        <f aca="false">SUM(T245:W245)</f>
        <v>5</v>
      </c>
      <c r="Y245" s="28" t="n">
        <f aca="false">COUNT(T245:W245)</f>
        <v>4</v>
      </c>
      <c r="Z245" s="29" t="n">
        <f aca="false">R245*X245</f>
        <v>224.95</v>
      </c>
      <c r="AA245" s="30" t="n">
        <v>46121</v>
      </c>
    </row>
    <row r="246" customFormat="false" ht="15" hidden="false" customHeight="true" outlineLevel="0" collapsed="false">
      <c r="A246" s="4" t="s">
        <v>1231</v>
      </c>
      <c r="B246" s="4" t="s">
        <v>1232</v>
      </c>
      <c r="C246" s="4" t="s">
        <v>651</v>
      </c>
      <c r="D246" s="4" t="s">
        <v>122</v>
      </c>
      <c r="E246" s="4" t="s">
        <v>123</v>
      </c>
      <c r="F246" s="4" t="s">
        <v>652</v>
      </c>
      <c r="G246" s="4" t="s">
        <v>653</v>
      </c>
      <c r="H246" s="4" t="s">
        <v>654</v>
      </c>
      <c r="I246" s="4" t="s">
        <v>161</v>
      </c>
      <c r="J246" s="4" t="s">
        <v>246</v>
      </c>
      <c r="K246" s="4" t="s">
        <v>113</v>
      </c>
      <c r="L246" s="4" t="s">
        <v>655</v>
      </c>
      <c r="M246" s="24" t="s">
        <v>327</v>
      </c>
      <c r="N246" s="4" t="s">
        <v>116</v>
      </c>
      <c r="O246" s="4" t="s">
        <v>131</v>
      </c>
      <c r="P246" s="4" t="s">
        <v>118</v>
      </c>
      <c r="Q246" s="25" t="n">
        <v>189.99</v>
      </c>
      <c r="R246" s="25" t="n">
        <v>189.99</v>
      </c>
      <c r="S246" s="25" t="n">
        <v>101.4</v>
      </c>
      <c r="T246" s="26" t="n">
        <v>4</v>
      </c>
      <c r="U246" s="26"/>
      <c r="V246" s="26" t="n">
        <v>8</v>
      </c>
      <c r="W246" s="26"/>
      <c r="X246" s="27" t="n">
        <f aca="false">SUM(T246:W246)</f>
        <v>12</v>
      </c>
      <c r="Y246" s="28" t="n">
        <f aca="false">COUNT(T246:W246)</f>
        <v>2</v>
      </c>
      <c r="Z246" s="29" t="n">
        <f aca="false">R246*X246</f>
        <v>2279.88</v>
      </c>
      <c r="AA246" s="30" t="n">
        <v>46145</v>
      </c>
    </row>
    <row r="247" customFormat="false" ht="15" hidden="false" customHeight="true" outlineLevel="0" collapsed="false">
      <c r="A247" s="4" t="s">
        <v>1233</v>
      </c>
      <c r="B247" s="4" t="s">
        <v>1234</v>
      </c>
      <c r="C247" s="4" t="s">
        <v>1235</v>
      </c>
      <c r="D247" s="4" t="s">
        <v>122</v>
      </c>
      <c r="E247" s="4" t="s">
        <v>123</v>
      </c>
      <c r="F247" s="4" t="s">
        <v>1236</v>
      </c>
      <c r="G247" s="4" t="s">
        <v>1237</v>
      </c>
      <c r="H247" s="4" t="s">
        <v>1238</v>
      </c>
      <c r="I247" s="4" t="s">
        <v>161</v>
      </c>
      <c r="J247" s="4" t="s">
        <v>235</v>
      </c>
      <c r="K247" s="4" t="s">
        <v>113</v>
      </c>
      <c r="L247" s="4" t="s">
        <v>273</v>
      </c>
      <c r="M247" s="24" t="s">
        <v>258</v>
      </c>
      <c r="N247" s="4" t="s">
        <v>116</v>
      </c>
      <c r="O247" s="4" t="s">
        <v>165</v>
      </c>
      <c r="P247" s="4" t="s">
        <v>118</v>
      </c>
      <c r="Q247" s="25" t="n">
        <v>124.99</v>
      </c>
      <c r="R247" s="25" t="n">
        <v>124.99</v>
      </c>
      <c r="S247" s="25" t="n">
        <v>64.34</v>
      </c>
      <c r="T247" s="26" t="n">
        <v>3</v>
      </c>
      <c r="U247" s="26" t="n">
        <v>3</v>
      </c>
      <c r="V247" s="26" t="n">
        <v>3</v>
      </c>
      <c r="W247" s="26" t="n">
        <v>1</v>
      </c>
      <c r="X247" s="27" t="n">
        <f aca="false">SUM(T247:W247)</f>
        <v>10</v>
      </c>
      <c r="Y247" s="28" t="n">
        <f aca="false">COUNT(T247:W247)</f>
        <v>4</v>
      </c>
      <c r="Z247" s="29" t="n">
        <f aca="false">R247*X247</f>
        <v>1249.9</v>
      </c>
      <c r="AA247" s="30" t="n">
        <v>46226</v>
      </c>
    </row>
    <row r="248" customFormat="false" ht="15" hidden="false" customHeight="true" outlineLevel="0" collapsed="false">
      <c r="A248" s="4" t="s">
        <v>1239</v>
      </c>
      <c r="B248" s="4" t="s">
        <v>1240</v>
      </c>
      <c r="C248" s="4" t="s">
        <v>156</v>
      </c>
      <c r="D248" s="4" t="s">
        <v>106</v>
      </c>
      <c r="E248" s="4" t="s">
        <v>157</v>
      </c>
      <c r="F248" s="4" t="s">
        <v>158</v>
      </c>
      <c r="G248" s="4" t="s">
        <v>159</v>
      </c>
      <c r="H248" s="4" t="s">
        <v>160</v>
      </c>
      <c r="I248" s="4" t="s">
        <v>161</v>
      </c>
      <c r="J248" s="4" t="s">
        <v>162</v>
      </c>
      <c r="K248" s="4" t="s">
        <v>113</v>
      </c>
      <c r="L248" s="4" t="s">
        <v>163</v>
      </c>
      <c r="M248" s="24" t="s">
        <v>211</v>
      </c>
      <c r="N248" s="4" t="s">
        <v>116</v>
      </c>
      <c r="O248" s="4" t="s">
        <v>165</v>
      </c>
      <c r="P248" s="4" t="s">
        <v>118</v>
      </c>
      <c r="Q248" s="25" t="n">
        <v>109.99</v>
      </c>
      <c r="R248" s="25" t="n">
        <v>109.99</v>
      </c>
      <c r="S248" s="25" t="n">
        <v>54.53</v>
      </c>
      <c r="T248" s="26" t="n">
        <v>2</v>
      </c>
      <c r="U248" s="26" t="n">
        <v>0</v>
      </c>
      <c r="V248" s="26" t="n">
        <v>4</v>
      </c>
      <c r="W248" s="26" t="n">
        <v>1</v>
      </c>
      <c r="X248" s="27" t="n">
        <f aca="false">SUM(T248:W248)</f>
        <v>7</v>
      </c>
      <c r="Y248" s="28" t="n">
        <f aca="false">COUNT(T248:W248)</f>
        <v>4</v>
      </c>
      <c r="Z248" s="29" t="n">
        <f aca="false">R248*X248</f>
        <v>769.93</v>
      </c>
      <c r="AA248" s="30" t="n">
        <v>46177</v>
      </c>
    </row>
    <row r="249" customFormat="false" ht="15" hidden="false" customHeight="true" outlineLevel="0" collapsed="false">
      <c r="A249" s="4" t="s">
        <v>1241</v>
      </c>
      <c r="B249" s="4" t="s">
        <v>1242</v>
      </c>
      <c r="C249" s="4" t="s">
        <v>302</v>
      </c>
      <c r="D249" s="4" t="s">
        <v>122</v>
      </c>
      <c r="E249" s="4" t="s">
        <v>123</v>
      </c>
      <c r="F249" s="4" t="s">
        <v>303</v>
      </c>
      <c r="G249" s="4" t="s">
        <v>304</v>
      </c>
      <c r="H249" s="4" t="s">
        <v>305</v>
      </c>
      <c r="I249" s="4" t="s">
        <v>127</v>
      </c>
      <c r="J249" s="4" t="s">
        <v>306</v>
      </c>
      <c r="K249" s="4" t="s">
        <v>187</v>
      </c>
      <c r="L249" s="4" t="s">
        <v>307</v>
      </c>
      <c r="M249" s="24" t="s">
        <v>188</v>
      </c>
      <c r="N249" s="4" t="s">
        <v>189</v>
      </c>
      <c r="O249" s="4" t="s">
        <v>165</v>
      </c>
      <c r="P249" s="4" t="s">
        <v>118</v>
      </c>
      <c r="Q249" s="25" t="n">
        <v>164.99</v>
      </c>
      <c r="R249" s="25" t="n">
        <v>164.99</v>
      </c>
      <c r="S249" s="25" t="n">
        <v>89.57</v>
      </c>
      <c r="T249" s="26" t="n">
        <v>3</v>
      </c>
      <c r="U249" s="26" t="n">
        <v>0</v>
      </c>
      <c r="V249" s="26" t="n">
        <v>5</v>
      </c>
      <c r="W249" s="26" t="n">
        <v>3</v>
      </c>
      <c r="X249" s="27" t="n">
        <f aca="false">SUM(T249:W249)</f>
        <v>11</v>
      </c>
      <c r="Y249" s="28" t="n">
        <f aca="false">COUNT(T249:W249)</f>
        <v>4</v>
      </c>
      <c r="Z249" s="29" t="n">
        <f aca="false">R249*X249</f>
        <v>1814.89</v>
      </c>
      <c r="AA249" s="30" t="n">
        <v>46230</v>
      </c>
    </row>
    <row r="250" customFormat="false" ht="15" hidden="false" customHeight="true" outlineLevel="0" collapsed="false">
      <c r="A250" s="4" t="s">
        <v>1243</v>
      </c>
      <c r="B250" s="4" t="s">
        <v>1244</v>
      </c>
      <c r="C250" s="4" t="s">
        <v>214</v>
      </c>
      <c r="D250" s="4" t="s">
        <v>122</v>
      </c>
      <c r="E250" s="4" t="s">
        <v>123</v>
      </c>
      <c r="F250" s="4" t="s">
        <v>215</v>
      </c>
      <c r="G250" s="4" t="s">
        <v>216</v>
      </c>
      <c r="H250" s="4" t="s">
        <v>217</v>
      </c>
      <c r="I250" s="4" t="s">
        <v>161</v>
      </c>
      <c r="J250" s="4" t="s">
        <v>218</v>
      </c>
      <c r="K250" s="4" t="s">
        <v>113</v>
      </c>
      <c r="L250" s="4" t="s">
        <v>219</v>
      </c>
      <c r="M250" s="24" t="s">
        <v>258</v>
      </c>
      <c r="N250" s="4" t="s">
        <v>116</v>
      </c>
      <c r="O250" s="4" t="s">
        <v>165</v>
      </c>
      <c r="P250" s="4" t="s">
        <v>118</v>
      </c>
      <c r="Q250" s="25" t="n">
        <v>169.99</v>
      </c>
      <c r="R250" s="25" t="n">
        <v>169.99</v>
      </c>
      <c r="S250" s="25" t="n">
        <v>82.49</v>
      </c>
      <c r="T250" s="26"/>
      <c r="U250" s="26"/>
      <c r="V250" s="26" t="n">
        <v>6</v>
      </c>
      <c r="W250" s="26"/>
      <c r="X250" s="27" t="n">
        <f aca="false">SUM(T250:W250)</f>
        <v>6</v>
      </c>
      <c r="Y250" s="28" t="n">
        <f aca="false">COUNT(T250:W250)</f>
        <v>1</v>
      </c>
      <c r="Z250" s="29" t="n">
        <f aca="false">R250*X250</f>
        <v>1019.94</v>
      </c>
      <c r="AA250" s="30" t="n">
        <v>46212</v>
      </c>
    </row>
    <row r="251" customFormat="false" ht="15" hidden="false" customHeight="true" outlineLevel="0" collapsed="false">
      <c r="A251" s="4" t="s">
        <v>1245</v>
      </c>
      <c r="B251" s="4" t="s">
        <v>1246</v>
      </c>
      <c r="C251" s="4" t="s">
        <v>853</v>
      </c>
      <c r="D251" s="4" t="s">
        <v>122</v>
      </c>
      <c r="E251" s="4" t="s">
        <v>123</v>
      </c>
      <c r="F251" s="4" t="s">
        <v>854</v>
      </c>
      <c r="G251" s="4" t="s">
        <v>855</v>
      </c>
      <c r="H251" s="4" t="s">
        <v>856</v>
      </c>
      <c r="I251" s="4" t="s">
        <v>161</v>
      </c>
      <c r="J251" s="4" t="s">
        <v>246</v>
      </c>
      <c r="K251" s="4" t="s">
        <v>187</v>
      </c>
      <c r="L251" s="4" t="s">
        <v>348</v>
      </c>
      <c r="M251" s="24" t="s">
        <v>211</v>
      </c>
      <c r="N251" s="4" t="s">
        <v>189</v>
      </c>
      <c r="O251" s="4" t="s">
        <v>131</v>
      </c>
      <c r="P251" s="4" t="s">
        <v>118</v>
      </c>
      <c r="Q251" s="25" t="n">
        <v>169.99</v>
      </c>
      <c r="R251" s="25" t="n">
        <v>169.99</v>
      </c>
      <c r="S251" s="25" t="n">
        <v>85.29</v>
      </c>
      <c r="T251" s="26" t="n">
        <v>0</v>
      </c>
      <c r="U251" s="26" t="n">
        <v>2</v>
      </c>
      <c r="V251" s="26" t="n">
        <v>8</v>
      </c>
      <c r="W251" s="26"/>
      <c r="X251" s="27" t="n">
        <f aca="false">SUM(T251:W251)</f>
        <v>10</v>
      </c>
      <c r="Y251" s="28" t="n">
        <f aca="false">COUNT(T251:W251)</f>
        <v>3</v>
      </c>
      <c r="Z251" s="29" t="n">
        <f aca="false">R251*X251</f>
        <v>1699.9</v>
      </c>
      <c r="AA251" s="30" t="n">
        <v>46230</v>
      </c>
    </row>
    <row r="252" customFormat="false" ht="15" hidden="false" customHeight="true" outlineLevel="0" collapsed="false">
      <c r="A252" s="4" t="s">
        <v>1247</v>
      </c>
      <c r="B252" s="4" t="s">
        <v>1248</v>
      </c>
      <c r="C252" s="4" t="s">
        <v>351</v>
      </c>
      <c r="D252" s="4" t="s">
        <v>342</v>
      </c>
      <c r="E252" s="4" t="s">
        <v>343</v>
      </c>
      <c r="F252" s="4" t="s">
        <v>352</v>
      </c>
      <c r="G252" s="4" t="s">
        <v>353</v>
      </c>
      <c r="H252" s="4" t="s">
        <v>354</v>
      </c>
      <c r="I252" s="4" t="s">
        <v>127</v>
      </c>
      <c r="J252" s="4" t="s">
        <v>306</v>
      </c>
      <c r="K252" s="4" t="s">
        <v>187</v>
      </c>
      <c r="L252" s="4" t="s">
        <v>355</v>
      </c>
      <c r="M252" s="24" t="s">
        <v>291</v>
      </c>
      <c r="N252" s="4" t="s">
        <v>189</v>
      </c>
      <c r="O252" s="4" t="s">
        <v>165</v>
      </c>
      <c r="P252" s="4" t="s">
        <v>118</v>
      </c>
      <c r="Q252" s="25" t="n">
        <v>154.99</v>
      </c>
      <c r="R252" s="25" t="n">
        <v>154.99</v>
      </c>
      <c r="S252" s="25" t="n">
        <v>85.1</v>
      </c>
      <c r="T252" s="26" t="n">
        <v>7</v>
      </c>
      <c r="U252" s="26" t="n">
        <v>3</v>
      </c>
      <c r="V252" s="26" t="n">
        <v>5</v>
      </c>
      <c r="W252" s="26"/>
      <c r="X252" s="27" t="n">
        <f aca="false">SUM(T252:W252)</f>
        <v>15</v>
      </c>
      <c r="Y252" s="28" t="n">
        <f aca="false">COUNT(T252:W252)</f>
        <v>3</v>
      </c>
      <c r="Z252" s="29" t="n">
        <f aca="false">R252*X252</f>
        <v>2324.85</v>
      </c>
      <c r="AA252" s="30" t="n">
        <v>46084</v>
      </c>
    </row>
    <row r="253" customFormat="false" ht="15" hidden="false" customHeight="true" outlineLevel="0" collapsed="false">
      <c r="A253" s="4" t="s">
        <v>1249</v>
      </c>
      <c r="B253" s="4" t="s">
        <v>1250</v>
      </c>
      <c r="C253" s="4" t="s">
        <v>168</v>
      </c>
      <c r="D253" s="4" t="s">
        <v>169</v>
      </c>
      <c r="E253" s="4" t="s">
        <v>170</v>
      </c>
      <c r="F253" s="4" t="s">
        <v>171</v>
      </c>
      <c r="G253" s="4" t="s">
        <v>172</v>
      </c>
      <c r="H253" s="4" t="s">
        <v>173</v>
      </c>
      <c r="I253" s="4" t="s">
        <v>174</v>
      </c>
      <c r="J253" s="4" t="s">
        <v>175</v>
      </c>
      <c r="K253" s="4" t="s">
        <v>113</v>
      </c>
      <c r="L253" s="4" t="s">
        <v>176</v>
      </c>
      <c r="M253" s="24" t="s">
        <v>188</v>
      </c>
      <c r="N253" s="4" t="s">
        <v>116</v>
      </c>
      <c r="O253" s="4" t="s">
        <v>165</v>
      </c>
      <c r="P253" s="4" t="s">
        <v>118</v>
      </c>
      <c r="Q253" s="25" t="n">
        <v>89.99</v>
      </c>
      <c r="R253" s="25" t="n">
        <v>89.99</v>
      </c>
      <c r="S253" s="25" t="n">
        <v>44.22</v>
      </c>
      <c r="T253" s="26" t="n">
        <v>2</v>
      </c>
      <c r="U253" s="26" t="n">
        <v>1</v>
      </c>
      <c r="V253" s="26" t="n">
        <v>5</v>
      </c>
      <c r="W253" s="26"/>
      <c r="X253" s="27" t="n">
        <f aca="false">SUM(T253:W253)</f>
        <v>8</v>
      </c>
      <c r="Y253" s="28" t="n">
        <f aca="false">COUNT(T253:W253)</f>
        <v>3</v>
      </c>
      <c r="Z253" s="29" t="n">
        <f aca="false">R253*X253</f>
        <v>719.92</v>
      </c>
      <c r="AA253" s="30" t="n">
        <v>46085</v>
      </c>
    </row>
    <row r="254" customFormat="false" ht="15" hidden="false" customHeight="true" outlineLevel="0" collapsed="false">
      <c r="A254" s="4" t="s">
        <v>1251</v>
      </c>
      <c r="B254" s="4" t="s">
        <v>1252</v>
      </c>
      <c r="C254" s="4" t="s">
        <v>737</v>
      </c>
      <c r="D254" s="4" t="s">
        <v>122</v>
      </c>
      <c r="E254" s="4" t="s">
        <v>123</v>
      </c>
      <c r="F254" s="4" t="s">
        <v>420</v>
      </c>
      <c r="G254" s="4" t="s">
        <v>738</v>
      </c>
      <c r="H254" s="4" t="s">
        <v>739</v>
      </c>
      <c r="I254" s="4" t="s">
        <v>161</v>
      </c>
      <c r="J254" s="4" t="s">
        <v>235</v>
      </c>
      <c r="K254" s="4" t="s">
        <v>187</v>
      </c>
      <c r="L254" s="4" t="s">
        <v>273</v>
      </c>
      <c r="M254" s="24" t="s">
        <v>291</v>
      </c>
      <c r="N254" s="4" t="s">
        <v>189</v>
      </c>
      <c r="O254" s="4" t="s">
        <v>117</v>
      </c>
      <c r="P254" s="4" t="s">
        <v>118</v>
      </c>
      <c r="Q254" s="25" t="n">
        <v>124.99</v>
      </c>
      <c r="R254" s="25" t="n">
        <v>124.99</v>
      </c>
      <c r="S254" s="25" t="n">
        <v>66.91</v>
      </c>
      <c r="T254" s="26" t="n">
        <v>3</v>
      </c>
      <c r="U254" s="26" t="n">
        <v>2</v>
      </c>
      <c r="V254" s="26" t="n">
        <v>0</v>
      </c>
      <c r="W254" s="26" t="n">
        <v>0</v>
      </c>
      <c r="X254" s="27" t="n">
        <f aca="false">SUM(T254:W254)</f>
        <v>5</v>
      </c>
      <c r="Y254" s="28" t="n">
        <f aca="false">COUNT(T254:W254)</f>
        <v>4</v>
      </c>
      <c r="Z254" s="29" t="n">
        <f aca="false">R254*X254</f>
        <v>624.95</v>
      </c>
      <c r="AA254" s="30" t="n">
        <v>46211</v>
      </c>
    </row>
    <row r="255" customFormat="false" ht="15" hidden="false" customHeight="true" outlineLevel="0" collapsed="false">
      <c r="A255" s="4" t="s">
        <v>1253</v>
      </c>
      <c r="B255" s="4" t="s">
        <v>1254</v>
      </c>
      <c r="C255" s="4" t="s">
        <v>1094</v>
      </c>
      <c r="D255" s="4" t="s">
        <v>122</v>
      </c>
      <c r="E255" s="4" t="s">
        <v>285</v>
      </c>
      <c r="F255" s="4" t="s">
        <v>1095</v>
      </c>
      <c r="G255" s="4" t="s">
        <v>1096</v>
      </c>
      <c r="H255" s="4" t="s">
        <v>1097</v>
      </c>
      <c r="I255" s="4" t="s">
        <v>161</v>
      </c>
      <c r="J255" s="4" t="s">
        <v>235</v>
      </c>
      <c r="K255" s="4" t="s">
        <v>113</v>
      </c>
      <c r="L255" s="4" t="s">
        <v>1098</v>
      </c>
      <c r="M255" s="24" t="s">
        <v>177</v>
      </c>
      <c r="N255" s="4" t="s">
        <v>116</v>
      </c>
      <c r="O255" s="4" t="s">
        <v>165</v>
      </c>
      <c r="P255" s="4" t="s">
        <v>118</v>
      </c>
      <c r="Q255" s="25" t="n">
        <v>99.99</v>
      </c>
      <c r="R255" s="25" t="n">
        <v>99.99</v>
      </c>
      <c r="S255" s="25" t="n">
        <v>55.24</v>
      </c>
      <c r="T255" s="26" t="n">
        <v>2</v>
      </c>
      <c r="U255" s="26" t="n">
        <v>4</v>
      </c>
      <c r="V255" s="26" t="n">
        <v>4</v>
      </c>
      <c r="W255" s="26" t="n">
        <v>1</v>
      </c>
      <c r="X255" s="27" t="n">
        <f aca="false">SUM(T255:W255)</f>
        <v>11</v>
      </c>
      <c r="Y255" s="28" t="n">
        <f aca="false">COUNT(T255:W255)</f>
        <v>4</v>
      </c>
      <c r="Z255" s="29" t="n">
        <f aca="false">R255*X255</f>
        <v>1099.89</v>
      </c>
      <c r="AA255" s="30" t="n">
        <v>46230</v>
      </c>
    </row>
    <row r="256" customFormat="false" ht="15" hidden="false" customHeight="true" outlineLevel="0" collapsed="false">
      <c r="A256" s="4" t="s">
        <v>1255</v>
      </c>
      <c r="B256" s="4" t="s">
        <v>1256</v>
      </c>
      <c r="C256" s="4" t="s">
        <v>555</v>
      </c>
      <c r="D256" s="4" t="s">
        <v>122</v>
      </c>
      <c r="E256" s="4" t="s">
        <v>123</v>
      </c>
      <c r="F256" s="4" t="s">
        <v>556</v>
      </c>
      <c r="G256" s="4" t="s">
        <v>557</v>
      </c>
      <c r="H256" s="4" t="s">
        <v>558</v>
      </c>
      <c r="I256" s="4" t="s">
        <v>161</v>
      </c>
      <c r="J256" s="4" t="s">
        <v>246</v>
      </c>
      <c r="K256" s="4" t="s">
        <v>187</v>
      </c>
      <c r="L256" s="4" t="s">
        <v>559</v>
      </c>
      <c r="M256" s="24" t="s">
        <v>338</v>
      </c>
      <c r="N256" s="4" t="s">
        <v>189</v>
      </c>
      <c r="O256" s="4" t="s">
        <v>117</v>
      </c>
      <c r="P256" s="4" t="s">
        <v>202</v>
      </c>
      <c r="Q256" s="25" t="n">
        <v>119.99</v>
      </c>
      <c r="R256" s="25" t="n">
        <v>119.99</v>
      </c>
      <c r="S256" s="25" t="n">
        <v>62.97</v>
      </c>
      <c r="T256" s="26" t="n">
        <v>4</v>
      </c>
      <c r="U256" s="26"/>
      <c r="V256" s="26" t="n">
        <v>5</v>
      </c>
      <c r="W256" s="26" t="n">
        <v>1</v>
      </c>
      <c r="X256" s="27" t="n">
        <f aca="false">SUM(T256:W256)</f>
        <v>10</v>
      </c>
      <c r="Y256" s="28" t="n">
        <f aca="false">COUNT(T256:W256)</f>
        <v>3</v>
      </c>
      <c r="Z256" s="29" t="n">
        <f aca="false">R256*X256</f>
        <v>1199.9</v>
      </c>
      <c r="AA256" s="30" t="n">
        <v>46087</v>
      </c>
    </row>
    <row r="257" customFormat="false" ht="15" hidden="false" customHeight="true" outlineLevel="0" collapsed="false">
      <c r="A257" s="4" t="s">
        <v>1257</v>
      </c>
      <c r="B257" s="4" t="s">
        <v>1258</v>
      </c>
      <c r="C257" s="4" t="s">
        <v>828</v>
      </c>
      <c r="D257" s="4" t="s">
        <v>106</v>
      </c>
      <c r="E257" s="4" t="s">
        <v>107</v>
      </c>
      <c r="F257" s="4" t="s">
        <v>397</v>
      </c>
      <c r="G257" s="4" t="s">
        <v>829</v>
      </c>
      <c r="H257" s="4" t="s">
        <v>830</v>
      </c>
      <c r="I257" s="4" t="s">
        <v>161</v>
      </c>
      <c r="J257" s="4" t="s">
        <v>235</v>
      </c>
      <c r="K257" s="4" t="s">
        <v>187</v>
      </c>
      <c r="L257" s="4" t="s">
        <v>831</v>
      </c>
      <c r="M257" s="24" t="s">
        <v>308</v>
      </c>
      <c r="N257" s="4" t="s">
        <v>189</v>
      </c>
      <c r="O257" s="4" t="s">
        <v>165</v>
      </c>
      <c r="P257" s="4" t="s">
        <v>118</v>
      </c>
      <c r="Q257" s="25" t="n">
        <v>69.99</v>
      </c>
      <c r="R257" s="25" t="n">
        <v>69.99</v>
      </c>
      <c r="S257" s="25" t="n">
        <v>38.52</v>
      </c>
      <c r="T257" s="26" t="n">
        <v>1</v>
      </c>
      <c r="U257" s="26"/>
      <c r="V257" s="26" t="n">
        <v>5</v>
      </c>
      <c r="W257" s="26"/>
      <c r="X257" s="27" t="n">
        <f aca="false">SUM(T257:W257)</f>
        <v>6</v>
      </c>
      <c r="Y257" s="28" t="n">
        <f aca="false">COUNT(T257:W257)</f>
        <v>2</v>
      </c>
      <c r="Z257" s="29" t="n">
        <f aca="false">R257*X257</f>
        <v>419.94</v>
      </c>
      <c r="AA257" s="30" t="n">
        <v>46223</v>
      </c>
    </row>
    <row r="258" customFormat="false" ht="15" hidden="false" customHeight="true" outlineLevel="0" collapsed="false">
      <c r="A258" s="4" t="s">
        <v>1259</v>
      </c>
      <c r="B258" s="4" t="s">
        <v>1260</v>
      </c>
      <c r="C258" s="4" t="s">
        <v>134</v>
      </c>
      <c r="D258" s="4" t="s">
        <v>135</v>
      </c>
      <c r="E258" s="4" t="s">
        <v>136</v>
      </c>
      <c r="F258" s="4" t="s">
        <v>137</v>
      </c>
      <c r="G258" s="4" t="s">
        <v>138</v>
      </c>
      <c r="H258" s="4" t="s">
        <v>139</v>
      </c>
      <c r="I258" s="4" t="s">
        <v>127</v>
      </c>
      <c r="J258" s="4" t="s">
        <v>128</v>
      </c>
      <c r="K258" s="4" t="s">
        <v>113</v>
      </c>
      <c r="L258" s="4" t="s">
        <v>140</v>
      </c>
      <c r="M258" s="24" t="s">
        <v>258</v>
      </c>
      <c r="N258" s="4" t="s">
        <v>116</v>
      </c>
      <c r="O258" s="4" t="s">
        <v>117</v>
      </c>
      <c r="P258" s="4" t="s">
        <v>118</v>
      </c>
      <c r="Q258" s="25" t="n">
        <v>79.99</v>
      </c>
      <c r="R258" s="25" t="n">
        <v>79.99</v>
      </c>
      <c r="S258" s="25" t="n">
        <v>39.84</v>
      </c>
      <c r="T258" s="26" t="n">
        <v>0</v>
      </c>
      <c r="U258" s="26"/>
      <c r="V258" s="26" t="n">
        <v>5</v>
      </c>
      <c r="W258" s="26"/>
      <c r="X258" s="27" t="n">
        <f aca="false">SUM(T258:W258)</f>
        <v>5</v>
      </c>
      <c r="Y258" s="28" t="n">
        <f aca="false">COUNT(T258:W258)</f>
        <v>2</v>
      </c>
      <c r="Z258" s="29" t="n">
        <f aca="false">R258*X258</f>
        <v>399.95</v>
      </c>
      <c r="AA258" s="30" t="n">
        <v>46156</v>
      </c>
    </row>
    <row r="259" customFormat="false" ht="15" hidden="false" customHeight="true" outlineLevel="0" collapsed="false">
      <c r="A259" s="4" t="s">
        <v>1261</v>
      </c>
      <c r="B259" s="4" t="s">
        <v>1262</v>
      </c>
      <c r="C259" s="4" t="s">
        <v>242</v>
      </c>
      <c r="D259" s="4" t="s">
        <v>135</v>
      </c>
      <c r="E259" s="4" t="s">
        <v>136</v>
      </c>
      <c r="F259" s="4" t="s">
        <v>243</v>
      </c>
      <c r="G259" s="4" t="s">
        <v>244</v>
      </c>
      <c r="H259" s="4" t="s">
        <v>245</v>
      </c>
      <c r="I259" s="4" t="s">
        <v>161</v>
      </c>
      <c r="J259" s="4" t="s">
        <v>246</v>
      </c>
      <c r="K259" s="4" t="s">
        <v>113</v>
      </c>
      <c r="L259" s="4" t="s">
        <v>247</v>
      </c>
      <c r="M259" s="24" t="s">
        <v>327</v>
      </c>
      <c r="N259" s="4" t="s">
        <v>116</v>
      </c>
      <c r="O259" s="4" t="s">
        <v>238</v>
      </c>
      <c r="P259" s="4" t="s">
        <v>239</v>
      </c>
      <c r="Q259" s="25" t="n">
        <v>149.99</v>
      </c>
      <c r="R259" s="25" t="n">
        <v>89.99</v>
      </c>
      <c r="S259" s="25" t="n">
        <v>74.84</v>
      </c>
      <c r="T259" s="26"/>
      <c r="U259" s="26" t="n">
        <v>1</v>
      </c>
      <c r="V259" s="26" t="n">
        <v>4</v>
      </c>
      <c r="W259" s="26"/>
      <c r="X259" s="27" t="n">
        <f aca="false">SUM(T259:W259)</f>
        <v>5</v>
      </c>
      <c r="Y259" s="28" t="n">
        <f aca="false">COUNT(T259:W259)</f>
        <v>2</v>
      </c>
      <c r="Z259" s="29" t="n">
        <f aca="false">R259*X259</f>
        <v>449.95</v>
      </c>
      <c r="AA259" s="30" t="n">
        <v>46214</v>
      </c>
    </row>
    <row r="260" customFormat="false" ht="15" hidden="false" customHeight="true" outlineLevel="0" collapsed="false">
      <c r="A260" s="4" t="s">
        <v>1263</v>
      </c>
      <c r="B260" s="4" t="s">
        <v>1264</v>
      </c>
      <c r="C260" s="4" t="s">
        <v>1112</v>
      </c>
      <c r="D260" s="4" t="s">
        <v>583</v>
      </c>
      <c r="E260" s="4" t="s">
        <v>584</v>
      </c>
      <c r="F260" s="4" t="s">
        <v>1113</v>
      </c>
      <c r="G260" s="4" t="s">
        <v>1114</v>
      </c>
      <c r="H260" s="4" t="s">
        <v>1115</v>
      </c>
      <c r="I260" s="4" t="s">
        <v>127</v>
      </c>
      <c r="J260" s="4" t="s">
        <v>128</v>
      </c>
      <c r="K260" s="4" t="s">
        <v>187</v>
      </c>
      <c r="L260" s="4" t="s">
        <v>1116</v>
      </c>
      <c r="M260" s="24" t="s">
        <v>338</v>
      </c>
      <c r="N260" s="4" t="s">
        <v>189</v>
      </c>
      <c r="O260" s="4" t="s">
        <v>131</v>
      </c>
      <c r="P260" s="4" t="s">
        <v>239</v>
      </c>
      <c r="Q260" s="25" t="n">
        <v>69.99</v>
      </c>
      <c r="R260" s="25" t="n">
        <v>41.99</v>
      </c>
      <c r="S260" s="25" t="n">
        <v>36.27</v>
      </c>
      <c r="T260" s="26"/>
      <c r="U260" s="26"/>
      <c r="V260" s="26" t="n">
        <v>0</v>
      </c>
      <c r="W260" s="26"/>
      <c r="X260" s="27" t="n">
        <f aca="false">SUM(T260:W260)</f>
        <v>0</v>
      </c>
      <c r="Y260" s="28" t="n">
        <f aca="false">COUNT(T260:W260)</f>
        <v>1</v>
      </c>
      <c r="Z260" s="29" t="n">
        <f aca="false">R260*X260</f>
        <v>0</v>
      </c>
      <c r="AA260" s="30" t="n">
        <v>46211</v>
      </c>
    </row>
    <row r="261" customFormat="false" ht="15" hidden="false" customHeight="true" outlineLevel="0" collapsed="false">
      <c r="A261" s="4" t="s">
        <v>1265</v>
      </c>
      <c r="B261" s="4" t="s">
        <v>1266</v>
      </c>
      <c r="C261" s="4" t="s">
        <v>861</v>
      </c>
      <c r="D261" s="4" t="s">
        <v>475</v>
      </c>
      <c r="E261" s="4" t="s">
        <v>476</v>
      </c>
      <c r="F261" s="4" t="s">
        <v>862</v>
      </c>
      <c r="G261" s="4" t="s">
        <v>863</v>
      </c>
      <c r="H261" s="4" t="s">
        <v>864</v>
      </c>
      <c r="I261" s="4" t="s">
        <v>161</v>
      </c>
      <c r="J261" s="4" t="s">
        <v>186</v>
      </c>
      <c r="K261" s="4" t="s">
        <v>209</v>
      </c>
      <c r="L261" s="4" t="s">
        <v>348</v>
      </c>
      <c r="M261" s="24" t="s">
        <v>338</v>
      </c>
      <c r="N261" s="4" t="s">
        <v>153</v>
      </c>
      <c r="O261" s="4" t="s">
        <v>131</v>
      </c>
      <c r="P261" s="4" t="s">
        <v>118</v>
      </c>
      <c r="Q261" s="25" t="n">
        <v>69.99</v>
      </c>
      <c r="R261" s="25" t="n">
        <v>69.99</v>
      </c>
      <c r="S261" s="25" t="n">
        <v>36.17</v>
      </c>
      <c r="T261" s="26" t="n">
        <v>3</v>
      </c>
      <c r="U261" s="26"/>
      <c r="V261" s="26" t="n">
        <v>3</v>
      </c>
      <c r="W261" s="26"/>
      <c r="X261" s="27" t="n">
        <f aca="false">SUM(T261:W261)</f>
        <v>6</v>
      </c>
      <c r="Y261" s="28" t="n">
        <f aca="false">COUNT(T261:W261)</f>
        <v>2</v>
      </c>
      <c r="Z261" s="29" t="n">
        <f aca="false">R261*X261</f>
        <v>419.94</v>
      </c>
      <c r="AA261" s="30" t="n">
        <v>46075</v>
      </c>
    </row>
    <row r="262" customFormat="false" ht="15" hidden="false" customHeight="true" outlineLevel="0" collapsed="false">
      <c r="A262" s="4" t="s">
        <v>1267</v>
      </c>
      <c r="B262" s="4" t="s">
        <v>1268</v>
      </c>
      <c r="C262" s="4" t="s">
        <v>341</v>
      </c>
      <c r="D262" s="4" t="s">
        <v>342</v>
      </c>
      <c r="E262" s="4" t="s">
        <v>343</v>
      </c>
      <c r="F262" s="4" t="s">
        <v>344</v>
      </c>
      <c r="G262" s="4" t="s">
        <v>345</v>
      </c>
      <c r="H262" s="4" t="s">
        <v>346</v>
      </c>
      <c r="I262" s="4" t="s">
        <v>127</v>
      </c>
      <c r="J262" s="4" t="s">
        <v>347</v>
      </c>
      <c r="K262" s="4" t="s">
        <v>113</v>
      </c>
      <c r="L262" s="4" t="s">
        <v>348</v>
      </c>
      <c r="M262" s="24" t="s">
        <v>327</v>
      </c>
      <c r="N262" s="4" t="s">
        <v>116</v>
      </c>
      <c r="O262" s="4" t="s">
        <v>131</v>
      </c>
      <c r="P262" s="4" t="s">
        <v>118</v>
      </c>
      <c r="Q262" s="25" t="n">
        <v>154.99</v>
      </c>
      <c r="R262" s="25" t="n">
        <v>154.99</v>
      </c>
      <c r="S262" s="25" t="n">
        <v>78.28</v>
      </c>
      <c r="T262" s="26" t="n">
        <v>1</v>
      </c>
      <c r="U262" s="26" t="n">
        <v>3</v>
      </c>
      <c r="V262" s="26" t="n">
        <v>3</v>
      </c>
      <c r="W262" s="26" t="n">
        <v>3</v>
      </c>
      <c r="X262" s="27" t="n">
        <f aca="false">SUM(T262:W262)</f>
        <v>10</v>
      </c>
      <c r="Y262" s="28" t="n">
        <f aca="false">COUNT(T262:W262)</f>
        <v>4</v>
      </c>
      <c r="Z262" s="29" t="n">
        <f aca="false">R262*X262</f>
        <v>1549.9</v>
      </c>
      <c r="AA262" s="30" t="n">
        <v>46079</v>
      </c>
    </row>
    <row r="263" customFormat="false" ht="15" hidden="false" customHeight="true" outlineLevel="0" collapsed="false">
      <c r="A263" s="4" t="s">
        <v>1269</v>
      </c>
      <c r="B263" s="4" t="s">
        <v>1270</v>
      </c>
      <c r="C263" s="4" t="s">
        <v>396</v>
      </c>
      <c r="D263" s="4" t="s">
        <v>106</v>
      </c>
      <c r="E263" s="4" t="s">
        <v>107</v>
      </c>
      <c r="F263" s="4" t="s">
        <v>397</v>
      </c>
      <c r="G263" s="4" t="s">
        <v>398</v>
      </c>
      <c r="H263" s="4" t="s">
        <v>399</v>
      </c>
      <c r="I263" s="4" t="s">
        <v>161</v>
      </c>
      <c r="J263" s="4" t="s">
        <v>235</v>
      </c>
      <c r="K263" s="4" t="s">
        <v>199</v>
      </c>
      <c r="L263" s="4" t="s">
        <v>400</v>
      </c>
      <c r="M263" s="24" t="s">
        <v>810</v>
      </c>
      <c r="N263" s="4" t="s">
        <v>153</v>
      </c>
      <c r="O263" s="4" t="s">
        <v>165</v>
      </c>
      <c r="P263" s="4" t="s">
        <v>118</v>
      </c>
      <c r="Q263" s="25" t="n">
        <v>49.99</v>
      </c>
      <c r="R263" s="25" t="n">
        <v>49.99</v>
      </c>
      <c r="S263" s="25" t="n">
        <v>24.93</v>
      </c>
      <c r="T263" s="26" t="n">
        <v>6</v>
      </c>
      <c r="U263" s="26" t="n">
        <v>0</v>
      </c>
      <c r="V263" s="26" t="n">
        <v>0</v>
      </c>
      <c r="W263" s="26" t="n">
        <v>1</v>
      </c>
      <c r="X263" s="27" t="n">
        <f aca="false">SUM(T263:W263)</f>
        <v>7</v>
      </c>
      <c r="Y263" s="28" t="n">
        <f aca="false">COUNT(T263:W263)</f>
        <v>4</v>
      </c>
      <c r="Z263" s="29" t="n">
        <f aca="false">R263*X263</f>
        <v>349.93</v>
      </c>
      <c r="AA263" s="30" t="n">
        <v>46024</v>
      </c>
    </row>
    <row r="264" customFormat="false" ht="15" hidden="false" customHeight="true" outlineLevel="0" collapsed="false">
      <c r="A264" s="4" t="s">
        <v>1271</v>
      </c>
      <c r="B264" s="4" t="s">
        <v>1272</v>
      </c>
      <c r="C264" s="4" t="s">
        <v>1045</v>
      </c>
      <c r="D264" s="4" t="s">
        <v>122</v>
      </c>
      <c r="E264" s="4" t="s">
        <v>123</v>
      </c>
      <c r="F264" s="4" t="s">
        <v>1046</v>
      </c>
      <c r="G264" s="4" t="s">
        <v>1047</v>
      </c>
      <c r="H264" s="4" t="s">
        <v>1048</v>
      </c>
      <c r="I264" s="4" t="s">
        <v>161</v>
      </c>
      <c r="J264" s="4" t="s">
        <v>246</v>
      </c>
      <c r="K264" s="4" t="s">
        <v>113</v>
      </c>
      <c r="L264" s="4" t="s">
        <v>1049</v>
      </c>
      <c r="M264" s="24" t="s">
        <v>188</v>
      </c>
      <c r="N264" s="4" t="s">
        <v>116</v>
      </c>
      <c r="O264" s="4" t="s">
        <v>238</v>
      </c>
      <c r="P264" s="4" t="s">
        <v>239</v>
      </c>
      <c r="Q264" s="25" t="n">
        <v>139.99</v>
      </c>
      <c r="R264" s="25" t="n">
        <v>90.99</v>
      </c>
      <c r="S264" s="25" t="n">
        <v>70.14</v>
      </c>
      <c r="T264" s="26" t="n">
        <v>4</v>
      </c>
      <c r="U264" s="26" t="n">
        <v>0</v>
      </c>
      <c r="V264" s="26"/>
      <c r="W264" s="26"/>
      <c r="X264" s="27" t="n">
        <f aca="false">SUM(T264:W264)</f>
        <v>4</v>
      </c>
      <c r="Y264" s="28" t="n">
        <f aca="false">COUNT(T264:W264)</f>
        <v>2</v>
      </c>
      <c r="Z264" s="29" t="n">
        <f aca="false">R264*X264</f>
        <v>363.96</v>
      </c>
      <c r="AA264" s="30" t="n">
        <v>46056</v>
      </c>
    </row>
    <row r="265" customFormat="false" ht="15" hidden="false" customHeight="true" outlineLevel="0" collapsed="false">
      <c r="A265" s="4" t="s">
        <v>1273</v>
      </c>
      <c r="B265" s="4" t="s">
        <v>1274</v>
      </c>
      <c r="C265" s="4" t="s">
        <v>533</v>
      </c>
      <c r="D265" s="4" t="s">
        <v>135</v>
      </c>
      <c r="E265" s="4" t="s">
        <v>136</v>
      </c>
      <c r="F265" s="4" t="s">
        <v>534</v>
      </c>
      <c r="G265" s="4" t="s">
        <v>535</v>
      </c>
      <c r="H265" s="4" t="s">
        <v>536</v>
      </c>
      <c r="I265" s="4" t="s">
        <v>127</v>
      </c>
      <c r="J265" s="4" t="s">
        <v>218</v>
      </c>
      <c r="K265" s="4" t="s">
        <v>187</v>
      </c>
      <c r="L265" s="4" t="s">
        <v>537</v>
      </c>
      <c r="M265" s="24" t="s">
        <v>308</v>
      </c>
      <c r="N265" s="4" t="s">
        <v>189</v>
      </c>
      <c r="O265" s="4" t="s">
        <v>238</v>
      </c>
      <c r="P265" s="4" t="s">
        <v>118</v>
      </c>
      <c r="Q265" s="25" t="n">
        <v>139.99</v>
      </c>
      <c r="R265" s="25" t="n">
        <v>139.99</v>
      </c>
      <c r="S265" s="25" t="n">
        <v>78.24</v>
      </c>
      <c r="T265" s="26" t="n">
        <v>4</v>
      </c>
      <c r="U265" s="26" t="n">
        <v>4</v>
      </c>
      <c r="V265" s="26" t="n">
        <v>2</v>
      </c>
      <c r="W265" s="26" t="n">
        <v>4</v>
      </c>
      <c r="X265" s="27" t="n">
        <f aca="false">SUM(T265:W265)</f>
        <v>14</v>
      </c>
      <c r="Y265" s="28" t="n">
        <f aca="false">COUNT(T265:W265)</f>
        <v>4</v>
      </c>
      <c r="Z265" s="29" t="n">
        <f aca="false">R265*X265</f>
        <v>1959.86</v>
      </c>
      <c r="AA265" s="30" t="n">
        <v>46157</v>
      </c>
    </row>
    <row r="266" customFormat="false" ht="15" hidden="false" customHeight="true" outlineLevel="0" collapsed="false">
      <c r="A266" s="4" t="s">
        <v>1275</v>
      </c>
      <c r="B266" s="4" t="s">
        <v>1276</v>
      </c>
      <c r="C266" s="4" t="s">
        <v>575</v>
      </c>
      <c r="D266" s="4" t="s">
        <v>122</v>
      </c>
      <c r="E266" s="4" t="s">
        <v>285</v>
      </c>
      <c r="F266" s="4" t="s">
        <v>576</v>
      </c>
      <c r="G266" s="4" t="s">
        <v>577</v>
      </c>
      <c r="H266" s="4" t="s">
        <v>578</v>
      </c>
      <c r="I266" s="4" t="s">
        <v>161</v>
      </c>
      <c r="J266" s="4" t="s">
        <v>235</v>
      </c>
      <c r="K266" s="4" t="s">
        <v>113</v>
      </c>
      <c r="L266" s="4" t="s">
        <v>579</v>
      </c>
      <c r="M266" s="24" t="s">
        <v>141</v>
      </c>
      <c r="N266" s="4" t="s">
        <v>116</v>
      </c>
      <c r="O266" s="4" t="s">
        <v>380</v>
      </c>
      <c r="P266" s="4" t="s">
        <v>239</v>
      </c>
      <c r="Q266" s="25" t="n">
        <v>109.99</v>
      </c>
      <c r="R266" s="25" t="n">
        <v>65.99</v>
      </c>
      <c r="S266" s="25" t="n">
        <v>57.5</v>
      </c>
      <c r="T266" s="26" t="n">
        <v>4</v>
      </c>
      <c r="U266" s="26" t="n">
        <v>0</v>
      </c>
      <c r="V266" s="26" t="n">
        <v>4</v>
      </c>
      <c r="W266" s="26" t="n">
        <v>1</v>
      </c>
      <c r="X266" s="27" t="n">
        <f aca="false">SUM(T266:W266)</f>
        <v>9</v>
      </c>
      <c r="Y266" s="28" t="n">
        <f aca="false">COUNT(T266:W266)</f>
        <v>4</v>
      </c>
      <c r="Z266" s="29" t="n">
        <f aca="false">R266*X266</f>
        <v>593.91</v>
      </c>
      <c r="AA266" s="30" t="n">
        <v>46031</v>
      </c>
    </row>
    <row r="267" customFormat="false" ht="15" hidden="false" customHeight="true" outlineLevel="0" collapsed="false">
      <c r="A267" s="4" t="s">
        <v>1277</v>
      </c>
      <c r="B267" s="4" t="s">
        <v>1278</v>
      </c>
      <c r="C267" s="4" t="s">
        <v>629</v>
      </c>
      <c r="D267" s="4" t="s">
        <v>122</v>
      </c>
      <c r="E267" s="4" t="s">
        <v>123</v>
      </c>
      <c r="F267" s="4" t="s">
        <v>630</v>
      </c>
      <c r="G267" s="4" t="s">
        <v>631</v>
      </c>
      <c r="H267" s="4" t="s">
        <v>632</v>
      </c>
      <c r="I267" s="4" t="s">
        <v>111</v>
      </c>
      <c r="J267" s="4" t="s">
        <v>112</v>
      </c>
      <c r="K267" s="4" t="s">
        <v>199</v>
      </c>
      <c r="L267" s="4" t="s">
        <v>348</v>
      </c>
      <c r="M267" s="24" t="s">
        <v>810</v>
      </c>
      <c r="N267" s="4" t="s">
        <v>153</v>
      </c>
      <c r="O267" s="4" t="s">
        <v>117</v>
      </c>
      <c r="P267" s="4" t="s">
        <v>118</v>
      </c>
      <c r="Q267" s="25" t="n">
        <v>27.99</v>
      </c>
      <c r="R267" s="25" t="n">
        <v>27.99</v>
      </c>
      <c r="S267" s="25" t="n">
        <v>14.09</v>
      </c>
      <c r="T267" s="26" t="n">
        <v>4</v>
      </c>
      <c r="U267" s="26"/>
      <c r="V267" s="26" t="n">
        <v>5</v>
      </c>
      <c r="W267" s="26"/>
      <c r="X267" s="27" t="n">
        <f aca="false">SUM(T267:W267)</f>
        <v>9</v>
      </c>
      <c r="Y267" s="28" t="n">
        <f aca="false">COUNT(T267:W267)</f>
        <v>2</v>
      </c>
      <c r="Z267" s="29" t="n">
        <f aca="false">R267*X267</f>
        <v>251.91</v>
      </c>
      <c r="AA267" s="30" t="n">
        <v>46135</v>
      </c>
    </row>
    <row r="268" customFormat="false" ht="15" hidden="false" customHeight="true" outlineLevel="0" collapsed="false">
      <c r="A268" s="4" t="s">
        <v>1279</v>
      </c>
      <c r="B268" s="4" t="s">
        <v>1280</v>
      </c>
      <c r="C268" s="4" t="s">
        <v>426</v>
      </c>
      <c r="D268" s="4" t="s">
        <v>427</v>
      </c>
      <c r="E268" s="4" t="s">
        <v>428</v>
      </c>
      <c r="F268" s="4" t="s">
        <v>429</v>
      </c>
      <c r="G268" s="4" t="s">
        <v>430</v>
      </c>
      <c r="H268" s="4" t="s">
        <v>431</v>
      </c>
      <c r="I268" s="4" t="s">
        <v>127</v>
      </c>
      <c r="J268" s="4" t="s">
        <v>298</v>
      </c>
      <c r="K268" s="4" t="s">
        <v>113</v>
      </c>
      <c r="L268" s="4" t="s">
        <v>432</v>
      </c>
      <c r="M268" s="24" t="s">
        <v>327</v>
      </c>
      <c r="N268" s="4" t="s">
        <v>116</v>
      </c>
      <c r="O268" s="4" t="s">
        <v>165</v>
      </c>
      <c r="P268" s="4" t="s">
        <v>118</v>
      </c>
      <c r="Q268" s="25" t="n">
        <v>99.99</v>
      </c>
      <c r="R268" s="25" t="n">
        <v>99.99</v>
      </c>
      <c r="S268" s="25" t="n">
        <v>55.37</v>
      </c>
      <c r="T268" s="26" t="n">
        <v>2</v>
      </c>
      <c r="U268" s="26"/>
      <c r="V268" s="26" t="n">
        <v>6</v>
      </c>
      <c r="W268" s="26" t="n">
        <v>0</v>
      </c>
      <c r="X268" s="27" t="n">
        <f aca="false">SUM(T268:W268)</f>
        <v>8</v>
      </c>
      <c r="Y268" s="28" t="n">
        <f aca="false">COUNT(T268:W268)</f>
        <v>3</v>
      </c>
      <c r="Z268" s="29" t="n">
        <f aca="false">R268*X268</f>
        <v>799.92</v>
      </c>
      <c r="AA268" s="30" t="n">
        <v>46092</v>
      </c>
    </row>
    <row r="269" customFormat="false" ht="15" hidden="false" customHeight="true" outlineLevel="0" collapsed="false">
      <c r="A269" s="4" t="s">
        <v>1281</v>
      </c>
      <c r="B269" s="4" t="s">
        <v>1282</v>
      </c>
      <c r="C269" s="4" t="s">
        <v>1014</v>
      </c>
      <c r="D269" s="4" t="s">
        <v>122</v>
      </c>
      <c r="E269" s="4" t="s">
        <v>285</v>
      </c>
      <c r="F269" s="4" t="s">
        <v>1015</v>
      </c>
      <c r="G269" s="4" t="s">
        <v>1016</v>
      </c>
      <c r="H269" s="4" t="s">
        <v>1017</v>
      </c>
      <c r="I269" s="4" t="s">
        <v>161</v>
      </c>
      <c r="J269" s="4" t="s">
        <v>289</v>
      </c>
      <c r="K269" s="4" t="s">
        <v>113</v>
      </c>
      <c r="L269" s="4" t="s">
        <v>1018</v>
      </c>
      <c r="M269" s="24" t="s">
        <v>177</v>
      </c>
      <c r="N269" s="4" t="s">
        <v>116</v>
      </c>
      <c r="O269" s="4" t="s">
        <v>117</v>
      </c>
      <c r="P269" s="4" t="s">
        <v>202</v>
      </c>
      <c r="Q269" s="25" t="n">
        <v>234.99</v>
      </c>
      <c r="R269" s="25" t="n">
        <v>234.99</v>
      </c>
      <c r="S269" s="25" t="n">
        <v>116.5</v>
      </c>
      <c r="T269" s="26" t="n">
        <v>1</v>
      </c>
      <c r="U269" s="26"/>
      <c r="V269" s="26" t="n">
        <v>3</v>
      </c>
      <c r="W269" s="26" t="n">
        <v>1</v>
      </c>
      <c r="X269" s="27" t="n">
        <f aca="false">SUM(T269:W269)</f>
        <v>5</v>
      </c>
      <c r="Y269" s="28" t="n">
        <f aca="false">COUNT(T269:W269)</f>
        <v>3</v>
      </c>
      <c r="Z269" s="29" t="n">
        <f aca="false">R269*X269</f>
        <v>1174.95</v>
      </c>
      <c r="AA269" s="30" t="n">
        <v>46165</v>
      </c>
    </row>
    <row r="270" customFormat="false" ht="15" hidden="false" customHeight="true" outlineLevel="0" collapsed="false">
      <c r="A270" s="4" t="s">
        <v>1283</v>
      </c>
      <c r="B270" s="4" t="s">
        <v>1284</v>
      </c>
      <c r="C270" s="4" t="s">
        <v>604</v>
      </c>
      <c r="D270" s="4" t="s">
        <v>106</v>
      </c>
      <c r="E270" s="4" t="s">
        <v>157</v>
      </c>
      <c r="F270" s="4" t="s">
        <v>605</v>
      </c>
      <c r="G270" s="4" t="s">
        <v>606</v>
      </c>
      <c r="H270" s="4" t="s">
        <v>607</v>
      </c>
      <c r="I270" s="4" t="s">
        <v>161</v>
      </c>
      <c r="J270" s="4" t="s">
        <v>162</v>
      </c>
      <c r="K270" s="4" t="s">
        <v>113</v>
      </c>
      <c r="L270" s="4" t="s">
        <v>608</v>
      </c>
      <c r="M270" s="24" t="s">
        <v>258</v>
      </c>
      <c r="N270" s="4" t="s">
        <v>116</v>
      </c>
      <c r="O270" s="4" t="s">
        <v>238</v>
      </c>
      <c r="P270" s="4" t="s">
        <v>239</v>
      </c>
      <c r="Q270" s="25" t="n">
        <v>109.99</v>
      </c>
      <c r="R270" s="25" t="n">
        <v>76.99</v>
      </c>
      <c r="S270" s="25" t="n">
        <v>55.09</v>
      </c>
      <c r="T270" s="26" t="n">
        <v>2</v>
      </c>
      <c r="U270" s="26" t="n">
        <v>1</v>
      </c>
      <c r="V270" s="26" t="n">
        <v>0</v>
      </c>
      <c r="W270" s="26" t="n">
        <v>2</v>
      </c>
      <c r="X270" s="27" t="n">
        <f aca="false">SUM(T270:W270)</f>
        <v>5</v>
      </c>
      <c r="Y270" s="28" t="n">
        <f aca="false">COUNT(T270:W270)</f>
        <v>4</v>
      </c>
      <c r="Z270" s="29" t="n">
        <f aca="false">R270*X270</f>
        <v>384.95</v>
      </c>
      <c r="AA270" s="30" t="n">
        <v>46115</v>
      </c>
    </row>
    <row r="271" customFormat="false" ht="15" hidden="false" customHeight="true" outlineLevel="0" collapsed="false">
      <c r="A271" s="4" t="s">
        <v>1285</v>
      </c>
      <c r="B271" s="4" t="s">
        <v>1286</v>
      </c>
      <c r="C271" s="4" t="s">
        <v>390</v>
      </c>
      <c r="D271" s="4" t="s">
        <v>135</v>
      </c>
      <c r="E271" s="4" t="s">
        <v>136</v>
      </c>
      <c r="F271" s="4" t="s">
        <v>391</v>
      </c>
      <c r="G271" s="4" t="s">
        <v>392</v>
      </c>
      <c r="H271" s="4" t="s">
        <v>393</v>
      </c>
      <c r="I271" s="4" t="s">
        <v>161</v>
      </c>
      <c r="J271" s="4" t="s">
        <v>235</v>
      </c>
      <c r="K271" s="4" t="s">
        <v>150</v>
      </c>
      <c r="L271" s="4" t="s">
        <v>273</v>
      </c>
      <c r="M271" s="24" t="s">
        <v>749</v>
      </c>
      <c r="N271" s="4" t="s">
        <v>153</v>
      </c>
      <c r="O271" s="4" t="s">
        <v>165</v>
      </c>
      <c r="P271" s="4" t="s">
        <v>118</v>
      </c>
      <c r="Q271" s="25" t="n">
        <v>69.99</v>
      </c>
      <c r="R271" s="25" t="n">
        <v>69.99</v>
      </c>
      <c r="S271" s="25" t="n">
        <v>39.11</v>
      </c>
      <c r="T271" s="26" t="n">
        <v>5</v>
      </c>
      <c r="U271" s="26"/>
      <c r="V271" s="26" t="n">
        <v>4</v>
      </c>
      <c r="W271" s="26"/>
      <c r="X271" s="27" t="n">
        <f aca="false">SUM(T271:W271)</f>
        <v>9</v>
      </c>
      <c r="Y271" s="28" t="n">
        <f aca="false">COUNT(T271:W271)</f>
        <v>2</v>
      </c>
      <c r="Z271" s="29" t="n">
        <f aca="false">R271*X271</f>
        <v>629.91</v>
      </c>
      <c r="AA271" s="30" t="n">
        <v>46183</v>
      </c>
    </row>
    <row r="272" customFormat="false" ht="15" hidden="false" customHeight="true" outlineLevel="0" collapsed="false">
      <c r="A272" s="4" t="s">
        <v>1287</v>
      </c>
      <c r="B272" s="4" t="s">
        <v>1288</v>
      </c>
      <c r="C272" s="4" t="s">
        <v>302</v>
      </c>
      <c r="D272" s="4" t="s">
        <v>122</v>
      </c>
      <c r="E272" s="4" t="s">
        <v>123</v>
      </c>
      <c r="F272" s="4" t="s">
        <v>303</v>
      </c>
      <c r="G272" s="4" t="s">
        <v>304</v>
      </c>
      <c r="H272" s="4" t="s">
        <v>305</v>
      </c>
      <c r="I272" s="4" t="s">
        <v>127</v>
      </c>
      <c r="J272" s="4" t="s">
        <v>306</v>
      </c>
      <c r="K272" s="4" t="s">
        <v>187</v>
      </c>
      <c r="L272" s="4" t="s">
        <v>307</v>
      </c>
      <c r="M272" s="24" t="s">
        <v>538</v>
      </c>
      <c r="N272" s="4" t="s">
        <v>189</v>
      </c>
      <c r="O272" s="4" t="s">
        <v>165</v>
      </c>
      <c r="P272" s="4" t="s">
        <v>118</v>
      </c>
      <c r="Q272" s="25" t="n">
        <v>164.99</v>
      </c>
      <c r="R272" s="25" t="n">
        <v>164.99</v>
      </c>
      <c r="S272" s="25" t="n">
        <v>89.57</v>
      </c>
      <c r="T272" s="26" t="n">
        <v>4</v>
      </c>
      <c r="U272" s="26" t="n">
        <v>3</v>
      </c>
      <c r="V272" s="26" t="n">
        <v>0</v>
      </c>
      <c r="W272" s="26" t="n">
        <v>0</v>
      </c>
      <c r="X272" s="27" t="n">
        <f aca="false">SUM(T272:W272)</f>
        <v>7</v>
      </c>
      <c r="Y272" s="28" t="n">
        <f aca="false">COUNT(T272:W272)</f>
        <v>4</v>
      </c>
      <c r="Z272" s="29" t="n">
        <f aca="false">R272*X272</f>
        <v>1154.93</v>
      </c>
      <c r="AA272" s="30" t="n">
        <v>46069</v>
      </c>
    </row>
    <row r="273" customFormat="false" ht="15" hidden="false" customHeight="true" outlineLevel="0" collapsed="false">
      <c r="A273" s="4" t="s">
        <v>1289</v>
      </c>
      <c r="B273" s="4" t="s">
        <v>1290</v>
      </c>
      <c r="C273" s="4" t="s">
        <v>1291</v>
      </c>
      <c r="D273" s="4" t="s">
        <v>145</v>
      </c>
      <c r="E273" s="4" t="s">
        <v>146</v>
      </c>
      <c r="F273" s="4" t="s">
        <v>1292</v>
      </c>
      <c r="G273" s="4" t="s">
        <v>1293</v>
      </c>
      <c r="H273" s="4" t="s">
        <v>1294</v>
      </c>
      <c r="I273" s="4" t="s">
        <v>771</v>
      </c>
      <c r="J273" s="4" t="s">
        <v>772</v>
      </c>
      <c r="K273" s="4" t="s">
        <v>113</v>
      </c>
      <c r="L273" s="4" t="s">
        <v>1295</v>
      </c>
      <c r="M273" s="24" t="s">
        <v>211</v>
      </c>
      <c r="N273" s="4" t="s">
        <v>116</v>
      </c>
      <c r="O273" s="4" t="s">
        <v>238</v>
      </c>
      <c r="P273" s="4" t="s">
        <v>118</v>
      </c>
      <c r="Q273" s="25" t="n">
        <v>139.99</v>
      </c>
      <c r="R273" s="25" t="n">
        <v>139.99</v>
      </c>
      <c r="S273" s="25" t="n">
        <v>70.17</v>
      </c>
      <c r="T273" s="26" t="n">
        <v>2</v>
      </c>
      <c r="U273" s="26" t="n">
        <v>3</v>
      </c>
      <c r="V273" s="26" t="n">
        <v>2</v>
      </c>
      <c r="W273" s="26" t="n">
        <v>2</v>
      </c>
      <c r="X273" s="27" t="n">
        <f aca="false">SUM(T273:W273)</f>
        <v>9</v>
      </c>
      <c r="Y273" s="28" t="n">
        <f aca="false">COUNT(T273:W273)</f>
        <v>4</v>
      </c>
      <c r="Z273" s="29" t="n">
        <f aca="false">R273*X273</f>
        <v>1259.91</v>
      </c>
      <c r="AA273" s="30" t="n">
        <v>46023</v>
      </c>
    </row>
    <row r="274" customFormat="false" ht="15" hidden="false" customHeight="true" outlineLevel="0" collapsed="false">
      <c r="A274" s="4" t="s">
        <v>1296</v>
      </c>
      <c r="B274" s="4" t="s">
        <v>1297</v>
      </c>
      <c r="C274" s="4" t="s">
        <v>511</v>
      </c>
      <c r="D274" s="4" t="s">
        <v>193</v>
      </c>
      <c r="E274" s="4" t="s">
        <v>194</v>
      </c>
      <c r="F274" s="4" t="s">
        <v>195</v>
      </c>
      <c r="G274" s="4" t="s">
        <v>512</v>
      </c>
      <c r="H274" s="4" t="s">
        <v>513</v>
      </c>
      <c r="I274" s="4" t="s">
        <v>111</v>
      </c>
      <c r="J274" s="4" t="s">
        <v>198</v>
      </c>
      <c r="K274" s="4" t="s">
        <v>209</v>
      </c>
      <c r="L274" s="4" t="s">
        <v>441</v>
      </c>
      <c r="M274" s="24" t="s">
        <v>130</v>
      </c>
      <c r="N274" s="4" t="s">
        <v>153</v>
      </c>
      <c r="O274" s="4" t="s">
        <v>165</v>
      </c>
      <c r="P274" s="4" t="s">
        <v>118</v>
      </c>
      <c r="Q274" s="25" t="n">
        <v>54.99</v>
      </c>
      <c r="R274" s="25" t="n">
        <v>54.99</v>
      </c>
      <c r="S274" s="25" t="n">
        <v>29.66</v>
      </c>
      <c r="T274" s="26" t="n">
        <v>0</v>
      </c>
      <c r="U274" s="26" t="n">
        <v>0</v>
      </c>
      <c r="V274" s="26" t="n">
        <v>4</v>
      </c>
      <c r="W274" s="26" t="n">
        <v>0</v>
      </c>
      <c r="X274" s="27" t="n">
        <f aca="false">SUM(T274:W274)</f>
        <v>4</v>
      </c>
      <c r="Y274" s="28" t="n">
        <f aca="false">COUNT(T274:W274)</f>
        <v>4</v>
      </c>
      <c r="Z274" s="29" t="n">
        <f aca="false">R274*X274</f>
        <v>219.96</v>
      </c>
      <c r="AA274" s="30" t="n">
        <v>46039</v>
      </c>
    </row>
    <row r="275" customFormat="false" ht="15" hidden="false" customHeight="true" outlineLevel="0" collapsed="false">
      <c r="A275" s="4" t="s">
        <v>1298</v>
      </c>
      <c r="B275" s="4" t="s">
        <v>1299</v>
      </c>
      <c r="C275" s="4" t="s">
        <v>383</v>
      </c>
      <c r="D275" s="4" t="s">
        <v>135</v>
      </c>
      <c r="E275" s="4" t="s">
        <v>136</v>
      </c>
      <c r="F275" s="4" t="s">
        <v>384</v>
      </c>
      <c r="G275" s="4" t="s">
        <v>385</v>
      </c>
      <c r="H275" s="4" t="s">
        <v>386</v>
      </c>
      <c r="I275" s="4" t="s">
        <v>127</v>
      </c>
      <c r="J275" s="4" t="s">
        <v>280</v>
      </c>
      <c r="K275" s="4" t="s">
        <v>113</v>
      </c>
      <c r="L275" s="4" t="s">
        <v>387</v>
      </c>
      <c r="M275" s="24" t="s">
        <v>327</v>
      </c>
      <c r="N275" s="4" t="s">
        <v>116</v>
      </c>
      <c r="O275" s="4" t="s">
        <v>117</v>
      </c>
      <c r="P275" s="4" t="s">
        <v>202</v>
      </c>
      <c r="Q275" s="25" t="n">
        <v>149.99</v>
      </c>
      <c r="R275" s="25" t="n">
        <v>149.99</v>
      </c>
      <c r="S275" s="25" t="n">
        <v>72.91</v>
      </c>
      <c r="T275" s="26" t="n">
        <v>5</v>
      </c>
      <c r="U275" s="26" t="n">
        <v>5</v>
      </c>
      <c r="V275" s="26" t="n">
        <v>4</v>
      </c>
      <c r="W275" s="26"/>
      <c r="X275" s="27" t="n">
        <f aca="false">SUM(T275:W275)</f>
        <v>14</v>
      </c>
      <c r="Y275" s="28" t="n">
        <f aca="false">COUNT(T275:W275)</f>
        <v>3</v>
      </c>
      <c r="Z275" s="29" t="n">
        <f aca="false">R275*X275</f>
        <v>2099.86</v>
      </c>
      <c r="AA275" s="30" t="n">
        <v>46143</v>
      </c>
    </row>
    <row r="276" customFormat="false" ht="15" hidden="false" customHeight="true" outlineLevel="0" collapsed="false">
      <c r="A276" s="4" t="s">
        <v>1300</v>
      </c>
      <c r="B276" s="4" t="s">
        <v>1301</v>
      </c>
      <c r="C276" s="4" t="s">
        <v>1014</v>
      </c>
      <c r="D276" s="4" t="s">
        <v>122</v>
      </c>
      <c r="E276" s="4" t="s">
        <v>285</v>
      </c>
      <c r="F276" s="4" t="s">
        <v>1015</v>
      </c>
      <c r="G276" s="4" t="s">
        <v>1016</v>
      </c>
      <c r="H276" s="4" t="s">
        <v>1017</v>
      </c>
      <c r="I276" s="4" t="s">
        <v>161</v>
      </c>
      <c r="J276" s="4" t="s">
        <v>289</v>
      </c>
      <c r="K276" s="4" t="s">
        <v>113</v>
      </c>
      <c r="L276" s="4" t="s">
        <v>1018</v>
      </c>
      <c r="M276" s="24" t="s">
        <v>164</v>
      </c>
      <c r="N276" s="4" t="s">
        <v>116</v>
      </c>
      <c r="O276" s="4" t="s">
        <v>117</v>
      </c>
      <c r="P276" s="4" t="s">
        <v>202</v>
      </c>
      <c r="Q276" s="25" t="n">
        <v>234.99</v>
      </c>
      <c r="R276" s="25" t="n">
        <v>234.99</v>
      </c>
      <c r="S276" s="25" t="n">
        <v>116.5</v>
      </c>
      <c r="T276" s="26" t="n">
        <v>2</v>
      </c>
      <c r="U276" s="26"/>
      <c r="V276" s="26" t="n">
        <v>0</v>
      </c>
      <c r="W276" s="26" t="n">
        <v>2</v>
      </c>
      <c r="X276" s="27" t="n">
        <f aca="false">SUM(T276:W276)</f>
        <v>4</v>
      </c>
      <c r="Y276" s="28" t="n">
        <f aca="false">COUNT(T276:W276)</f>
        <v>3</v>
      </c>
      <c r="Z276" s="29" t="n">
        <f aca="false">R276*X276</f>
        <v>939.96</v>
      </c>
      <c r="AA276" s="30" t="n">
        <v>46138</v>
      </c>
    </row>
    <row r="277" customFormat="false" ht="15" hidden="false" customHeight="true" outlineLevel="0" collapsed="false">
      <c r="A277" s="4" t="s">
        <v>1302</v>
      </c>
      <c r="B277" s="4" t="s">
        <v>1303</v>
      </c>
      <c r="C277" s="4" t="s">
        <v>1176</v>
      </c>
      <c r="D277" s="4" t="s">
        <v>583</v>
      </c>
      <c r="E277" s="4" t="s">
        <v>584</v>
      </c>
      <c r="F277" s="4" t="s">
        <v>1177</v>
      </c>
      <c r="G277" s="4" t="s">
        <v>1178</v>
      </c>
      <c r="H277" s="4" t="s">
        <v>1179</v>
      </c>
      <c r="I277" s="4" t="s">
        <v>161</v>
      </c>
      <c r="J277" s="4" t="s">
        <v>246</v>
      </c>
      <c r="K277" s="4" t="s">
        <v>209</v>
      </c>
      <c r="L277" s="4" t="s">
        <v>1180</v>
      </c>
      <c r="M277" s="24" t="s">
        <v>538</v>
      </c>
      <c r="N277" s="4" t="s">
        <v>153</v>
      </c>
      <c r="O277" s="4" t="s">
        <v>131</v>
      </c>
      <c r="P277" s="4" t="s">
        <v>118</v>
      </c>
      <c r="Q277" s="25" t="n">
        <v>149.99</v>
      </c>
      <c r="R277" s="25" t="n">
        <v>149.99</v>
      </c>
      <c r="S277" s="25" t="n">
        <v>80.52</v>
      </c>
      <c r="T277" s="26" t="n">
        <v>2</v>
      </c>
      <c r="U277" s="26" t="n">
        <v>2</v>
      </c>
      <c r="V277" s="26" t="n">
        <v>2</v>
      </c>
      <c r="W277" s="26" t="n">
        <v>0</v>
      </c>
      <c r="X277" s="27" t="n">
        <f aca="false">SUM(T277:W277)</f>
        <v>6</v>
      </c>
      <c r="Y277" s="28" t="n">
        <f aca="false">COUNT(T277:W277)</f>
        <v>4</v>
      </c>
      <c r="Z277" s="29" t="n">
        <f aca="false">R277*X277</f>
        <v>899.94</v>
      </c>
      <c r="AA277" s="30" t="n">
        <v>46114</v>
      </c>
    </row>
    <row r="278" customFormat="false" ht="15" hidden="false" customHeight="true" outlineLevel="0" collapsed="false">
      <c r="A278" s="4" t="s">
        <v>1304</v>
      </c>
      <c r="B278" s="4" t="s">
        <v>1305</v>
      </c>
      <c r="C278" s="4" t="s">
        <v>730</v>
      </c>
      <c r="D278" s="4" t="s">
        <v>106</v>
      </c>
      <c r="E278" s="4" t="s">
        <v>157</v>
      </c>
      <c r="F278" s="4" t="s">
        <v>731</v>
      </c>
      <c r="G278" s="4" t="s">
        <v>732</v>
      </c>
      <c r="H278" s="4" t="s">
        <v>733</v>
      </c>
      <c r="I278" s="4" t="s">
        <v>161</v>
      </c>
      <c r="J278" s="4" t="s">
        <v>235</v>
      </c>
      <c r="K278" s="4" t="s">
        <v>113</v>
      </c>
      <c r="L278" s="4" t="s">
        <v>734</v>
      </c>
      <c r="M278" s="24" t="s">
        <v>141</v>
      </c>
      <c r="N278" s="4" t="s">
        <v>116</v>
      </c>
      <c r="O278" s="4" t="s">
        <v>165</v>
      </c>
      <c r="P278" s="4" t="s">
        <v>118</v>
      </c>
      <c r="Q278" s="25" t="n">
        <v>109.99</v>
      </c>
      <c r="R278" s="25" t="n">
        <v>109.99</v>
      </c>
      <c r="S278" s="25" t="n">
        <v>59.52</v>
      </c>
      <c r="T278" s="26" t="n">
        <v>1</v>
      </c>
      <c r="U278" s="26" t="n">
        <v>0</v>
      </c>
      <c r="V278" s="26" t="n">
        <v>5</v>
      </c>
      <c r="W278" s="26"/>
      <c r="X278" s="27" t="n">
        <f aca="false">SUM(T278:W278)</f>
        <v>6</v>
      </c>
      <c r="Y278" s="28" t="n">
        <f aca="false">COUNT(T278:W278)</f>
        <v>3</v>
      </c>
      <c r="Z278" s="29" t="n">
        <f aca="false">R278*X278</f>
        <v>659.94</v>
      </c>
      <c r="AA278" s="30" t="n">
        <v>46084</v>
      </c>
    </row>
    <row r="279" customFormat="false" ht="15" hidden="false" customHeight="true" outlineLevel="0" collapsed="false">
      <c r="A279" s="4" t="s">
        <v>1306</v>
      </c>
      <c r="B279" s="4" t="s">
        <v>1307</v>
      </c>
      <c r="C279" s="4" t="s">
        <v>795</v>
      </c>
      <c r="D279" s="4" t="s">
        <v>145</v>
      </c>
      <c r="E279" s="4" t="s">
        <v>146</v>
      </c>
      <c r="F279" s="4" t="s">
        <v>563</v>
      </c>
      <c r="G279" s="4" t="s">
        <v>796</v>
      </c>
      <c r="H279" s="4" t="s">
        <v>797</v>
      </c>
      <c r="I279" s="4" t="s">
        <v>127</v>
      </c>
      <c r="J279" s="4" t="s">
        <v>128</v>
      </c>
      <c r="K279" s="4" t="s">
        <v>187</v>
      </c>
      <c r="L279" s="4" t="s">
        <v>798</v>
      </c>
      <c r="M279" s="24" t="s">
        <v>188</v>
      </c>
      <c r="N279" s="4" t="s">
        <v>189</v>
      </c>
      <c r="O279" s="4" t="s">
        <v>131</v>
      </c>
      <c r="P279" s="4" t="s">
        <v>118</v>
      </c>
      <c r="Q279" s="25" t="n">
        <v>84.99</v>
      </c>
      <c r="R279" s="25" t="n">
        <v>84.99</v>
      </c>
      <c r="S279" s="25" t="n">
        <v>45.28</v>
      </c>
      <c r="T279" s="26"/>
      <c r="U279" s="26" t="n">
        <v>3</v>
      </c>
      <c r="V279" s="26" t="n">
        <v>2</v>
      </c>
      <c r="W279" s="26"/>
      <c r="X279" s="27" t="n">
        <f aca="false">SUM(T279:W279)</f>
        <v>5</v>
      </c>
      <c r="Y279" s="28" t="n">
        <f aca="false">COUNT(T279:W279)</f>
        <v>2</v>
      </c>
      <c r="Z279" s="29" t="n">
        <f aca="false">R279*X279</f>
        <v>424.95</v>
      </c>
      <c r="AA279" s="30" t="n">
        <v>46049</v>
      </c>
    </row>
    <row r="280" customFormat="false" ht="15" hidden="false" customHeight="true" outlineLevel="0" collapsed="false">
      <c r="A280" s="4" t="s">
        <v>1308</v>
      </c>
      <c r="B280" s="4" t="s">
        <v>1309</v>
      </c>
      <c r="C280" s="4" t="s">
        <v>412</v>
      </c>
      <c r="D280" s="4" t="s">
        <v>135</v>
      </c>
      <c r="E280" s="4" t="s">
        <v>136</v>
      </c>
      <c r="F280" s="4" t="s">
        <v>413</v>
      </c>
      <c r="G280" s="4" t="s">
        <v>414</v>
      </c>
      <c r="H280" s="4" t="s">
        <v>415</v>
      </c>
      <c r="I280" s="4" t="s">
        <v>161</v>
      </c>
      <c r="J280" s="4" t="s">
        <v>246</v>
      </c>
      <c r="K280" s="4" t="s">
        <v>113</v>
      </c>
      <c r="L280" s="4" t="s">
        <v>416</v>
      </c>
      <c r="M280" s="24" t="s">
        <v>327</v>
      </c>
      <c r="N280" s="4" t="s">
        <v>116</v>
      </c>
      <c r="O280" s="4" t="s">
        <v>238</v>
      </c>
      <c r="P280" s="4" t="s">
        <v>239</v>
      </c>
      <c r="Q280" s="25" t="n">
        <v>89.99</v>
      </c>
      <c r="R280" s="25" t="n">
        <v>53.99</v>
      </c>
      <c r="S280" s="25" t="n">
        <v>46.24</v>
      </c>
      <c r="T280" s="26" t="n">
        <v>2</v>
      </c>
      <c r="U280" s="26" t="n">
        <v>1</v>
      </c>
      <c r="V280" s="26" t="n">
        <v>1</v>
      </c>
      <c r="W280" s="26" t="n">
        <v>4</v>
      </c>
      <c r="X280" s="27" t="n">
        <f aca="false">SUM(T280:W280)</f>
        <v>8</v>
      </c>
      <c r="Y280" s="28" t="n">
        <f aca="false">COUNT(T280:W280)</f>
        <v>4</v>
      </c>
      <c r="Z280" s="29" t="n">
        <f aca="false">R280*X280</f>
        <v>431.92</v>
      </c>
      <c r="AA280" s="30" t="n">
        <v>46076</v>
      </c>
    </row>
    <row r="281" customFormat="false" ht="15" hidden="false" customHeight="true" outlineLevel="0" collapsed="false">
      <c r="A281" s="4" t="s">
        <v>1310</v>
      </c>
      <c r="B281" s="4" t="s">
        <v>1311</v>
      </c>
      <c r="C281" s="4" t="s">
        <v>1312</v>
      </c>
      <c r="D281" s="4" t="s">
        <v>122</v>
      </c>
      <c r="E281" s="4" t="s">
        <v>123</v>
      </c>
      <c r="F281" s="4" t="s">
        <v>1313</v>
      </c>
      <c r="G281" s="4" t="s">
        <v>1314</v>
      </c>
      <c r="H281" s="4" t="s">
        <v>1315</v>
      </c>
      <c r="I281" s="4" t="s">
        <v>161</v>
      </c>
      <c r="J281" s="4" t="s">
        <v>235</v>
      </c>
      <c r="K281" s="4" t="s">
        <v>150</v>
      </c>
      <c r="L281" s="4" t="s">
        <v>1316</v>
      </c>
      <c r="M281" s="24" t="s">
        <v>1317</v>
      </c>
      <c r="N281" s="4" t="s">
        <v>153</v>
      </c>
      <c r="O281" s="4" t="s">
        <v>165</v>
      </c>
      <c r="P281" s="4" t="s">
        <v>118</v>
      </c>
      <c r="Q281" s="25" t="n">
        <v>94.99</v>
      </c>
      <c r="R281" s="25" t="n">
        <v>94.99</v>
      </c>
      <c r="S281" s="25" t="n">
        <v>47.91</v>
      </c>
      <c r="T281" s="26" t="n">
        <v>1</v>
      </c>
      <c r="U281" s="26" t="n">
        <v>1</v>
      </c>
      <c r="V281" s="26" t="n">
        <v>5</v>
      </c>
      <c r="W281" s="26" t="n">
        <v>0</v>
      </c>
      <c r="X281" s="27" t="n">
        <f aca="false">SUM(T281:W281)</f>
        <v>7</v>
      </c>
      <c r="Y281" s="28" t="n">
        <f aca="false">COUNT(T281:W281)</f>
        <v>4</v>
      </c>
      <c r="Z281" s="29" t="n">
        <f aca="false">R281*X281</f>
        <v>664.93</v>
      </c>
      <c r="AA281" s="30" t="n">
        <v>46085</v>
      </c>
    </row>
    <row r="282" customFormat="false" ht="15" hidden="false" customHeight="true" outlineLevel="0" collapsed="false">
      <c r="A282" s="4" t="s">
        <v>1318</v>
      </c>
      <c r="B282" s="4" t="s">
        <v>1319</v>
      </c>
      <c r="C282" s="4" t="s">
        <v>1320</v>
      </c>
      <c r="D282" s="4" t="s">
        <v>106</v>
      </c>
      <c r="E282" s="4" t="s">
        <v>157</v>
      </c>
      <c r="F282" s="4" t="s">
        <v>495</v>
      </c>
      <c r="G282" s="4" t="s">
        <v>1321</v>
      </c>
      <c r="H282" s="4" t="s">
        <v>1322</v>
      </c>
      <c r="I282" s="4" t="s">
        <v>161</v>
      </c>
      <c r="J282" s="4" t="s">
        <v>162</v>
      </c>
      <c r="K282" s="4" t="s">
        <v>187</v>
      </c>
      <c r="L282" s="4" t="s">
        <v>1323</v>
      </c>
      <c r="M282" s="24" t="s">
        <v>291</v>
      </c>
      <c r="N282" s="4" t="s">
        <v>189</v>
      </c>
      <c r="O282" s="4" t="s">
        <v>165</v>
      </c>
      <c r="P282" s="4" t="s">
        <v>118</v>
      </c>
      <c r="Q282" s="25" t="n">
        <v>109.99</v>
      </c>
      <c r="R282" s="25" t="n">
        <v>109.99</v>
      </c>
      <c r="S282" s="25" t="n">
        <v>55.13</v>
      </c>
      <c r="T282" s="26" t="n">
        <v>6</v>
      </c>
      <c r="U282" s="26"/>
      <c r="V282" s="26" t="n">
        <v>3</v>
      </c>
      <c r="W282" s="26"/>
      <c r="X282" s="27" t="n">
        <f aca="false">SUM(T282:W282)</f>
        <v>9</v>
      </c>
      <c r="Y282" s="28" t="n">
        <f aca="false">COUNT(T282:W282)</f>
        <v>2</v>
      </c>
      <c r="Z282" s="29" t="n">
        <f aca="false">R282*X282</f>
        <v>989.91</v>
      </c>
      <c r="AA282" s="30" t="n">
        <v>46034</v>
      </c>
    </row>
    <row r="283" customFormat="false" ht="15" hidden="false" customHeight="true" outlineLevel="0" collapsed="false">
      <c r="A283" s="4" t="s">
        <v>1324</v>
      </c>
      <c r="B283" s="4" t="s">
        <v>1325</v>
      </c>
      <c r="C283" s="4" t="s">
        <v>533</v>
      </c>
      <c r="D283" s="4" t="s">
        <v>135</v>
      </c>
      <c r="E283" s="4" t="s">
        <v>136</v>
      </c>
      <c r="F283" s="4" t="s">
        <v>534</v>
      </c>
      <c r="G283" s="4" t="s">
        <v>535</v>
      </c>
      <c r="H283" s="4" t="s">
        <v>536</v>
      </c>
      <c r="I283" s="4" t="s">
        <v>127</v>
      </c>
      <c r="J283" s="4" t="s">
        <v>218</v>
      </c>
      <c r="K283" s="4" t="s">
        <v>187</v>
      </c>
      <c r="L283" s="4" t="s">
        <v>537</v>
      </c>
      <c r="M283" s="24" t="s">
        <v>291</v>
      </c>
      <c r="N283" s="4" t="s">
        <v>189</v>
      </c>
      <c r="O283" s="4" t="s">
        <v>238</v>
      </c>
      <c r="P283" s="4" t="s">
        <v>118</v>
      </c>
      <c r="Q283" s="25" t="n">
        <v>139.99</v>
      </c>
      <c r="R283" s="25" t="n">
        <v>139.99</v>
      </c>
      <c r="S283" s="25" t="n">
        <v>78.24</v>
      </c>
      <c r="T283" s="26" t="n">
        <v>5</v>
      </c>
      <c r="U283" s="26" t="n">
        <v>1</v>
      </c>
      <c r="V283" s="26" t="n">
        <v>5</v>
      </c>
      <c r="W283" s="26" t="n">
        <v>2</v>
      </c>
      <c r="X283" s="27" t="n">
        <f aca="false">SUM(T283:W283)</f>
        <v>13</v>
      </c>
      <c r="Y283" s="28" t="n">
        <f aca="false">COUNT(T283:W283)</f>
        <v>4</v>
      </c>
      <c r="Z283" s="29" t="n">
        <f aca="false">R283*X283</f>
        <v>1819.87</v>
      </c>
      <c r="AA283" s="30" t="n">
        <v>46198</v>
      </c>
    </row>
    <row r="284" customFormat="false" ht="15" hidden="false" customHeight="true" outlineLevel="0" collapsed="false">
      <c r="A284" s="4" t="s">
        <v>1326</v>
      </c>
      <c r="B284" s="4" t="s">
        <v>1327</v>
      </c>
      <c r="C284" s="4" t="s">
        <v>1130</v>
      </c>
      <c r="D284" s="4" t="s">
        <v>122</v>
      </c>
      <c r="E284" s="4" t="s">
        <v>123</v>
      </c>
      <c r="F284" s="4" t="s">
        <v>1131</v>
      </c>
      <c r="G284" s="4" t="s">
        <v>1132</v>
      </c>
      <c r="H284" s="4" t="s">
        <v>1133</v>
      </c>
      <c r="I284" s="4" t="s">
        <v>226</v>
      </c>
      <c r="J284" s="4" t="s">
        <v>265</v>
      </c>
      <c r="K284" s="4" t="s">
        <v>113</v>
      </c>
      <c r="L284" s="4" t="s">
        <v>1134</v>
      </c>
      <c r="M284" s="24" t="s">
        <v>177</v>
      </c>
      <c r="N284" s="4" t="s">
        <v>116</v>
      </c>
      <c r="O284" s="4" t="s">
        <v>117</v>
      </c>
      <c r="P284" s="4" t="s">
        <v>202</v>
      </c>
      <c r="Q284" s="25" t="n">
        <v>129.99</v>
      </c>
      <c r="R284" s="25" t="n">
        <v>129.99</v>
      </c>
      <c r="S284" s="25" t="n">
        <v>72.02</v>
      </c>
      <c r="T284" s="26" t="n">
        <v>3</v>
      </c>
      <c r="U284" s="26" t="n">
        <v>3</v>
      </c>
      <c r="V284" s="26" t="n">
        <v>0</v>
      </c>
      <c r="W284" s="26" t="n">
        <v>4</v>
      </c>
      <c r="X284" s="27" t="n">
        <f aca="false">SUM(T284:W284)</f>
        <v>10</v>
      </c>
      <c r="Y284" s="28" t="n">
        <f aca="false">COUNT(T284:W284)</f>
        <v>4</v>
      </c>
      <c r="Z284" s="29" t="n">
        <f aca="false">R284*X284</f>
        <v>1299.9</v>
      </c>
      <c r="AA284" s="30" t="n">
        <v>46033</v>
      </c>
    </row>
    <row r="285" customFormat="false" ht="15" hidden="false" customHeight="true" outlineLevel="0" collapsed="false">
      <c r="A285" s="4" t="s">
        <v>1328</v>
      </c>
      <c r="B285" s="4" t="s">
        <v>1329</v>
      </c>
      <c r="C285" s="4" t="s">
        <v>555</v>
      </c>
      <c r="D285" s="4" t="s">
        <v>122</v>
      </c>
      <c r="E285" s="4" t="s">
        <v>123</v>
      </c>
      <c r="F285" s="4" t="s">
        <v>556</v>
      </c>
      <c r="G285" s="4" t="s">
        <v>557</v>
      </c>
      <c r="H285" s="4" t="s">
        <v>558</v>
      </c>
      <c r="I285" s="4" t="s">
        <v>161</v>
      </c>
      <c r="J285" s="4" t="s">
        <v>246</v>
      </c>
      <c r="K285" s="4" t="s">
        <v>187</v>
      </c>
      <c r="L285" s="4" t="s">
        <v>559</v>
      </c>
      <c r="M285" s="24" t="s">
        <v>308</v>
      </c>
      <c r="N285" s="4" t="s">
        <v>189</v>
      </c>
      <c r="O285" s="4" t="s">
        <v>117</v>
      </c>
      <c r="P285" s="4" t="s">
        <v>202</v>
      </c>
      <c r="Q285" s="25" t="n">
        <v>119.99</v>
      </c>
      <c r="R285" s="25" t="n">
        <v>119.99</v>
      </c>
      <c r="S285" s="25" t="n">
        <v>62.97</v>
      </c>
      <c r="T285" s="26" t="n">
        <v>3</v>
      </c>
      <c r="U285" s="26"/>
      <c r="V285" s="26" t="n">
        <v>3</v>
      </c>
      <c r="W285" s="26" t="n">
        <v>0</v>
      </c>
      <c r="X285" s="27" t="n">
        <f aca="false">SUM(T285:W285)</f>
        <v>6</v>
      </c>
      <c r="Y285" s="28" t="n">
        <f aca="false">COUNT(T285:W285)</f>
        <v>3</v>
      </c>
      <c r="Z285" s="29" t="n">
        <f aca="false">R285*X285</f>
        <v>719.94</v>
      </c>
      <c r="AA285" s="30" t="n">
        <v>46032</v>
      </c>
    </row>
    <row r="286" customFormat="false" ht="15" hidden="false" customHeight="true" outlineLevel="0" collapsed="false">
      <c r="A286" s="4" t="s">
        <v>1330</v>
      </c>
      <c r="B286" s="4" t="s">
        <v>1331</v>
      </c>
      <c r="C286" s="4" t="s">
        <v>1074</v>
      </c>
      <c r="D286" s="4" t="s">
        <v>122</v>
      </c>
      <c r="E286" s="4" t="s">
        <v>123</v>
      </c>
      <c r="F286" s="4" t="s">
        <v>1075</v>
      </c>
      <c r="G286" s="4" t="s">
        <v>1076</v>
      </c>
      <c r="H286" s="4" t="s">
        <v>1077</v>
      </c>
      <c r="I286" s="4" t="s">
        <v>161</v>
      </c>
      <c r="J286" s="4" t="s">
        <v>246</v>
      </c>
      <c r="K286" s="4" t="s">
        <v>113</v>
      </c>
      <c r="L286" s="4" t="s">
        <v>1078</v>
      </c>
      <c r="M286" s="24" t="s">
        <v>327</v>
      </c>
      <c r="N286" s="4" t="s">
        <v>116</v>
      </c>
      <c r="O286" s="4" t="s">
        <v>165</v>
      </c>
      <c r="P286" s="4" t="s">
        <v>118</v>
      </c>
      <c r="Q286" s="25" t="n">
        <v>159.99</v>
      </c>
      <c r="R286" s="25" t="n">
        <v>159.99</v>
      </c>
      <c r="S286" s="25" t="n">
        <v>87.97</v>
      </c>
      <c r="T286" s="26" t="n">
        <v>2</v>
      </c>
      <c r="U286" s="26" t="n">
        <v>1</v>
      </c>
      <c r="V286" s="26" t="n">
        <v>3</v>
      </c>
      <c r="W286" s="26" t="n">
        <v>0</v>
      </c>
      <c r="X286" s="27" t="n">
        <f aca="false">SUM(T286:W286)</f>
        <v>6</v>
      </c>
      <c r="Y286" s="28" t="n">
        <f aca="false">COUNT(T286:W286)</f>
        <v>4</v>
      </c>
      <c r="Z286" s="29" t="n">
        <f aca="false">R286*X286</f>
        <v>959.94</v>
      </c>
      <c r="AA286" s="30" t="n">
        <v>46058</v>
      </c>
    </row>
    <row r="287" customFormat="false" ht="15" hidden="false" customHeight="true" outlineLevel="0" collapsed="false">
      <c r="A287" s="4" t="s">
        <v>1332</v>
      </c>
      <c r="B287" s="4" t="s">
        <v>1333</v>
      </c>
      <c r="C287" s="4" t="s">
        <v>412</v>
      </c>
      <c r="D287" s="4" t="s">
        <v>135</v>
      </c>
      <c r="E287" s="4" t="s">
        <v>136</v>
      </c>
      <c r="F287" s="4" t="s">
        <v>413</v>
      </c>
      <c r="G287" s="4" t="s">
        <v>414</v>
      </c>
      <c r="H287" s="4" t="s">
        <v>415</v>
      </c>
      <c r="I287" s="4" t="s">
        <v>161</v>
      </c>
      <c r="J287" s="4" t="s">
        <v>246</v>
      </c>
      <c r="K287" s="4" t="s">
        <v>113</v>
      </c>
      <c r="L287" s="4" t="s">
        <v>416</v>
      </c>
      <c r="M287" s="24" t="s">
        <v>177</v>
      </c>
      <c r="N287" s="4" t="s">
        <v>116</v>
      </c>
      <c r="O287" s="4" t="s">
        <v>238</v>
      </c>
      <c r="P287" s="4" t="s">
        <v>239</v>
      </c>
      <c r="Q287" s="25" t="n">
        <v>89.99</v>
      </c>
      <c r="R287" s="25" t="n">
        <v>53.99</v>
      </c>
      <c r="S287" s="25" t="n">
        <v>46.24</v>
      </c>
      <c r="T287" s="26" t="n">
        <v>5</v>
      </c>
      <c r="U287" s="26" t="n">
        <v>2</v>
      </c>
      <c r="V287" s="26" t="n">
        <v>3</v>
      </c>
      <c r="W287" s="26" t="n">
        <v>5</v>
      </c>
      <c r="X287" s="27" t="n">
        <f aca="false">SUM(T287:W287)</f>
        <v>15</v>
      </c>
      <c r="Y287" s="28" t="n">
        <f aca="false">COUNT(T287:W287)</f>
        <v>4</v>
      </c>
      <c r="Z287" s="29" t="n">
        <f aca="false">R287*X287</f>
        <v>809.85</v>
      </c>
      <c r="AA287" s="30" t="n">
        <v>46182</v>
      </c>
    </row>
    <row r="288" customFormat="false" ht="15" hidden="false" customHeight="true" outlineLevel="0" collapsed="false">
      <c r="A288" s="4" t="s">
        <v>1334</v>
      </c>
      <c r="B288" s="4" t="s">
        <v>1335</v>
      </c>
      <c r="C288" s="4" t="s">
        <v>1130</v>
      </c>
      <c r="D288" s="4" t="s">
        <v>122</v>
      </c>
      <c r="E288" s="4" t="s">
        <v>123</v>
      </c>
      <c r="F288" s="4" t="s">
        <v>1131</v>
      </c>
      <c r="G288" s="4" t="s">
        <v>1132</v>
      </c>
      <c r="H288" s="4" t="s">
        <v>1133</v>
      </c>
      <c r="I288" s="4" t="s">
        <v>226</v>
      </c>
      <c r="J288" s="4" t="s">
        <v>265</v>
      </c>
      <c r="K288" s="4" t="s">
        <v>113</v>
      </c>
      <c r="L288" s="4" t="s">
        <v>1134</v>
      </c>
      <c r="M288" s="24" t="s">
        <v>164</v>
      </c>
      <c r="N288" s="4" t="s">
        <v>116</v>
      </c>
      <c r="O288" s="4" t="s">
        <v>117</v>
      </c>
      <c r="P288" s="4" t="s">
        <v>202</v>
      </c>
      <c r="Q288" s="25" t="n">
        <v>129.99</v>
      </c>
      <c r="R288" s="25" t="n">
        <v>129.99</v>
      </c>
      <c r="S288" s="25" t="n">
        <v>72.02</v>
      </c>
      <c r="T288" s="26" t="n">
        <v>0</v>
      </c>
      <c r="U288" s="26" t="n">
        <v>0</v>
      </c>
      <c r="V288" s="26" t="n">
        <v>6</v>
      </c>
      <c r="W288" s="26" t="n">
        <v>4</v>
      </c>
      <c r="X288" s="27" t="n">
        <f aca="false">SUM(T288:W288)</f>
        <v>10</v>
      </c>
      <c r="Y288" s="28" t="n">
        <f aca="false">COUNT(T288:W288)</f>
        <v>4</v>
      </c>
      <c r="Z288" s="29" t="n">
        <f aca="false">R288*X288</f>
        <v>1299.9</v>
      </c>
      <c r="AA288" s="30" t="n">
        <v>46065</v>
      </c>
    </row>
    <row r="289" customFormat="false" ht="15" hidden="false" customHeight="true" outlineLevel="0" collapsed="false">
      <c r="A289" s="4" t="s">
        <v>1336</v>
      </c>
      <c r="B289" s="4" t="s">
        <v>1337</v>
      </c>
      <c r="C289" s="4" t="s">
        <v>1081</v>
      </c>
      <c r="D289" s="4" t="s">
        <v>181</v>
      </c>
      <c r="E289" s="4" t="s">
        <v>182</v>
      </c>
      <c r="F289" s="4" t="s">
        <v>1082</v>
      </c>
      <c r="G289" s="4" t="s">
        <v>1083</v>
      </c>
      <c r="H289" s="4" t="s">
        <v>1084</v>
      </c>
      <c r="I289" s="4" t="s">
        <v>161</v>
      </c>
      <c r="J289" s="4" t="s">
        <v>186</v>
      </c>
      <c r="K289" s="4" t="s">
        <v>209</v>
      </c>
      <c r="L289" s="4" t="s">
        <v>348</v>
      </c>
      <c r="M289" s="24" t="s">
        <v>338</v>
      </c>
      <c r="N289" s="4" t="s">
        <v>153</v>
      </c>
      <c r="O289" s="4" t="s">
        <v>131</v>
      </c>
      <c r="P289" s="4" t="s">
        <v>239</v>
      </c>
      <c r="Q289" s="25" t="n">
        <v>74.99</v>
      </c>
      <c r="R289" s="25" t="n">
        <v>55.99</v>
      </c>
      <c r="S289" s="25" t="n">
        <v>38.23</v>
      </c>
      <c r="T289" s="26"/>
      <c r="U289" s="26" t="n">
        <v>3</v>
      </c>
      <c r="V289" s="26" t="n">
        <v>4</v>
      </c>
      <c r="W289" s="26"/>
      <c r="X289" s="27" t="n">
        <f aca="false">SUM(T289:W289)</f>
        <v>7</v>
      </c>
      <c r="Y289" s="28" t="n">
        <f aca="false">COUNT(T289:W289)</f>
        <v>2</v>
      </c>
      <c r="Z289" s="29" t="n">
        <f aca="false">R289*X289</f>
        <v>391.93</v>
      </c>
      <c r="AA289" s="30" t="n">
        <v>46033</v>
      </c>
    </row>
    <row r="290" customFormat="false" ht="15" hidden="false" customHeight="true" outlineLevel="0" collapsed="false">
      <c r="A290" s="4" t="s">
        <v>1338</v>
      </c>
      <c r="B290" s="4" t="s">
        <v>1339</v>
      </c>
      <c r="C290" s="4" t="s">
        <v>435</v>
      </c>
      <c r="D290" s="4" t="s">
        <v>436</v>
      </c>
      <c r="E290" s="4" t="s">
        <v>437</v>
      </c>
      <c r="F290" s="4" t="s">
        <v>438</v>
      </c>
      <c r="G290" s="4" t="s">
        <v>439</v>
      </c>
      <c r="H290" s="4" t="s">
        <v>440</v>
      </c>
      <c r="I290" s="4" t="s">
        <v>111</v>
      </c>
      <c r="J290" s="4" t="s">
        <v>111</v>
      </c>
      <c r="K290" s="4" t="s">
        <v>209</v>
      </c>
      <c r="L290" s="4" t="s">
        <v>441</v>
      </c>
      <c r="M290" s="24" t="s">
        <v>538</v>
      </c>
      <c r="N290" s="4" t="s">
        <v>153</v>
      </c>
      <c r="O290" s="4" t="s">
        <v>238</v>
      </c>
      <c r="P290" s="4" t="s">
        <v>118</v>
      </c>
      <c r="Q290" s="25" t="n">
        <v>54.99</v>
      </c>
      <c r="R290" s="25" t="n">
        <v>54.99</v>
      </c>
      <c r="S290" s="25" t="n">
        <v>26.61</v>
      </c>
      <c r="T290" s="26" t="n">
        <v>0</v>
      </c>
      <c r="U290" s="26"/>
      <c r="V290" s="26" t="n">
        <v>5</v>
      </c>
      <c r="W290" s="26"/>
      <c r="X290" s="27" t="n">
        <f aca="false">SUM(T290:W290)</f>
        <v>5</v>
      </c>
      <c r="Y290" s="28" t="n">
        <f aca="false">COUNT(T290:W290)</f>
        <v>2</v>
      </c>
      <c r="Z290" s="29" t="n">
        <f aca="false">R290*X290</f>
        <v>274.95</v>
      </c>
      <c r="AA290" s="30" t="n">
        <v>46159</v>
      </c>
    </row>
    <row r="291" customFormat="false" ht="15" hidden="false" customHeight="true" outlineLevel="0" collapsed="false">
      <c r="A291" s="4" t="s">
        <v>1340</v>
      </c>
      <c r="B291" s="4" t="s">
        <v>1341</v>
      </c>
      <c r="C291" s="4" t="s">
        <v>1342</v>
      </c>
      <c r="D291" s="4" t="s">
        <v>145</v>
      </c>
      <c r="E291" s="4" t="s">
        <v>146</v>
      </c>
      <c r="F291" s="4" t="s">
        <v>1343</v>
      </c>
      <c r="G291" s="4" t="s">
        <v>1344</v>
      </c>
      <c r="H291" s="4" t="s">
        <v>1345</v>
      </c>
      <c r="I291" s="4" t="s">
        <v>127</v>
      </c>
      <c r="J291" s="4" t="s">
        <v>347</v>
      </c>
      <c r="K291" s="4" t="s">
        <v>113</v>
      </c>
      <c r="L291" s="4" t="s">
        <v>1346</v>
      </c>
      <c r="M291" s="24" t="s">
        <v>258</v>
      </c>
      <c r="N291" s="4" t="s">
        <v>116</v>
      </c>
      <c r="O291" s="4" t="s">
        <v>165</v>
      </c>
      <c r="P291" s="4" t="s">
        <v>118</v>
      </c>
      <c r="Q291" s="25" t="n">
        <v>159.99</v>
      </c>
      <c r="R291" s="25" t="n">
        <v>159.99</v>
      </c>
      <c r="S291" s="25" t="n">
        <v>85.81</v>
      </c>
      <c r="T291" s="26" t="n">
        <v>3</v>
      </c>
      <c r="U291" s="26"/>
      <c r="V291" s="26" t="n">
        <v>6</v>
      </c>
      <c r="W291" s="26" t="n">
        <v>1</v>
      </c>
      <c r="X291" s="27" t="n">
        <f aca="false">SUM(T291:W291)</f>
        <v>10</v>
      </c>
      <c r="Y291" s="28" t="n">
        <f aca="false">COUNT(T291:W291)</f>
        <v>3</v>
      </c>
      <c r="Z291" s="29" t="n">
        <f aca="false">R291*X291</f>
        <v>1599.9</v>
      </c>
      <c r="AA291" s="30" t="n">
        <v>46202</v>
      </c>
    </row>
    <row r="292" customFormat="false" ht="15" hidden="false" customHeight="true" outlineLevel="0" collapsed="false">
      <c r="A292" s="4" t="s">
        <v>1347</v>
      </c>
      <c r="B292" s="4" t="s">
        <v>1348</v>
      </c>
      <c r="C292" s="4" t="s">
        <v>261</v>
      </c>
      <c r="D292" s="4" t="s">
        <v>122</v>
      </c>
      <c r="E292" s="4" t="s">
        <v>123</v>
      </c>
      <c r="F292" s="4" t="s">
        <v>262</v>
      </c>
      <c r="G292" s="4" t="s">
        <v>263</v>
      </c>
      <c r="H292" s="4" t="s">
        <v>264</v>
      </c>
      <c r="I292" s="4" t="s">
        <v>226</v>
      </c>
      <c r="J292" s="4" t="s">
        <v>265</v>
      </c>
      <c r="K292" s="4" t="s">
        <v>150</v>
      </c>
      <c r="L292" s="4" t="s">
        <v>266</v>
      </c>
      <c r="M292" s="24" t="s">
        <v>915</v>
      </c>
      <c r="N292" s="4" t="s">
        <v>153</v>
      </c>
      <c r="O292" s="4" t="s">
        <v>165</v>
      </c>
      <c r="P292" s="4" t="s">
        <v>118</v>
      </c>
      <c r="Q292" s="25" t="n">
        <v>84.99</v>
      </c>
      <c r="R292" s="25" t="n">
        <v>84.99</v>
      </c>
      <c r="S292" s="25" t="n">
        <v>46.96</v>
      </c>
      <c r="T292" s="26" t="n">
        <v>3</v>
      </c>
      <c r="U292" s="26" t="n">
        <v>3</v>
      </c>
      <c r="V292" s="26"/>
      <c r="W292" s="26"/>
      <c r="X292" s="27" t="n">
        <f aca="false">SUM(T292:W292)</f>
        <v>6</v>
      </c>
      <c r="Y292" s="28" t="n">
        <f aca="false">COUNT(T292:W292)</f>
        <v>2</v>
      </c>
      <c r="Z292" s="29" t="n">
        <f aca="false">R292*X292</f>
        <v>509.94</v>
      </c>
      <c r="AA292" s="30" t="n">
        <v>46179</v>
      </c>
    </row>
    <row r="293" customFormat="false" ht="15" hidden="false" customHeight="true" outlineLevel="0" collapsed="false">
      <c r="A293" s="4" t="s">
        <v>1349</v>
      </c>
      <c r="B293" s="4" t="s">
        <v>1350</v>
      </c>
      <c r="C293" s="4" t="s">
        <v>250</v>
      </c>
      <c r="D293" s="4" t="s">
        <v>251</v>
      </c>
      <c r="E293" s="4" t="s">
        <v>252</v>
      </c>
      <c r="F293" s="4" t="s">
        <v>253</v>
      </c>
      <c r="G293" s="4" t="s">
        <v>254</v>
      </c>
      <c r="H293" s="4" t="s">
        <v>255</v>
      </c>
      <c r="I293" s="4" t="s">
        <v>161</v>
      </c>
      <c r="J293" s="4" t="s">
        <v>256</v>
      </c>
      <c r="K293" s="4" t="s">
        <v>113</v>
      </c>
      <c r="L293" s="4" t="s">
        <v>257</v>
      </c>
      <c r="M293" s="24" t="s">
        <v>141</v>
      </c>
      <c r="N293" s="4" t="s">
        <v>116</v>
      </c>
      <c r="O293" s="4" t="s">
        <v>165</v>
      </c>
      <c r="P293" s="4" t="s">
        <v>118</v>
      </c>
      <c r="Q293" s="25" t="n">
        <v>119.99</v>
      </c>
      <c r="R293" s="25" t="n">
        <v>119.99</v>
      </c>
      <c r="S293" s="25" t="n">
        <v>66.31</v>
      </c>
      <c r="T293" s="26" t="n">
        <v>5</v>
      </c>
      <c r="U293" s="26" t="n">
        <v>0</v>
      </c>
      <c r="V293" s="26" t="n">
        <v>7</v>
      </c>
      <c r="W293" s="26"/>
      <c r="X293" s="27" t="n">
        <f aca="false">SUM(T293:W293)</f>
        <v>12</v>
      </c>
      <c r="Y293" s="28" t="n">
        <f aca="false">COUNT(T293:W293)</f>
        <v>3</v>
      </c>
      <c r="Z293" s="29" t="n">
        <f aca="false">R293*X293</f>
        <v>1439.88</v>
      </c>
      <c r="AA293" s="30" t="n">
        <v>46201</v>
      </c>
    </row>
    <row r="294" customFormat="false" ht="15" hidden="false" customHeight="true" outlineLevel="0" collapsed="false">
      <c r="A294" s="4" t="s">
        <v>1351</v>
      </c>
      <c r="B294" s="4" t="s">
        <v>1352</v>
      </c>
      <c r="C294" s="4" t="s">
        <v>467</v>
      </c>
      <c r="D294" s="4" t="s">
        <v>135</v>
      </c>
      <c r="E294" s="4" t="s">
        <v>136</v>
      </c>
      <c r="F294" s="4" t="s">
        <v>468</v>
      </c>
      <c r="G294" s="4" t="s">
        <v>469</v>
      </c>
      <c r="H294" s="4" t="s">
        <v>470</v>
      </c>
      <c r="I294" s="4" t="s">
        <v>127</v>
      </c>
      <c r="J294" s="4" t="s">
        <v>347</v>
      </c>
      <c r="K294" s="4" t="s">
        <v>187</v>
      </c>
      <c r="L294" s="4" t="s">
        <v>471</v>
      </c>
      <c r="M294" s="24" t="s">
        <v>338</v>
      </c>
      <c r="N294" s="4" t="s">
        <v>189</v>
      </c>
      <c r="O294" s="4" t="s">
        <v>165</v>
      </c>
      <c r="P294" s="4" t="s">
        <v>118</v>
      </c>
      <c r="Q294" s="25" t="n">
        <v>169.99</v>
      </c>
      <c r="R294" s="25" t="n">
        <v>169.99</v>
      </c>
      <c r="S294" s="25" t="n">
        <v>94.08</v>
      </c>
      <c r="T294" s="26" t="n">
        <v>1</v>
      </c>
      <c r="U294" s="26" t="n">
        <v>3</v>
      </c>
      <c r="V294" s="26" t="n">
        <v>5</v>
      </c>
      <c r="W294" s="26" t="n">
        <v>2</v>
      </c>
      <c r="X294" s="27" t="n">
        <f aca="false">SUM(T294:W294)</f>
        <v>11</v>
      </c>
      <c r="Y294" s="28" t="n">
        <f aca="false">COUNT(T294:W294)</f>
        <v>4</v>
      </c>
      <c r="Z294" s="29" t="n">
        <f aca="false">R294*X294</f>
        <v>1869.89</v>
      </c>
      <c r="AA294" s="30" t="n">
        <v>46161</v>
      </c>
    </row>
    <row r="295" customFormat="false" ht="15" hidden="false" customHeight="true" outlineLevel="0" collapsed="false">
      <c r="A295" s="4" t="s">
        <v>1353</v>
      </c>
      <c r="B295" s="4" t="s">
        <v>1354</v>
      </c>
      <c r="C295" s="4" t="s">
        <v>404</v>
      </c>
      <c r="D295" s="4" t="s">
        <v>169</v>
      </c>
      <c r="E295" s="4" t="s">
        <v>170</v>
      </c>
      <c r="F295" s="4" t="s">
        <v>405</v>
      </c>
      <c r="G295" s="4" t="s">
        <v>406</v>
      </c>
      <c r="H295" s="4" t="s">
        <v>407</v>
      </c>
      <c r="I295" s="4" t="s">
        <v>127</v>
      </c>
      <c r="J295" s="4" t="s">
        <v>280</v>
      </c>
      <c r="K295" s="4" t="s">
        <v>113</v>
      </c>
      <c r="L295" s="4" t="s">
        <v>140</v>
      </c>
      <c r="M295" s="24" t="s">
        <v>164</v>
      </c>
      <c r="N295" s="4" t="s">
        <v>116</v>
      </c>
      <c r="O295" s="4" t="s">
        <v>131</v>
      </c>
      <c r="P295" s="4" t="s">
        <v>118</v>
      </c>
      <c r="Q295" s="25" t="n">
        <v>144.99</v>
      </c>
      <c r="R295" s="25" t="n">
        <v>144.99</v>
      </c>
      <c r="S295" s="25" t="n">
        <v>76.41</v>
      </c>
      <c r="T295" s="26" t="n">
        <v>0</v>
      </c>
      <c r="U295" s="26"/>
      <c r="V295" s="26" t="n">
        <v>0</v>
      </c>
      <c r="W295" s="26"/>
      <c r="X295" s="27" t="n">
        <f aca="false">SUM(T295:W295)</f>
        <v>0</v>
      </c>
      <c r="Y295" s="28" t="n">
        <f aca="false">COUNT(T295:W295)</f>
        <v>2</v>
      </c>
      <c r="Z295" s="29" t="n">
        <f aca="false">R295*X295</f>
        <v>0</v>
      </c>
      <c r="AA295" s="30" t="n">
        <v>46060</v>
      </c>
    </row>
    <row r="296" customFormat="false" ht="15" hidden="false" customHeight="true" outlineLevel="0" collapsed="false">
      <c r="A296" s="4" t="s">
        <v>1355</v>
      </c>
      <c r="B296" s="4" t="s">
        <v>1356</v>
      </c>
      <c r="C296" s="4" t="s">
        <v>684</v>
      </c>
      <c r="D296" s="4" t="s">
        <v>251</v>
      </c>
      <c r="E296" s="4" t="s">
        <v>252</v>
      </c>
      <c r="F296" s="4" t="s">
        <v>685</v>
      </c>
      <c r="G296" s="4" t="s">
        <v>686</v>
      </c>
      <c r="H296" s="4" t="s">
        <v>687</v>
      </c>
      <c r="I296" s="4" t="s">
        <v>161</v>
      </c>
      <c r="J296" s="4" t="s">
        <v>235</v>
      </c>
      <c r="K296" s="4" t="s">
        <v>113</v>
      </c>
      <c r="L296" s="4" t="s">
        <v>348</v>
      </c>
      <c r="M296" s="24" t="s">
        <v>327</v>
      </c>
      <c r="N296" s="4" t="s">
        <v>116</v>
      </c>
      <c r="O296" s="4" t="s">
        <v>117</v>
      </c>
      <c r="P296" s="4" t="s">
        <v>118</v>
      </c>
      <c r="Q296" s="25" t="n">
        <v>79.99</v>
      </c>
      <c r="R296" s="25" t="n">
        <v>79.99</v>
      </c>
      <c r="S296" s="25" t="n">
        <v>44.53</v>
      </c>
      <c r="T296" s="26" t="n">
        <v>2</v>
      </c>
      <c r="U296" s="26" t="n">
        <v>3</v>
      </c>
      <c r="V296" s="26" t="n">
        <v>2</v>
      </c>
      <c r="W296" s="26" t="n">
        <v>3</v>
      </c>
      <c r="X296" s="27" t="n">
        <f aca="false">SUM(T296:W296)</f>
        <v>10</v>
      </c>
      <c r="Y296" s="28" t="n">
        <f aca="false">COUNT(T296:W296)</f>
        <v>4</v>
      </c>
      <c r="Z296" s="29" t="n">
        <f aca="false">R296*X296</f>
        <v>799.9</v>
      </c>
      <c r="AA296" s="30" t="n">
        <v>46040</v>
      </c>
    </row>
    <row r="297" customFormat="false" ht="15" hidden="false" customHeight="true" outlineLevel="0" collapsed="false">
      <c r="A297" s="4" t="s">
        <v>1357</v>
      </c>
      <c r="B297" s="4" t="s">
        <v>1358</v>
      </c>
      <c r="C297" s="4" t="s">
        <v>780</v>
      </c>
      <c r="D297" s="4" t="s">
        <v>342</v>
      </c>
      <c r="E297" s="4" t="s">
        <v>343</v>
      </c>
      <c r="F297" s="4" t="s">
        <v>344</v>
      </c>
      <c r="G297" s="4" t="s">
        <v>781</v>
      </c>
      <c r="H297" s="4" t="s">
        <v>782</v>
      </c>
      <c r="I297" s="4" t="s">
        <v>127</v>
      </c>
      <c r="J297" s="4" t="s">
        <v>347</v>
      </c>
      <c r="K297" s="4" t="s">
        <v>187</v>
      </c>
      <c r="L297" s="4" t="s">
        <v>783</v>
      </c>
      <c r="M297" s="24" t="s">
        <v>164</v>
      </c>
      <c r="N297" s="4" t="s">
        <v>189</v>
      </c>
      <c r="O297" s="4" t="s">
        <v>165</v>
      </c>
      <c r="P297" s="4" t="s">
        <v>118</v>
      </c>
      <c r="Q297" s="25" t="n">
        <v>154.99</v>
      </c>
      <c r="R297" s="25" t="n">
        <v>154.99</v>
      </c>
      <c r="S297" s="25" t="n">
        <v>74.81</v>
      </c>
      <c r="T297" s="26" t="n">
        <v>6</v>
      </c>
      <c r="U297" s="26" t="n">
        <v>2</v>
      </c>
      <c r="V297" s="26" t="n">
        <v>3</v>
      </c>
      <c r="W297" s="26" t="n">
        <v>0</v>
      </c>
      <c r="X297" s="27" t="n">
        <f aca="false">SUM(T297:W297)</f>
        <v>11</v>
      </c>
      <c r="Y297" s="28" t="n">
        <f aca="false">COUNT(T297:W297)</f>
        <v>4</v>
      </c>
      <c r="Z297" s="29" t="n">
        <f aca="false">R297*X297</f>
        <v>1704.89</v>
      </c>
      <c r="AA297" s="30" t="n">
        <v>46089</v>
      </c>
    </row>
    <row r="298" customFormat="false" ht="15" hidden="false" customHeight="true" outlineLevel="0" collapsed="false">
      <c r="A298" s="4" t="s">
        <v>1359</v>
      </c>
      <c r="B298" s="4" t="s">
        <v>1360</v>
      </c>
      <c r="C298" s="4" t="s">
        <v>460</v>
      </c>
      <c r="D298" s="4" t="s">
        <v>181</v>
      </c>
      <c r="E298" s="4" t="s">
        <v>182</v>
      </c>
      <c r="F298" s="4" t="s">
        <v>461</v>
      </c>
      <c r="G298" s="4" t="s">
        <v>462</v>
      </c>
      <c r="H298" s="4" t="s">
        <v>463</v>
      </c>
      <c r="I298" s="4" t="s">
        <v>161</v>
      </c>
      <c r="J298" s="4" t="s">
        <v>186</v>
      </c>
      <c r="K298" s="4" t="s">
        <v>209</v>
      </c>
      <c r="L298" s="4" t="s">
        <v>464</v>
      </c>
      <c r="M298" s="24" t="s">
        <v>538</v>
      </c>
      <c r="N298" s="4" t="s">
        <v>153</v>
      </c>
      <c r="O298" s="4" t="s">
        <v>131</v>
      </c>
      <c r="P298" s="4" t="s">
        <v>118</v>
      </c>
      <c r="Q298" s="25" t="n">
        <v>84.99</v>
      </c>
      <c r="R298" s="25" t="n">
        <v>84.99</v>
      </c>
      <c r="S298" s="25" t="n">
        <v>42.89</v>
      </c>
      <c r="T298" s="26" t="n">
        <v>2</v>
      </c>
      <c r="U298" s="26"/>
      <c r="V298" s="26" t="n">
        <v>0</v>
      </c>
      <c r="W298" s="26" t="n">
        <v>6</v>
      </c>
      <c r="X298" s="27" t="n">
        <f aca="false">SUM(T298:W298)</f>
        <v>8</v>
      </c>
      <c r="Y298" s="28" t="n">
        <f aca="false">COUNT(T298:W298)</f>
        <v>3</v>
      </c>
      <c r="Z298" s="29" t="n">
        <f aca="false">R298*X298</f>
        <v>679.92</v>
      </c>
      <c r="AA298" s="30" t="n">
        <v>46218</v>
      </c>
    </row>
    <row r="299" customFormat="false" ht="15" hidden="false" customHeight="true" outlineLevel="0" collapsed="false">
      <c r="A299" s="4" t="s">
        <v>1361</v>
      </c>
      <c r="B299" s="4" t="s">
        <v>1362</v>
      </c>
      <c r="C299" s="4" t="s">
        <v>744</v>
      </c>
      <c r="D299" s="4" t="s">
        <v>106</v>
      </c>
      <c r="E299" s="4" t="s">
        <v>157</v>
      </c>
      <c r="F299" s="4" t="s">
        <v>745</v>
      </c>
      <c r="G299" s="4" t="s">
        <v>746</v>
      </c>
      <c r="H299" s="4" t="s">
        <v>747</v>
      </c>
      <c r="I299" s="4" t="s">
        <v>161</v>
      </c>
      <c r="J299" s="4" t="s">
        <v>235</v>
      </c>
      <c r="K299" s="4" t="s">
        <v>150</v>
      </c>
      <c r="L299" s="4" t="s">
        <v>748</v>
      </c>
      <c r="M299" s="24" t="s">
        <v>152</v>
      </c>
      <c r="N299" s="4" t="s">
        <v>153</v>
      </c>
      <c r="O299" s="4" t="s">
        <v>117</v>
      </c>
      <c r="P299" s="4" t="s">
        <v>118</v>
      </c>
      <c r="Q299" s="25" t="n">
        <v>74.99</v>
      </c>
      <c r="R299" s="25" t="n">
        <v>74.99</v>
      </c>
      <c r="S299" s="25" t="n">
        <v>39.21</v>
      </c>
      <c r="T299" s="26" t="n">
        <v>3</v>
      </c>
      <c r="U299" s="26" t="n">
        <v>4</v>
      </c>
      <c r="V299" s="26" t="n">
        <v>4</v>
      </c>
      <c r="W299" s="26" t="n">
        <v>1</v>
      </c>
      <c r="X299" s="27" t="n">
        <f aca="false">SUM(T299:W299)</f>
        <v>12</v>
      </c>
      <c r="Y299" s="28" t="n">
        <f aca="false">COUNT(T299:W299)</f>
        <v>4</v>
      </c>
      <c r="Z299" s="29" t="n">
        <f aca="false">R299*X299</f>
        <v>899.88</v>
      </c>
      <c r="AA299" s="30" t="n">
        <v>46037</v>
      </c>
    </row>
    <row r="300" customFormat="false" ht="15" hidden="false" customHeight="true" outlineLevel="0" collapsed="false">
      <c r="A300" s="4" t="s">
        <v>1363</v>
      </c>
      <c r="B300" s="4" t="s">
        <v>1364</v>
      </c>
      <c r="C300" s="4" t="s">
        <v>758</v>
      </c>
      <c r="D300" s="4" t="s">
        <v>251</v>
      </c>
      <c r="E300" s="4" t="s">
        <v>252</v>
      </c>
      <c r="F300" s="4" t="s">
        <v>759</v>
      </c>
      <c r="G300" s="4" t="s">
        <v>760</v>
      </c>
      <c r="H300" s="4" t="s">
        <v>761</v>
      </c>
      <c r="I300" s="4" t="s">
        <v>161</v>
      </c>
      <c r="J300" s="4" t="s">
        <v>762</v>
      </c>
      <c r="K300" s="4" t="s">
        <v>187</v>
      </c>
      <c r="L300" s="4" t="s">
        <v>348</v>
      </c>
      <c r="M300" s="24" t="s">
        <v>356</v>
      </c>
      <c r="N300" s="4" t="s">
        <v>189</v>
      </c>
      <c r="O300" s="4" t="s">
        <v>131</v>
      </c>
      <c r="P300" s="4" t="s">
        <v>118</v>
      </c>
      <c r="Q300" s="25" t="n">
        <v>99.99</v>
      </c>
      <c r="R300" s="25" t="n">
        <v>99.99</v>
      </c>
      <c r="S300" s="25" t="n">
        <v>53.97</v>
      </c>
      <c r="T300" s="26" t="n">
        <v>0</v>
      </c>
      <c r="U300" s="26"/>
      <c r="V300" s="26" t="n">
        <v>4</v>
      </c>
      <c r="W300" s="26"/>
      <c r="X300" s="27" t="n">
        <f aca="false">SUM(T300:W300)</f>
        <v>4</v>
      </c>
      <c r="Y300" s="28" t="n">
        <f aca="false">COUNT(T300:W300)</f>
        <v>2</v>
      </c>
      <c r="Z300" s="29" t="n">
        <f aca="false">R300*X300</f>
        <v>399.96</v>
      </c>
      <c r="AA300" s="30" t="n">
        <v>46163</v>
      </c>
    </row>
    <row r="301" customFormat="false" ht="15" hidden="false" customHeight="true" outlineLevel="0" collapsed="false">
      <c r="A301" s="4" t="s">
        <v>1365</v>
      </c>
      <c r="B301" s="4" t="s">
        <v>1366</v>
      </c>
      <c r="C301" s="4" t="s">
        <v>1367</v>
      </c>
      <c r="D301" s="4" t="s">
        <v>251</v>
      </c>
      <c r="E301" s="4" t="s">
        <v>252</v>
      </c>
      <c r="F301" s="4" t="s">
        <v>1368</v>
      </c>
      <c r="G301" s="4" t="s">
        <v>1369</v>
      </c>
      <c r="H301" s="4" t="s">
        <v>1370</v>
      </c>
      <c r="I301" s="4" t="s">
        <v>226</v>
      </c>
      <c r="J301" s="4" t="s">
        <v>265</v>
      </c>
      <c r="K301" s="4" t="s">
        <v>113</v>
      </c>
      <c r="L301" s="4" t="s">
        <v>1371</v>
      </c>
      <c r="M301" s="24" t="s">
        <v>130</v>
      </c>
      <c r="N301" s="4" t="s">
        <v>116</v>
      </c>
      <c r="O301" s="4" t="s">
        <v>165</v>
      </c>
      <c r="P301" s="4" t="s">
        <v>118</v>
      </c>
      <c r="Q301" s="25" t="n">
        <v>129.99</v>
      </c>
      <c r="R301" s="25" t="n">
        <v>129.99</v>
      </c>
      <c r="S301" s="25" t="n">
        <v>63.86</v>
      </c>
      <c r="T301" s="26" t="n">
        <v>2</v>
      </c>
      <c r="U301" s="26" t="n">
        <v>2</v>
      </c>
      <c r="V301" s="26" t="n">
        <v>3</v>
      </c>
      <c r="W301" s="26" t="n">
        <v>0</v>
      </c>
      <c r="X301" s="27" t="n">
        <f aca="false">SUM(T301:W301)</f>
        <v>7</v>
      </c>
      <c r="Y301" s="28" t="n">
        <f aca="false">COUNT(T301:W301)</f>
        <v>4</v>
      </c>
      <c r="Z301" s="29" t="n">
        <f aca="false">R301*X301</f>
        <v>909.93</v>
      </c>
      <c r="AA301" s="30" t="n">
        <v>46066</v>
      </c>
    </row>
    <row r="302" customFormat="false" ht="15" hidden="false" customHeight="true" outlineLevel="0" collapsed="false">
      <c r="A302" s="4" t="s">
        <v>1372</v>
      </c>
      <c r="B302" s="4" t="s">
        <v>1373</v>
      </c>
      <c r="C302" s="4" t="s">
        <v>1320</v>
      </c>
      <c r="D302" s="4" t="s">
        <v>106</v>
      </c>
      <c r="E302" s="4" t="s">
        <v>157</v>
      </c>
      <c r="F302" s="4" t="s">
        <v>495</v>
      </c>
      <c r="G302" s="4" t="s">
        <v>1321</v>
      </c>
      <c r="H302" s="4" t="s">
        <v>1322</v>
      </c>
      <c r="I302" s="4" t="s">
        <v>161</v>
      </c>
      <c r="J302" s="4" t="s">
        <v>162</v>
      </c>
      <c r="K302" s="4" t="s">
        <v>187</v>
      </c>
      <c r="L302" s="4" t="s">
        <v>1323</v>
      </c>
      <c r="M302" s="24" t="s">
        <v>538</v>
      </c>
      <c r="N302" s="4" t="s">
        <v>189</v>
      </c>
      <c r="O302" s="4" t="s">
        <v>165</v>
      </c>
      <c r="P302" s="4" t="s">
        <v>118</v>
      </c>
      <c r="Q302" s="25" t="n">
        <v>109.99</v>
      </c>
      <c r="R302" s="25" t="n">
        <v>109.99</v>
      </c>
      <c r="S302" s="25" t="n">
        <v>55.13</v>
      </c>
      <c r="T302" s="26" t="n">
        <v>3</v>
      </c>
      <c r="U302" s="26"/>
      <c r="V302" s="26" t="n">
        <v>2</v>
      </c>
      <c r="W302" s="26"/>
      <c r="X302" s="27" t="n">
        <f aca="false">SUM(T302:W302)</f>
        <v>5</v>
      </c>
      <c r="Y302" s="28" t="n">
        <f aca="false">COUNT(T302:W302)</f>
        <v>2</v>
      </c>
      <c r="Z302" s="29" t="n">
        <f aca="false">R302*X302</f>
        <v>549.95</v>
      </c>
      <c r="AA302" s="30" t="n">
        <v>46129</v>
      </c>
    </row>
    <row r="303" customFormat="false" ht="15" hidden="false" customHeight="true" outlineLevel="0" collapsed="false">
      <c r="A303" s="4" t="s">
        <v>1374</v>
      </c>
      <c r="B303" s="4" t="s">
        <v>1375</v>
      </c>
      <c r="C303" s="4" t="s">
        <v>1094</v>
      </c>
      <c r="D303" s="4" t="s">
        <v>122</v>
      </c>
      <c r="E303" s="4" t="s">
        <v>285</v>
      </c>
      <c r="F303" s="4" t="s">
        <v>1095</v>
      </c>
      <c r="G303" s="4" t="s">
        <v>1096</v>
      </c>
      <c r="H303" s="4" t="s">
        <v>1097</v>
      </c>
      <c r="I303" s="4" t="s">
        <v>161</v>
      </c>
      <c r="J303" s="4" t="s">
        <v>235</v>
      </c>
      <c r="K303" s="4" t="s">
        <v>113</v>
      </c>
      <c r="L303" s="4" t="s">
        <v>1098</v>
      </c>
      <c r="M303" s="24" t="s">
        <v>258</v>
      </c>
      <c r="N303" s="4" t="s">
        <v>116</v>
      </c>
      <c r="O303" s="4" t="s">
        <v>165</v>
      </c>
      <c r="P303" s="4" t="s">
        <v>118</v>
      </c>
      <c r="Q303" s="25" t="n">
        <v>99.99</v>
      </c>
      <c r="R303" s="25" t="n">
        <v>99.99</v>
      </c>
      <c r="S303" s="25" t="n">
        <v>55.24</v>
      </c>
      <c r="T303" s="26" t="n">
        <v>4</v>
      </c>
      <c r="U303" s="26" t="n">
        <v>3</v>
      </c>
      <c r="V303" s="26" t="n">
        <v>3</v>
      </c>
      <c r="W303" s="26" t="n">
        <v>3</v>
      </c>
      <c r="X303" s="27" t="n">
        <f aca="false">SUM(T303:W303)</f>
        <v>13</v>
      </c>
      <c r="Y303" s="28" t="n">
        <f aca="false">COUNT(T303:W303)</f>
        <v>4</v>
      </c>
      <c r="Z303" s="29" t="n">
        <f aca="false">R303*X303</f>
        <v>1299.87</v>
      </c>
      <c r="AA303" s="30" t="n">
        <v>46087</v>
      </c>
    </row>
    <row r="304" customFormat="false" ht="15" hidden="false" customHeight="true" outlineLevel="0" collapsed="false">
      <c r="A304" s="4" t="s">
        <v>1376</v>
      </c>
      <c r="B304" s="4" t="s">
        <v>1377</v>
      </c>
      <c r="C304" s="4" t="s">
        <v>1235</v>
      </c>
      <c r="D304" s="4" t="s">
        <v>122</v>
      </c>
      <c r="E304" s="4" t="s">
        <v>123</v>
      </c>
      <c r="F304" s="4" t="s">
        <v>1236</v>
      </c>
      <c r="G304" s="4" t="s">
        <v>1237</v>
      </c>
      <c r="H304" s="4" t="s">
        <v>1238</v>
      </c>
      <c r="I304" s="4" t="s">
        <v>161</v>
      </c>
      <c r="J304" s="4" t="s">
        <v>235</v>
      </c>
      <c r="K304" s="4" t="s">
        <v>113</v>
      </c>
      <c r="L304" s="4" t="s">
        <v>273</v>
      </c>
      <c r="M304" s="24" t="s">
        <v>211</v>
      </c>
      <c r="N304" s="4" t="s">
        <v>116</v>
      </c>
      <c r="O304" s="4" t="s">
        <v>165</v>
      </c>
      <c r="P304" s="4" t="s">
        <v>118</v>
      </c>
      <c r="Q304" s="25" t="n">
        <v>124.99</v>
      </c>
      <c r="R304" s="25" t="n">
        <v>124.99</v>
      </c>
      <c r="S304" s="25" t="n">
        <v>64.34</v>
      </c>
      <c r="T304" s="26" t="n">
        <v>4</v>
      </c>
      <c r="U304" s="26" t="n">
        <v>0</v>
      </c>
      <c r="V304" s="26" t="n">
        <v>3</v>
      </c>
      <c r="W304" s="26" t="n">
        <v>3</v>
      </c>
      <c r="X304" s="27" t="n">
        <f aca="false">SUM(T304:W304)</f>
        <v>10</v>
      </c>
      <c r="Y304" s="28" t="n">
        <f aca="false">COUNT(T304:W304)</f>
        <v>4</v>
      </c>
      <c r="Z304" s="29" t="n">
        <f aca="false">R304*X304</f>
        <v>1249.9</v>
      </c>
      <c r="AA304" s="30" t="n">
        <v>46105</v>
      </c>
    </row>
    <row r="305" customFormat="false" ht="15" hidden="false" customHeight="true" outlineLevel="0" collapsed="false">
      <c r="A305" s="4" t="s">
        <v>1378</v>
      </c>
      <c r="B305" s="4" t="s">
        <v>1379</v>
      </c>
      <c r="C305" s="4" t="s">
        <v>168</v>
      </c>
      <c r="D305" s="4" t="s">
        <v>169</v>
      </c>
      <c r="E305" s="4" t="s">
        <v>170</v>
      </c>
      <c r="F305" s="4" t="s">
        <v>171</v>
      </c>
      <c r="G305" s="4" t="s">
        <v>172</v>
      </c>
      <c r="H305" s="4" t="s">
        <v>173</v>
      </c>
      <c r="I305" s="4" t="s">
        <v>174</v>
      </c>
      <c r="J305" s="4" t="s">
        <v>175</v>
      </c>
      <c r="K305" s="4" t="s">
        <v>113</v>
      </c>
      <c r="L305" s="4" t="s">
        <v>176</v>
      </c>
      <c r="M305" s="24" t="s">
        <v>164</v>
      </c>
      <c r="N305" s="4" t="s">
        <v>116</v>
      </c>
      <c r="O305" s="4" t="s">
        <v>165</v>
      </c>
      <c r="P305" s="4" t="s">
        <v>118</v>
      </c>
      <c r="Q305" s="25" t="n">
        <v>89.99</v>
      </c>
      <c r="R305" s="25" t="n">
        <v>89.99</v>
      </c>
      <c r="S305" s="25" t="n">
        <v>44.22</v>
      </c>
      <c r="T305" s="26" t="n">
        <v>4</v>
      </c>
      <c r="U305" s="26" t="n">
        <v>0</v>
      </c>
      <c r="V305" s="26" t="n">
        <v>6</v>
      </c>
      <c r="W305" s="26"/>
      <c r="X305" s="27" t="n">
        <f aca="false">SUM(T305:W305)</f>
        <v>10</v>
      </c>
      <c r="Y305" s="28" t="n">
        <f aca="false">COUNT(T305:W305)</f>
        <v>3</v>
      </c>
      <c r="Z305" s="29" t="n">
        <f aca="false">R305*X305</f>
        <v>899.9</v>
      </c>
      <c r="AA305" s="30" t="n">
        <v>46176</v>
      </c>
    </row>
    <row r="306" customFormat="false" ht="15" hidden="false" customHeight="true" outlineLevel="0" collapsed="false">
      <c r="A306" s="4" t="s">
        <v>1380</v>
      </c>
      <c r="B306" s="4" t="s">
        <v>1381</v>
      </c>
      <c r="C306" s="4" t="s">
        <v>373</v>
      </c>
      <c r="D306" s="4" t="s">
        <v>374</v>
      </c>
      <c r="E306" s="4" t="s">
        <v>375</v>
      </c>
      <c r="F306" s="4" t="s">
        <v>376</v>
      </c>
      <c r="G306" s="4" t="s">
        <v>377</v>
      </c>
      <c r="H306" s="4" t="s">
        <v>378</v>
      </c>
      <c r="I306" s="4" t="s">
        <v>161</v>
      </c>
      <c r="J306" s="4" t="s">
        <v>235</v>
      </c>
      <c r="K306" s="4" t="s">
        <v>113</v>
      </c>
      <c r="L306" s="4" t="s">
        <v>379</v>
      </c>
      <c r="M306" s="24" t="s">
        <v>164</v>
      </c>
      <c r="N306" s="4" t="s">
        <v>116</v>
      </c>
      <c r="O306" s="4" t="s">
        <v>380</v>
      </c>
      <c r="P306" s="4" t="s">
        <v>239</v>
      </c>
      <c r="Q306" s="25" t="n">
        <v>89.99</v>
      </c>
      <c r="R306" s="25" t="n">
        <v>62.99</v>
      </c>
      <c r="S306" s="25" t="n">
        <v>49.53</v>
      </c>
      <c r="T306" s="26" t="n">
        <v>1</v>
      </c>
      <c r="U306" s="26" t="n">
        <v>2</v>
      </c>
      <c r="V306" s="26" t="n">
        <v>3</v>
      </c>
      <c r="W306" s="26" t="n">
        <v>0</v>
      </c>
      <c r="X306" s="27" t="n">
        <f aca="false">SUM(T306:W306)</f>
        <v>6</v>
      </c>
      <c r="Y306" s="28" t="n">
        <f aca="false">COUNT(T306:W306)</f>
        <v>4</v>
      </c>
      <c r="Z306" s="29" t="n">
        <f aca="false">R306*X306</f>
        <v>377.94</v>
      </c>
      <c r="AA306" s="30" t="n">
        <v>46155</v>
      </c>
    </row>
    <row r="307" customFormat="false" ht="15" hidden="false" customHeight="true" outlineLevel="0" collapsed="false">
      <c r="A307" s="4" t="s">
        <v>1382</v>
      </c>
      <c r="B307" s="4" t="s">
        <v>1383</v>
      </c>
      <c r="C307" s="4" t="s">
        <v>214</v>
      </c>
      <c r="D307" s="4" t="s">
        <v>122</v>
      </c>
      <c r="E307" s="4" t="s">
        <v>123</v>
      </c>
      <c r="F307" s="4" t="s">
        <v>215</v>
      </c>
      <c r="G307" s="4" t="s">
        <v>216</v>
      </c>
      <c r="H307" s="4" t="s">
        <v>217</v>
      </c>
      <c r="I307" s="4" t="s">
        <v>161</v>
      </c>
      <c r="J307" s="4" t="s">
        <v>218</v>
      </c>
      <c r="K307" s="4" t="s">
        <v>113</v>
      </c>
      <c r="L307" s="4" t="s">
        <v>219</v>
      </c>
      <c r="M307" s="24" t="s">
        <v>130</v>
      </c>
      <c r="N307" s="4" t="s">
        <v>116</v>
      </c>
      <c r="O307" s="4" t="s">
        <v>165</v>
      </c>
      <c r="P307" s="4" t="s">
        <v>118</v>
      </c>
      <c r="Q307" s="25" t="n">
        <v>169.99</v>
      </c>
      <c r="R307" s="25" t="n">
        <v>169.99</v>
      </c>
      <c r="S307" s="25" t="n">
        <v>82.49</v>
      </c>
      <c r="T307" s="26"/>
      <c r="U307" s="26"/>
      <c r="V307" s="26" t="n">
        <v>4</v>
      </c>
      <c r="W307" s="26"/>
      <c r="X307" s="27" t="n">
        <f aca="false">SUM(T307:W307)</f>
        <v>4</v>
      </c>
      <c r="Y307" s="28" t="n">
        <f aca="false">COUNT(T307:W307)</f>
        <v>1</v>
      </c>
      <c r="Z307" s="29" t="n">
        <f aca="false">R307*X307</f>
        <v>679.96</v>
      </c>
      <c r="AA307" s="30" t="n">
        <v>46035</v>
      </c>
    </row>
    <row r="308" customFormat="false" ht="15" hidden="false" customHeight="true" outlineLevel="0" collapsed="false">
      <c r="A308" s="4" t="s">
        <v>1384</v>
      </c>
      <c r="B308" s="4" t="s">
        <v>1385</v>
      </c>
      <c r="C308" s="4" t="s">
        <v>1291</v>
      </c>
      <c r="D308" s="4" t="s">
        <v>145</v>
      </c>
      <c r="E308" s="4" t="s">
        <v>146</v>
      </c>
      <c r="F308" s="4" t="s">
        <v>1292</v>
      </c>
      <c r="G308" s="4" t="s">
        <v>1293</v>
      </c>
      <c r="H308" s="4" t="s">
        <v>1294</v>
      </c>
      <c r="I308" s="4" t="s">
        <v>771</v>
      </c>
      <c r="J308" s="4" t="s">
        <v>772</v>
      </c>
      <c r="K308" s="4" t="s">
        <v>113</v>
      </c>
      <c r="L308" s="4" t="s">
        <v>1295</v>
      </c>
      <c r="M308" s="24" t="s">
        <v>258</v>
      </c>
      <c r="N308" s="4" t="s">
        <v>116</v>
      </c>
      <c r="O308" s="4" t="s">
        <v>238</v>
      </c>
      <c r="P308" s="4" t="s">
        <v>118</v>
      </c>
      <c r="Q308" s="25" t="n">
        <v>139.99</v>
      </c>
      <c r="R308" s="25" t="n">
        <v>139.99</v>
      </c>
      <c r="S308" s="25" t="n">
        <v>70.17</v>
      </c>
      <c r="T308" s="26" t="n">
        <v>4</v>
      </c>
      <c r="U308" s="26" t="n">
        <v>6</v>
      </c>
      <c r="V308" s="26" t="n">
        <v>4</v>
      </c>
      <c r="W308" s="26" t="n">
        <v>2</v>
      </c>
      <c r="X308" s="27" t="n">
        <f aca="false">SUM(T308:W308)</f>
        <v>16</v>
      </c>
      <c r="Y308" s="28" t="n">
        <f aca="false">COUNT(T308:W308)</f>
        <v>4</v>
      </c>
      <c r="Z308" s="29" t="n">
        <f aca="false">R308*X308</f>
        <v>2239.84</v>
      </c>
      <c r="AA308" s="30" t="n">
        <v>46182</v>
      </c>
    </row>
    <row r="309" customFormat="false" ht="15" hidden="false" customHeight="true" outlineLevel="0" collapsed="false">
      <c r="A309" s="4" t="s">
        <v>1386</v>
      </c>
      <c r="B309" s="4" t="s">
        <v>1387</v>
      </c>
      <c r="C309" s="4" t="s">
        <v>1176</v>
      </c>
      <c r="D309" s="4" t="s">
        <v>583</v>
      </c>
      <c r="E309" s="4" t="s">
        <v>584</v>
      </c>
      <c r="F309" s="4" t="s">
        <v>1177</v>
      </c>
      <c r="G309" s="4" t="s">
        <v>1178</v>
      </c>
      <c r="H309" s="4" t="s">
        <v>1179</v>
      </c>
      <c r="I309" s="4" t="s">
        <v>161</v>
      </c>
      <c r="J309" s="4" t="s">
        <v>246</v>
      </c>
      <c r="K309" s="4" t="s">
        <v>209</v>
      </c>
      <c r="L309" s="4" t="s">
        <v>1180</v>
      </c>
      <c r="M309" s="24" t="s">
        <v>338</v>
      </c>
      <c r="N309" s="4" t="s">
        <v>153</v>
      </c>
      <c r="O309" s="4" t="s">
        <v>131</v>
      </c>
      <c r="P309" s="4" t="s">
        <v>118</v>
      </c>
      <c r="Q309" s="25" t="n">
        <v>149.99</v>
      </c>
      <c r="R309" s="25" t="n">
        <v>149.99</v>
      </c>
      <c r="S309" s="25" t="n">
        <v>80.52</v>
      </c>
      <c r="T309" s="26" t="n">
        <v>3</v>
      </c>
      <c r="U309" s="26" t="n">
        <v>3</v>
      </c>
      <c r="V309" s="26" t="n">
        <v>2</v>
      </c>
      <c r="W309" s="26" t="n">
        <v>5</v>
      </c>
      <c r="X309" s="27" t="n">
        <f aca="false">SUM(T309:W309)</f>
        <v>13</v>
      </c>
      <c r="Y309" s="28" t="n">
        <f aca="false">COUNT(T309:W309)</f>
        <v>4</v>
      </c>
      <c r="Z309" s="29" t="n">
        <f aca="false">R309*X309</f>
        <v>1949.87</v>
      </c>
      <c r="AA309" s="30" t="n">
        <v>46065</v>
      </c>
    </row>
    <row r="310" customFormat="false" ht="15" hidden="false" customHeight="true" outlineLevel="0" collapsed="false">
      <c r="A310" s="4" t="s">
        <v>1388</v>
      </c>
      <c r="B310" s="4" t="s">
        <v>1389</v>
      </c>
      <c r="C310" s="4" t="s">
        <v>1087</v>
      </c>
      <c r="D310" s="4" t="s">
        <v>135</v>
      </c>
      <c r="E310" s="4" t="s">
        <v>136</v>
      </c>
      <c r="F310" s="4" t="s">
        <v>1088</v>
      </c>
      <c r="G310" s="4" t="s">
        <v>1089</v>
      </c>
      <c r="H310" s="4" t="s">
        <v>1090</v>
      </c>
      <c r="I310" s="4" t="s">
        <v>161</v>
      </c>
      <c r="J310" s="4" t="s">
        <v>246</v>
      </c>
      <c r="K310" s="4" t="s">
        <v>113</v>
      </c>
      <c r="L310" s="4" t="s">
        <v>1091</v>
      </c>
      <c r="M310" s="24" t="s">
        <v>327</v>
      </c>
      <c r="N310" s="4" t="s">
        <v>116</v>
      </c>
      <c r="O310" s="4" t="s">
        <v>238</v>
      </c>
      <c r="P310" s="4" t="s">
        <v>239</v>
      </c>
      <c r="Q310" s="25" t="n">
        <v>149.99</v>
      </c>
      <c r="R310" s="25" t="n">
        <v>111.99</v>
      </c>
      <c r="S310" s="25" t="n">
        <v>79.73</v>
      </c>
      <c r="T310" s="26" t="n">
        <v>0</v>
      </c>
      <c r="U310" s="26" t="n">
        <v>3</v>
      </c>
      <c r="V310" s="26" t="n">
        <v>6</v>
      </c>
      <c r="W310" s="26" t="n">
        <v>0</v>
      </c>
      <c r="X310" s="27" t="n">
        <f aca="false">SUM(T310:W310)</f>
        <v>9</v>
      </c>
      <c r="Y310" s="28" t="n">
        <f aca="false">COUNT(T310:W310)</f>
        <v>4</v>
      </c>
      <c r="Z310" s="29" t="n">
        <f aca="false">R310*X310</f>
        <v>1007.91</v>
      </c>
      <c r="AA310" s="30" t="n">
        <v>46057</v>
      </c>
    </row>
    <row r="311" customFormat="false" ht="15" hidden="false" customHeight="true" outlineLevel="0" collapsed="false">
      <c r="A311" s="4" t="s">
        <v>1390</v>
      </c>
      <c r="B311" s="4" t="s">
        <v>1391</v>
      </c>
      <c r="C311" s="4" t="s">
        <v>294</v>
      </c>
      <c r="D311" s="4" t="s">
        <v>251</v>
      </c>
      <c r="E311" s="4" t="s">
        <v>252</v>
      </c>
      <c r="F311" s="4" t="s">
        <v>295</v>
      </c>
      <c r="G311" s="4" t="s">
        <v>296</v>
      </c>
      <c r="H311" s="4" t="s">
        <v>297</v>
      </c>
      <c r="I311" s="4" t="s">
        <v>127</v>
      </c>
      <c r="J311" s="4" t="s">
        <v>298</v>
      </c>
      <c r="K311" s="4" t="s">
        <v>113</v>
      </c>
      <c r="L311" s="4" t="s">
        <v>299</v>
      </c>
      <c r="M311" s="24" t="s">
        <v>164</v>
      </c>
      <c r="N311" s="4" t="s">
        <v>116</v>
      </c>
      <c r="O311" s="4" t="s">
        <v>165</v>
      </c>
      <c r="P311" s="4" t="s">
        <v>118</v>
      </c>
      <c r="Q311" s="25" t="n">
        <v>79.99</v>
      </c>
      <c r="R311" s="25" t="n">
        <v>79.99</v>
      </c>
      <c r="S311" s="25" t="n">
        <v>41.96</v>
      </c>
      <c r="T311" s="26" t="n">
        <v>7</v>
      </c>
      <c r="U311" s="26"/>
      <c r="V311" s="26" t="n">
        <v>4</v>
      </c>
      <c r="W311" s="26" t="n">
        <v>0</v>
      </c>
      <c r="X311" s="27" t="n">
        <f aca="false">SUM(T311:W311)</f>
        <v>11</v>
      </c>
      <c r="Y311" s="28" t="n">
        <f aca="false">COUNT(T311:W311)</f>
        <v>3</v>
      </c>
      <c r="Z311" s="29" t="n">
        <f aca="false">R311*X311</f>
        <v>879.89</v>
      </c>
      <c r="AA311" s="30" t="n">
        <v>46136</v>
      </c>
    </row>
    <row r="312" customFormat="false" ht="15" hidden="false" customHeight="true" outlineLevel="0" collapsed="false">
      <c r="A312" s="4" t="s">
        <v>1392</v>
      </c>
      <c r="B312" s="4" t="s">
        <v>1393</v>
      </c>
      <c r="C312" s="4" t="s">
        <v>396</v>
      </c>
      <c r="D312" s="4" t="s">
        <v>106</v>
      </c>
      <c r="E312" s="4" t="s">
        <v>107</v>
      </c>
      <c r="F312" s="4" t="s">
        <v>397</v>
      </c>
      <c r="G312" s="4" t="s">
        <v>398</v>
      </c>
      <c r="H312" s="4" t="s">
        <v>399</v>
      </c>
      <c r="I312" s="4" t="s">
        <v>161</v>
      </c>
      <c r="J312" s="4" t="s">
        <v>235</v>
      </c>
      <c r="K312" s="4" t="s">
        <v>199</v>
      </c>
      <c r="L312" s="4" t="s">
        <v>400</v>
      </c>
      <c r="M312" s="24" t="s">
        <v>633</v>
      </c>
      <c r="N312" s="4" t="s">
        <v>153</v>
      </c>
      <c r="O312" s="4" t="s">
        <v>165</v>
      </c>
      <c r="P312" s="4" t="s">
        <v>118</v>
      </c>
      <c r="Q312" s="25" t="n">
        <v>49.99</v>
      </c>
      <c r="R312" s="25" t="n">
        <v>49.99</v>
      </c>
      <c r="S312" s="25" t="n">
        <v>24.93</v>
      </c>
      <c r="T312" s="26" t="n">
        <v>7</v>
      </c>
      <c r="U312" s="26" t="n">
        <v>2</v>
      </c>
      <c r="V312" s="26" t="n">
        <v>5</v>
      </c>
      <c r="W312" s="26" t="n">
        <v>0</v>
      </c>
      <c r="X312" s="27" t="n">
        <f aca="false">SUM(T312:W312)</f>
        <v>14</v>
      </c>
      <c r="Y312" s="28" t="n">
        <f aca="false">COUNT(T312:W312)</f>
        <v>4</v>
      </c>
      <c r="Z312" s="29" t="n">
        <f aca="false">R312*X312</f>
        <v>699.86</v>
      </c>
      <c r="AA312" s="30" t="n">
        <v>46160</v>
      </c>
    </row>
    <row r="313" customFormat="false" ht="15" hidden="false" customHeight="true" outlineLevel="0" collapsed="false">
      <c r="A313" s="4" t="s">
        <v>1394</v>
      </c>
      <c r="B313" s="4" t="s">
        <v>1395</v>
      </c>
      <c r="C313" s="4" t="s">
        <v>1021</v>
      </c>
      <c r="D313" s="4" t="s">
        <v>106</v>
      </c>
      <c r="E313" s="4" t="s">
        <v>157</v>
      </c>
      <c r="F313" s="4" t="s">
        <v>1022</v>
      </c>
      <c r="G313" s="4" t="s">
        <v>1023</v>
      </c>
      <c r="H313" s="4" t="s">
        <v>1024</v>
      </c>
      <c r="I313" s="4" t="s">
        <v>161</v>
      </c>
      <c r="J313" s="4" t="s">
        <v>235</v>
      </c>
      <c r="K313" s="4" t="s">
        <v>187</v>
      </c>
      <c r="L313" s="4" t="s">
        <v>379</v>
      </c>
      <c r="M313" s="24" t="s">
        <v>177</v>
      </c>
      <c r="N313" s="4" t="s">
        <v>189</v>
      </c>
      <c r="O313" s="4" t="s">
        <v>238</v>
      </c>
      <c r="P313" s="4" t="s">
        <v>118</v>
      </c>
      <c r="Q313" s="25" t="n">
        <v>99.99</v>
      </c>
      <c r="R313" s="25" t="n">
        <v>99.99</v>
      </c>
      <c r="S313" s="25" t="n">
        <v>50.01</v>
      </c>
      <c r="T313" s="26" t="n">
        <v>0</v>
      </c>
      <c r="U313" s="26" t="n">
        <v>4</v>
      </c>
      <c r="V313" s="26" t="n">
        <v>5</v>
      </c>
      <c r="W313" s="26"/>
      <c r="X313" s="27" t="n">
        <f aca="false">SUM(T313:W313)</f>
        <v>9</v>
      </c>
      <c r="Y313" s="28" t="n">
        <f aca="false">COUNT(T313:W313)</f>
        <v>3</v>
      </c>
      <c r="Z313" s="29" t="n">
        <f aca="false">R313*X313</f>
        <v>899.91</v>
      </c>
      <c r="AA313" s="30" t="n">
        <v>46104</v>
      </c>
    </row>
    <row r="314" customFormat="false" ht="15" hidden="false" customHeight="true" outlineLevel="0" collapsed="false">
      <c r="A314" s="4" t="s">
        <v>1396</v>
      </c>
      <c r="B314" s="4" t="s">
        <v>1397</v>
      </c>
      <c r="C314" s="4" t="s">
        <v>168</v>
      </c>
      <c r="D314" s="4" t="s">
        <v>169</v>
      </c>
      <c r="E314" s="4" t="s">
        <v>170</v>
      </c>
      <c r="F314" s="4" t="s">
        <v>171</v>
      </c>
      <c r="G314" s="4" t="s">
        <v>172</v>
      </c>
      <c r="H314" s="4" t="s">
        <v>173</v>
      </c>
      <c r="I314" s="4" t="s">
        <v>174</v>
      </c>
      <c r="J314" s="4" t="s">
        <v>175</v>
      </c>
      <c r="K314" s="4" t="s">
        <v>113</v>
      </c>
      <c r="L314" s="4" t="s">
        <v>176</v>
      </c>
      <c r="M314" s="24" t="s">
        <v>356</v>
      </c>
      <c r="N314" s="4" t="s">
        <v>116</v>
      </c>
      <c r="O314" s="4" t="s">
        <v>165</v>
      </c>
      <c r="P314" s="4" t="s">
        <v>118</v>
      </c>
      <c r="Q314" s="25" t="n">
        <v>89.99</v>
      </c>
      <c r="R314" s="25" t="n">
        <v>89.99</v>
      </c>
      <c r="S314" s="25" t="n">
        <v>44.22</v>
      </c>
      <c r="T314" s="26" t="n">
        <v>3</v>
      </c>
      <c r="U314" s="26" t="n">
        <v>2</v>
      </c>
      <c r="V314" s="26" t="n">
        <v>2</v>
      </c>
      <c r="W314" s="26"/>
      <c r="X314" s="27" t="n">
        <f aca="false">SUM(T314:W314)</f>
        <v>7</v>
      </c>
      <c r="Y314" s="28" t="n">
        <f aca="false">COUNT(T314:W314)</f>
        <v>3</v>
      </c>
      <c r="Z314" s="29" t="n">
        <f aca="false">R314*X314</f>
        <v>629.93</v>
      </c>
      <c r="AA314" s="30" t="n">
        <v>46171</v>
      </c>
    </row>
    <row r="315" customFormat="false" ht="15" hidden="false" customHeight="true" outlineLevel="0" collapsed="false">
      <c r="A315" s="4" t="s">
        <v>1398</v>
      </c>
      <c r="B315" s="4" t="s">
        <v>1399</v>
      </c>
      <c r="C315" s="4" t="s">
        <v>383</v>
      </c>
      <c r="D315" s="4" t="s">
        <v>135</v>
      </c>
      <c r="E315" s="4" t="s">
        <v>136</v>
      </c>
      <c r="F315" s="4" t="s">
        <v>384</v>
      </c>
      <c r="G315" s="4" t="s">
        <v>385</v>
      </c>
      <c r="H315" s="4" t="s">
        <v>386</v>
      </c>
      <c r="I315" s="4" t="s">
        <v>127</v>
      </c>
      <c r="J315" s="4" t="s">
        <v>280</v>
      </c>
      <c r="K315" s="4" t="s">
        <v>113</v>
      </c>
      <c r="L315" s="4" t="s">
        <v>387</v>
      </c>
      <c r="M315" s="24" t="s">
        <v>141</v>
      </c>
      <c r="N315" s="4" t="s">
        <v>116</v>
      </c>
      <c r="O315" s="4" t="s">
        <v>117</v>
      </c>
      <c r="P315" s="4" t="s">
        <v>202</v>
      </c>
      <c r="Q315" s="25" t="n">
        <v>149.99</v>
      </c>
      <c r="R315" s="25" t="n">
        <v>149.99</v>
      </c>
      <c r="S315" s="25" t="n">
        <v>72.91</v>
      </c>
      <c r="T315" s="26" t="n">
        <v>2</v>
      </c>
      <c r="U315" s="26" t="n">
        <v>3</v>
      </c>
      <c r="V315" s="26" t="n">
        <v>4</v>
      </c>
      <c r="W315" s="26"/>
      <c r="X315" s="27" t="n">
        <f aca="false">SUM(T315:W315)</f>
        <v>9</v>
      </c>
      <c r="Y315" s="28" t="n">
        <f aca="false">COUNT(T315:W315)</f>
        <v>3</v>
      </c>
      <c r="Z315" s="29" t="n">
        <f aca="false">R315*X315</f>
        <v>1349.91</v>
      </c>
      <c r="AA315" s="30" t="n">
        <v>46082</v>
      </c>
    </row>
    <row r="316" customFormat="false" ht="15" hidden="false" customHeight="true" outlineLevel="0" collapsed="false">
      <c r="A316" s="4" t="s">
        <v>1400</v>
      </c>
      <c r="B316" s="4" t="s">
        <v>1401</v>
      </c>
      <c r="C316" s="4" t="s">
        <v>503</v>
      </c>
      <c r="D316" s="4" t="s">
        <v>504</v>
      </c>
      <c r="E316" s="4" t="s">
        <v>504</v>
      </c>
      <c r="F316" s="4" t="s">
        <v>505</v>
      </c>
      <c r="G316" s="4" t="s">
        <v>506</v>
      </c>
      <c r="H316" s="4" t="s">
        <v>507</v>
      </c>
      <c r="I316" s="4" t="s">
        <v>161</v>
      </c>
      <c r="J316" s="4" t="s">
        <v>256</v>
      </c>
      <c r="K316" s="4" t="s">
        <v>187</v>
      </c>
      <c r="L316" s="4" t="s">
        <v>508</v>
      </c>
      <c r="M316" s="24" t="s">
        <v>308</v>
      </c>
      <c r="N316" s="4" t="s">
        <v>189</v>
      </c>
      <c r="O316" s="4" t="s">
        <v>380</v>
      </c>
      <c r="P316" s="4" t="s">
        <v>239</v>
      </c>
      <c r="Q316" s="25" t="n">
        <v>74.99</v>
      </c>
      <c r="R316" s="25" t="n">
        <v>51.99</v>
      </c>
      <c r="S316" s="25" t="n">
        <v>36.67</v>
      </c>
      <c r="T316" s="26"/>
      <c r="U316" s="26"/>
      <c r="V316" s="26" t="n">
        <v>6</v>
      </c>
      <c r="W316" s="26"/>
      <c r="X316" s="27" t="n">
        <f aca="false">SUM(T316:W316)</f>
        <v>6</v>
      </c>
      <c r="Y316" s="28" t="n">
        <f aca="false">COUNT(T316:W316)</f>
        <v>1</v>
      </c>
      <c r="Z316" s="29" t="n">
        <f aca="false">R316*X316</f>
        <v>311.94</v>
      </c>
      <c r="AA316" s="30" t="n">
        <v>46078</v>
      </c>
    </row>
    <row r="317" customFormat="false" ht="15" hidden="false" customHeight="true" outlineLevel="0" collapsed="false">
      <c r="A317" s="4" t="s">
        <v>1402</v>
      </c>
      <c r="B317" s="4" t="s">
        <v>1403</v>
      </c>
      <c r="C317" s="4" t="s">
        <v>924</v>
      </c>
      <c r="D317" s="4" t="s">
        <v>643</v>
      </c>
      <c r="E317" s="4" t="s">
        <v>644</v>
      </c>
      <c r="F317" s="4" t="s">
        <v>925</v>
      </c>
      <c r="G317" s="4" t="s">
        <v>926</v>
      </c>
      <c r="H317" s="4" t="s">
        <v>927</v>
      </c>
      <c r="I317" s="4" t="s">
        <v>127</v>
      </c>
      <c r="J317" s="4" t="s">
        <v>347</v>
      </c>
      <c r="K317" s="4" t="s">
        <v>113</v>
      </c>
      <c r="L317" s="4" t="s">
        <v>928</v>
      </c>
      <c r="M317" s="24" t="s">
        <v>211</v>
      </c>
      <c r="N317" s="4" t="s">
        <v>116</v>
      </c>
      <c r="O317" s="4" t="s">
        <v>165</v>
      </c>
      <c r="P317" s="4" t="s">
        <v>118</v>
      </c>
      <c r="Q317" s="25" t="n">
        <v>169.99</v>
      </c>
      <c r="R317" s="25" t="n">
        <v>169.99</v>
      </c>
      <c r="S317" s="25" t="n">
        <v>89.36</v>
      </c>
      <c r="T317" s="26" t="n">
        <v>3</v>
      </c>
      <c r="U317" s="26"/>
      <c r="V317" s="26" t="n">
        <v>2</v>
      </c>
      <c r="W317" s="26"/>
      <c r="X317" s="27" t="n">
        <f aca="false">SUM(T317:W317)</f>
        <v>5</v>
      </c>
      <c r="Y317" s="28" t="n">
        <f aca="false">COUNT(T317:W317)</f>
        <v>2</v>
      </c>
      <c r="Z317" s="29" t="n">
        <f aca="false">R317*X317</f>
        <v>849.95</v>
      </c>
      <c r="AA317" s="30" t="n">
        <v>46164</v>
      </c>
    </row>
    <row r="318" customFormat="false" ht="15" hidden="false" customHeight="true" outlineLevel="0" collapsed="false">
      <c r="A318" s="4" t="s">
        <v>1404</v>
      </c>
      <c r="B318" s="4" t="s">
        <v>1405</v>
      </c>
      <c r="C318" s="4" t="s">
        <v>1320</v>
      </c>
      <c r="D318" s="4" t="s">
        <v>106</v>
      </c>
      <c r="E318" s="4" t="s">
        <v>157</v>
      </c>
      <c r="F318" s="4" t="s">
        <v>495</v>
      </c>
      <c r="G318" s="4" t="s">
        <v>1321</v>
      </c>
      <c r="H318" s="4" t="s">
        <v>1322</v>
      </c>
      <c r="I318" s="4" t="s">
        <v>161</v>
      </c>
      <c r="J318" s="4" t="s">
        <v>162</v>
      </c>
      <c r="K318" s="4" t="s">
        <v>187</v>
      </c>
      <c r="L318" s="4" t="s">
        <v>1323</v>
      </c>
      <c r="M318" s="24" t="s">
        <v>338</v>
      </c>
      <c r="N318" s="4" t="s">
        <v>189</v>
      </c>
      <c r="O318" s="4" t="s">
        <v>165</v>
      </c>
      <c r="P318" s="4" t="s">
        <v>118</v>
      </c>
      <c r="Q318" s="25" t="n">
        <v>109.99</v>
      </c>
      <c r="R318" s="25" t="n">
        <v>109.99</v>
      </c>
      <c r="S318" s="25" t="n">
        <v>55.13</v>
      </c>
      <c r="T318" s="26" t="n">
        <v>4</v>
      </c>
      <c r="U318" s="26"/>
      <c r="V318" s="26" t="n">
        <v>5</v>
      </c>
      <c r="W318" s="26"/>
      <c r="X318" s="27" t="n">
        <f aca="false">SUM(T318:W318)</f>
        <v>9</v>
      </c>
      <c r="Y318" s="28" t="n">
        <f aca="false">COUNT(T318:W318)</f>
        <v>2</v>
      </c>
      <c r="Z318" s="29" t="n">
        <f aca="false">R318*X318</f>
        <v>989.91</v>
      </c>
      <c r="AA318" s="30" t="n">
        <v>46092</v>
      </c>
    </row>
    <row r="319" customFormat="false" ht="15" hidden="false" customHeight="true" outlineLevel="0" collapsed="false">
      <c r="A319" s="4" t="s">
        <v>1406</v>
      </c>
      <c r="B319" s="4" t="s">
        <v>1407</v>
      </c>
      <c r="C319" s="4" t="s">
        <v>105</v>
      </c>
      <c r="D319" s="4" t="s">
        <v>106</v>
      </c>
      <c r="E319" s="4" t="s">
        <v>107</v>
      </c>
      <c r="F319" s="4" t="s">
        <v>108</v>
      </c>
      <c r="G319" s="4" t="s">
        <v>109</v>
      </c>
      <c r="H319" s="4" t="s">
        <v>110</v>
      </c>
      <c r="I319" s="4" t="s">
        <v>111</v>
      </c>
      <c r="J319" s="4" t="s">
        <v>112</v>
      </c>
      <c r="K319" s="4" t="s">
        <v>113</v>
      </c>
      <c r="L319" s="4" t="s">
        <v>114</v>
      </c>
      <c r="M319" s="24" t="s">
        <v>211</v>
      </c>
      <c r="N319" s="4" t="s">
        <v>116</v>
      </c>
      <c r="O319" s="4" t="s">
        <v>117</v>
      </c>
      <c r="P319" s="4" t="s">
        <v>118</v>
      </c>
      <c r="Q319" s="25" t="n">
        <v>34.99</v>
      </c>
      <c r="R319" s="25" t="n">
        <v>34.99</v>
      </c>
      <c r="S319" s="25" t="n">
        <v>19.22</v>
      </c>
      <c r="T319" s="26" t="n">
        <v>5</v>
      </c>
      <c r="U319" s="26" t="n">
        <v>1</v>
      </c>
      <c r="V319" s="26" t="n">
        <v>5</v>
      </c>
      <c r="W319" s="26"/>
      <c r="X319" s="27" t="n">
        <f aca="false">SUM(T319:W319)</f>
        <v>11</v>
      </c>
      <c r="Y319" s="28" t="n">
        <f aca="false">COUNT(T319:W319)</f>
        <v>3</v>
      </c>
      <c r="Z319" s="29" t="n">
        <f aca="false">R319*X319</f>
        <v>384.89</v>
      </c>
      <c r="AA319" s="30" t="n">
        <v>46172</v>
      </c>
    </row>
    <row r="320" customFormat="false" ht="15" hidden="false" customHeight="true" outlineLevel="0" collapsed="false">
      <c r="A320" s="4" t="s">
        <v>1408</v>
      </c>
      <c r="B320" s="4" t="s">
        <v>1409</v>
      </c>
      <c r="C320" s="4" t="s">
        <v>1367</v>
      </c>
      <c r="D320" s="4" t="s">
        <v>251</v>
      </c>
      <c r="E320" s="4" t="s">
        <v>252</v>
      </c>
      <c r="F320" s="4" t="s">
        <v>1368</v>
      </c>
      <c r="G320" s="4" t="s">
        <v>1369</v>
      </c>
      <c r="H320" s="4" t="s">
        <v>1370</v>
      </c>
      <c r="I320" s="4" t="s">
        <v>226</v>
      </c>
      <c r="J320" s="4" t="s">
        <v>265</v>
      </c>
      <c r="K320" s="4" t="s">
        <v>113</v>
      </c>
      <c r="L320" s="4" t="s">
        <v>1371</v>
      </c>
      <c r="M320" s="24" t="s">
        <v>141</v>
      </c>
      <c r="N320" s="4" t="s">
        <v>116</v>
      </c>
      <c r="O320" s="4" t="s">
        <v>165</v>
      </c>
      <c r="P320" s="4" t="s">
        <v>118</v>
      </c>
      <c r="Q320" s="25" t="n">
        <v>129.99</v>
      </c>
      <c r="R320" s="25" t="n">
        <v>129.99</v>
      </c>
      <c r="S320" s="25" t="n">
        <v>63.86</v>
      </c>
      <c r="T320" s="26" t="n">
        <v>3</v>
      </c>
      <c r="U320" s="26" t="n">
        <v>4</v>
      </c>
      <c r="V320" s="26" t="n">
        <v>0</v>
      </c>
      <c r="W320" s="26" t="n">
        <v>3</v>
      </c>
      <c r="X320" s="27" t="n">
        <f aca="false">SUM(T320:W320)</f>
        <v>10</v>
      </c>
      <c r="Y320" s="28" t="n">
        <f aca="false">COUNT(T320:W320)</f>
        <v>4</v>
      </c>
      <c r="Z320" s="29" t="n">
        <f aca="false">R320*X320</f>
        <v>1299.9</v>
      </c>
      <c r="AA320" s="30" t="n">
        <v>46142</v>
      </c>
    </row>
    <row r="321" customFormat="false" ht="15" hidden="false" customHeight="true" outlineLevel="0" collapsed="false">
      <c r="A321" s="4" t="s">
        <v>1410</v>
      </c>
      <c r="B321" s="4" t="s">
        <v>1411</v>
      </c>
      <c r="C321" s="4" t="s">
        <v>435</v>
      </c>
      <c r="D321" s="4" t="s">
        <v>436</v>
      </c>
      <c r="E321" s="4" t="s">
        <v>437</v>
      </c>
      <c r="F321" s="4" t="s">
        <v>438</v>
      </c>
      <c r="G321" s="4" t="s">
        <v>439</v>
      </c>
      <c r="H321" s="4" t="s">
        <v>440</v>
      </c>
      <c r="I321" s="4" t="s">
        <v>111</v>
      </c>
      <c r="J321" s="4" t="s">
        <v>111</v>
      </c>
      <c r="K321" s="4" t="s">
        <v>209</v>
      </c>
      <c r="L321" s="4" t="s">
        <v>441</v>
      </c>
      <c r="M321" s="24" t="s">
        <v>356</v>
      </c>
      <c r="N321" s="4" t="s">
        <v>153</v>
      </c>
      <c r="O321" s="4" t="s">
        <v>238</v>
      </c>
      <c r="P321" s="4" t="s">
        <v>118</v>
      </c>
      <c r="Q321" s="25" t="n">
        <v>54.99</v>
      </c>
      <c r="R321" s="25" t="n">
        <v>54.99</v>
      </c>
      <c r="S321" s="25" t="n">
        <v>26.61</v>
      </c>
      <c r="T321" s="26" t="n">
        <v>0</v>
      </c>
      <c r="U321" s="26"/>
      <c r="V321" s="26" t="n">
        <v>4</v>
      </c>
      <c r="W321" s="26"/>
      <c r="X321" s="27" t="n">
        <f aca="false">SUM(T321:W321)</f>
        <v>4</v>
      </c>
      <c r="Y321" s="28" t="n">
        <f aca="false">COUNT(T321:W321)</f>
        <v>2</v>
      </c>
      <c r="Z321" s="29" t="n">
        <f aca="false">R321*X321</f>
        <v>219.96</v>
      </c>
      <c r="AA321" s="30" t="n">
        <v>46177</v>
      </c>
    </row>
    <row r="322" customFormat="false" ht="15" hidden="false" customHeight="true" outlineLevel="0" collapsed="false">
      <c r="A322" s="4" t="s">
        <v>1412</v>
      </c>
      <c r="B322" s="4" t="s">
        <v>1413</v>
      </c>
      <c r="C322" s="4" t="s">
        <v>1014</v>
      </c>
      <c r="D322" s="4" t="s">
        <v>122</v>
      </c>
      <c r="E322" s="4" t="s">
        <v>285</v>
      </c>
      <c r="F322" s="4" t="s">
        <v>1015</v>
      </c>
      <c r="G322" s="4" t="s">
        <v>1016</v>
      </c>
      <c r="H322" s="4" t="s">
        <v>1017</v>
      </c>
      <c r="I322" s="4" t="s">
        <v>161</v>
      </c>
      <c r="J322" s="4" t="s">
        <v>289</v>
      </c>
      <c r="K322" s="4" t="s">
        <v>113</v>
      </c>
      <c r="L322" s="4" t="s">
        <v>1018</v>
      </c>
      <c r="M322" s="24" t="s">
        <v>188</v>
      </c>
      <c r="N322" s="4" t="s">
        <v>116</v>
      </c>
      <c r="O322" s="4" t="s">
        <v>117</v>
      </c>
      <c r="P322" s="4" t="s">
        <v>202</v>
      </c>
      <c r="Q322" s="25" t="n">
        <v>234.99</v>
      </c>
      <c r="R322" s="25" t="n">
        <v>234.99</v>
      </c>
      <c r="S322" s="25" t="n">
        <v>116.5</v>
      </c>
      <c r="T322" s="26" t="n">
        <v>1</v>
      </c>
      <c r="U322" s="26"/>
      <c r="V322" s="26" t="n">
        <v>5</v>
      </c>
      <c r="W322" s="26" t="n">
        <v>0</v>
      </c>
      <c r="X322" s="27" t="n">
        <f aca="false">SUM(T322:W322)</f>
        <v>6</v>
      </c>
      <c r="Y322" s="28" t="n">
        <f aca="false">COUNT(T322:W322)</f>
        <v>3</v>
      </c>
      <c r="Z322" s="29" t="n">
        <f aca="false">R322*X322</f>
        <v>1409.94</v>
      </c>
      <c r="AA322" s="30" t="n">
        <v>46192</v>
      </c>
    </row>
    <row r="323" customFormat="false" ht="15" hidden="false" customHeight="true" outlineLevel="0" collapsed="false">
      <c r="A323" s="4" t="s">
        <v>1414</v>
      </c>
      <c r="B323" s="4" t="s">
        <v>1415</v>
      </c>
      <c r="C323" s="4" t="s">
        <v>121</v>
      </c>
      <c r="D323" s="4" t="s">
        <v>122</v>
      </c>
      <c r="E323" s="4" t="s">
        <v>123</v>
      </c>
      <c r="F323" s="4" t="s">
        <v>124</v>
      </c>
      <c r="G323" s="4" t="s">
        <v>125</v>
      </c>
      <c r="H323" s="4" t="s">
        <v>126</v>
      </c>
      <c r="I323" s="4" t="s">
        <v>127</v>
      </c>
      <c r="J323" s="4" t="s">
        <v>128</v>
      </c>
      <c r="K323" s="4" t="s">
        <v>113</v>
      </c>
      <c r="L323" s="4" t="s">
        <v>129</v>
      </c>
      <c r="M323" s="24" t="s">
        <v>258</v>
      </c>
      <c r="N323" s="4" t="s">
        <v>116</v>
      </c>
      <c r="O323" s="4" t="s">
        <v>131</v>
      </c>
      <c r="P323" s="4" t="s">
        <v>118</v>
      </c>
      <c r="Q323" s="25" t="n">
        <v>74.99</v>
      </c>
      <c r="R323" s="25" t="n">
        <v>74.99</v>
      </c>
      <c r="S323" s="25" t="n">
        <v>36.3</v>
      </c>
      <c r="T323" s="26" t="n">
        <v>4</v>
      </c>
      <c r="U323" s="26"/>
      <c r="V323" s="26" t="n">
        <v>5</v>
      </c>
      <c r="W323" s="26"/>
      <c r="X323" s="27" t="n">
        <f aca="false">SUM(T323:W323)</f>
        <v>9</v>
      </c>
      <c r="Y323" s="28" t="n">
        <f aca="false">COUNT(T323:W323)</f>
        <v>2</v>
      </c>
      <c r="Z323" s="29" t="n">
        <f aca="false">R323*X323</f>
        <v>674.91</v>
      </c>
      <c r="AA323" s="30" t="n">
        <v>46038</v>
      </c>
    </row>
    <row r="324" customFormat="false" ht="15" hidden="false" customHeight="true" outlineLevel="0" collapsed="false">
      <c r="A324" s="4" t="s">
        <v>1416</v>
      </c>
      <c r="B324" s="4" t="s">
        <v>1417</v>
      </c>
      <c r="C324" s="4" t="s">
        <v>294</v>
      </c>
      <c r="D324" s="4" t="s">
        <v>251</v>
      </c>
      <c r="E324" s="4" t="s">
        <v>252</v>
      </c>
      <c r="F324" s="4" t="s">
        <v>295</v>
      </c>
      <c r="G324" s="4" t="s">
        <v>296</v>
      </c>
      <c r="H324" s="4" t="s">
        <v>297</v>
      </c>
      <c r="I324" s="4" t="s">
        <v>127</v>
      </c>
      <c r="J324" s="4" t="s">
        <v>298</v>
      </c>
      <c r="K324" s="4" t="s">
        <v>113</v>
      </c>
      <c r="L324" s="4" t="s">
        <v>299</v>
      </c>
      <c r="M324" s="24" t="s">
        <v>327</v>
      </c>
      <c r="N324" s="4" t="s">
        <v>116</v>
      </c>
      <c r="O324" s="4" t="s">
        <v>165</v>
      </c>
      <c r="P324" s="4" t="s">
        <v>118</v>
      </c>
      <c r="Q324" s="25" t="n">
        <v>79.99</v>
      </c>
      <c r="R324" s="25" t="n">
        <v>79.99</v>
      </c>
      <c r="S324" s="25" t="n">
        <v>41.96</v>
      </c>
      <c r="T324" s="26" t="n">
        <v>0</v>
      </c>
      <c r="U324" s="26"/>
      <c r="V324" s="26" t="n">
        <v>6</v>
      </c>
      <c r="W324" s="26" t="n">
        <v>2</v>
      </c>
      <c r="X324" s="27" t="n">
        <f aca="false">SUM(T324:W324)</f>
        <v>8</v>
      </c>
      <c r="Y324" s="28" t="n">
        <f aca="false">COUNT(T324:W324)</f>
        <v>3</v>
      </c>
      <c r="Z324" s="29" t="n">
        <f aca="false">R324*X324</f>
        <v>639.92</v>
      </c>
      <c r="AA324" s="30" t="n">
        <v>46174</v>
      </c>
    </row>
    <row r="325" customFormat="false" ht="15" hidden="false" customHeight="true" outlineLevel="0" collapsed="false">
      <c r="A325" s="4" t="s">
        <v>1418</v>
      </c>
      <c r="B325" s="4" t="s">
        <v>1419</v>
      </c>
      <c r="C325" s="4" t="s">
        <v>618</v>
      </c>
      <c r="D325" s="4" t="s">
        <v>122</v>
      </c>
      <c r="E325" s="4" t="s">
        <v>285</v>
      </c>
      <c r="F325" s="4" t="s">
        <v>619</v>
      </c>
      <c r="G325" s="4" t="s">
        <v>620</v>
      </c>
      <c r="H325" s="4" t="s">
        <v>621</v>
      </c>
      <c r="I325" s="4" t="s">
        <v>161</v>
      </c>
      <c r="J325" s="4" t="s">
        <v>289</v>
      </c>
      <c r="K325" s="4" t="s">
        <v>150</v>
      </c>
      <c r="L325" s="4" t="s">
        <v>622</v>
      </c>
      <c r="M325" s="24" t="s">
        <v>152</v>
      </c>
      <c r="N325" s="4" t="s">
        <v>153</v>
      </c>
      <c r="O325" s="4" t="s">
        <v>165</v>
      </c>
      <c r="P325" s="4" t="s">
        <v>118</v>
      </c>
      <c r="Q325" s="25" t="n">
        <v>114.99</v>
      </c>
      <c r="R325" s="25" t="n">
        <v>114.99</v>
      </c>
      <c r="S325" s="25" t="n">
        <v>56.56</v>
      </c>
      <c r="T325" s="26"/>
      <c r="U325" s="26" t="n">
        <v>2</v>
      </c>
      <c r="V325" s="26" t="n">
        <v>4</v>
      </c>
      <c r="W325" s="26"/>
      <c r="X325" s="27" t="n">
        <f aca="false">SUM(T325:W325)</f>
        <v>6</v>
      </c>
      <c r="Y325" s="28" t="n">
        <f aca="false">COUNT(T325:W325)</f>
        <v>2</v>
      </c>
      <c r="Z325" s="29" t="n">
        <f aca="false">R325*X325</f>
        <v>689.94</v>
      </c>
      <c r="AA325" s="30" t="n">
        <v>46182</v>
      </c>
    </row>
    <row r="326" customFormat="false" ht="15" hidden="false" customHeight="true" outlineLevel="0" collapsed="false">
      <c r="A326" s="4" t="s">
        <v>1420</v>
      </c>
      <c r="B326" s="4" t="s">
        <v>1421</v>
      </c>
      <c r="C326" s="4" t="s">
        <v>1119</v>
      </c>
      <c r="D326" s="4" t="s">
        <v>583</v>
      </c>
      <c r="E326" s="4" t="s">
        <v>584</v>
      </c>
      <c r="F326" s="4" t="s">
        <v>1120</v>
      </c>
      <c r="G326" s="4" t="s">
        <v>1121</v>
      </c>
      <c r="H326" s="4" t="s">
        <v>1122</v>
      </c>
      <c r="I326" s="4" t="s">
        <v>161</v>
      </c>
      <c r="J326" s="4" t="s">
        <v>246</v>
      </c>
      <c r="K326" s="4" t="s">
        <v>209</v>
      </c>
      <c r="L326" s="4" t="s">
        <v>1123</v>
      </c>
      <c r="M326" s="24" t="s">
        <v>442</v>
      </c>
      <c r="N326" s="4" t="s">
        <v>153</v>
      </c>
      <c r="O326" s="4" t="s">
        <v>131</v>
      </c>
      <c r="P326" s="4" t="s">
        <v>239</v>
      </c>
      <c r="Q326" s="25" t="n">
        <v>109.99</v>
      </c>
      <c r="R326" s="25" t="n">
        <v>70.99</v>
      </c>
      <c r="S326" s="25" t="n">
        <v>57.65</v>
      </c>
      <c r="T326" s="26" t="n">
        <v>0</v>
      </c>
      <c r="U326" s="26"/>
      <c r="V326" s="26" t="n">
        <v>2</v>
      </c>
      <c r="W326" s="26" t="n">
        <v>3</v>
      </c>
      <c r="X326" s="27" t="n">
        <f aca="false">SUM(T326:W326)</f>
        <v>5</v>
      </c>
      <c r="Y326" s="28" t="n">
        <f aca="false">COUNT(T326:W326)</f>
        <v>3</v>
      </c>
      <c r="Z326" s="29" t="n">
        <f aca="false">R326*X326</f>
        <v>354.95</v>
      </c>
      <c r="AA326" s="30" t="n">
        <v>46146</v>
      </c>
    </row>
    <row r="327" customFormat="false" ht="15" hidden="false" customHeight="true" outlineLevel="0" collapsed="false">
      <c r="A327" s="4" t="s">
        <v>1422</v>
      </c>
      <c r="B327" s="4" t="s">
        <v>1423</v>
      </c>
      <c r="C327" s="4" t="s">
        <v>351</v>
      </c>
      <c r="D327" s="4" t="s">
        <v>342</v>
      </c>
      <c r="E327" s="4" t="s">
        <v>343</v>
      </c>
      <c r="F327" s="4" t="s">
        <v>352</v>
      </c>
      <c r="G327" s="4" t="s">
        <v>353</v>
      </c>
      <c r="H327" s="4" t="s">
        <v>354</v>
      </c>
      <c r="I327" s="4" t="s">
        <v>127</v>
      </c>
      <c r="J327" s="4" t="s">
        <v>306</v>
      </c>
      <c r="K327" s="4" t="s">
        <v>187</v>
      </c>
      <c r="L327" s="4" t="s">
        <v>355</v>
      </c>
      <c r="M327" s="24" t="s">
        <v>308</v>
      </c>
      <c r="N327" s="4" t="s">
        <v>189</v>
      </c>
      <c r="O327" s="4" t="s">
        <v>165</v>
      </c>
      <c r="P327" s="4" t="s">
        <v>118</v>
      </c>
      <c r="Q327" s="25" t="n">
        <v>154.99</v>
      </c>
      <c r="R327" s="25" t="n">
        <v>154.99</v>
      </c>
      <c r="S327" s="25" t="n">
        <v>85.1</v>
      </c>
      <c r="T327" s="26" t="n">
        <v>6</v>
      </c>
      <c r="U327" s="26" t="n">
        <v>0</v>
      </c>
      <c r="V327" s="26" t="n">
        <v>0</v>
      </c>
      <c r="W327" s="26"/>
      <c r="X327" s="27" t="n">
        <f aca="false">SUM(T327:W327)</f>
        <v>6</v>
      </c>
      <c r="Y327" s="28" t="n">
        <f aca="false">COUNT(T327:W327)</f>
        <v>3</v>
      </c>
      <c r="Z327" s="29" t="n">
        <f aca="false">R327*X327</f>
        <v>929.94</v>
      </c>
      <c r="AA327" s="30" t="n">
        <v>46217</v>
      </c>
    </row>
    <row r="328" customFormat="false" ht="15" hidden="false" customHeight="true" outlineLevel="0" collapsed="false">
      <c r="A328" s="4" t="s">
        <v>1424</v>
      </c>
      <c r="B328" s="4" t="s">
        <v>1425</v>
      </c>
      <c r="C328" s="4" t="s">
        <v>713</v>
      </c>
      <c r="D328" s="4" t="s">
        <v>342</v>
      </c>
      <c r="E328" s="4" t="s">
        <v>714</v>
      </c>
      <c r="F328" s="4" t="s">
        <v>715</v>
      </c>
      <c r="G328" s="4" t="s">
        <v>716</v>
      </c>
      <c r="H328" s="4" t="s">
        <v>717</v>
      </c>
      <c r="I328" s="4" t="s">
        <v>161</v>
      </c>
      <c r="J328" s="4" t="s">
        <v>718</v>
      </c>
      <c r="K328" s="4" t="s">
        <v>187</v>
      </c>
      <c r="L328" s="4" t="s">
        <v>719</v>
      </c>
      <c r="M328" s="24" t="s">
        <v>291</v>
      </c>
      <c r="N328" s="4" t="s">
        <v>189</v>
      </c>
      <c r="O328" s="4" t="s">
        <v>238</v>
      </c>
      <c r="P328" s="4" t="s">
        <v>239</v>
      </c>
      <c r="Q328" s="25" t="n">
        <v>119.99</v>
      </c>
      <c r="R328" s="25" t="n">
        <v>71.99</v>
      </c>
      <c r="S328" s="25" t="n">
        <v>61.14</v>
      </c>
      <c r="T328" s="26" t="n">
        <v>1</v>
      </c>
      <c r="U328" s="26" t="n">
        <v>4</v>
      </c>
      <c r="V328" s="26" t="n">
        <v>5</v>
      </c>
      <c r="W328" s="26" t="n">
        <v>2</v>
      </c>
      <c r="X328" s="27" t="n">
        <f aca="false">SUM(T328:W328)</f>
        <v>12</v>
      </c>
      <c r="Y328" s="28" t="n">
        <f aca="false">COUNT(T328:W328)</f>
        <v>4</v>
      </c>
      <c r="Z328" s="29" t="n">
        <f aca="false">R328*X328</f>
        <v>863.88</v>
      </c>
      <c r="AA328" s="30" t="n">
        <v>46183</v>
      </c>
    </row>
    <row r="329" customFormat="false" ht="15" hidden="false" customHeight="true" outlineLevel="0" collapsed="false">
      <c r="A329" s="4" t="s">
        <v>1426</v>
      </c>
      <c r="B329" s="4" t="s">
        <v>1427</v>
      </c>
      <c r="C329" s="4" t="s">
        <v>853</v>
      </c>
      <c r="D329" s="4" t="s">
        <v>122</v>
      </c>
      <c r="E329" s="4" t="s">
        <v>123</v>
      </c>
      <c r="F329" s="4" t="s">
        <v>854</v>
      </c>
      <c r="G329" s="4" t="s">
        <v>855</v>
      </c>
      <c r="H329" s="4" t="s">
        <v>856</v>
      </c>
      <c r="I329" s="4" t="s">
        <v>161</v>
      </c>
      <c r="J329" s="4" t="s">
        <v>246</v>
      </c>
      <c r="K329" s="4" t="s">
        <v>187</v>
      </c>
      <c r="L329" s="4" t="s">
        <v>348</v>
      </c>
      <c r="M329" s="24" t="s">
        <v>188</v>
      </c>
      <c r="N329" s="4" t="s">
        <v>189</v>
      </c>
      <c r="O329" s="4" t="s">
        <v>131</v>
      </c>
      <c r="P329" s="4" t="s">
        <v>118</v>
      </c>
      <c r="Q329" s="25" t="n">
        <v>169.99</v>
      </c>
      <c r="R329" s="25" t="n">
        <v>169.99</v>
      </c>
      <c r="S329" s="25" t="n">
        <v>85.29</v>
      </c>
      <c r="T329" s="26" t="n">
        <v>3</v>
      </c>
      <c r="U329" s="26" t="n">
        <v>6</v>
      </c>
      <c r="V329" s="26" t="n">
        <v>4</v>
      </c>
      <c r="W329" s="26"/>
      <c r="X329" s="27" t="n">
        <f aca="false">SUM(T329:W329)</f>
        <v>13</v>
      </c>
      <c r="Y329" s="28" t="n">
        <f aca="false">COUNT(T329:W329)</f>
        <v>3</v>
      </c>
      <c r="Z329" s="29" t="n">
        <f aca="false">R329*X329</f>
        <v>2209.87</v>
      </c>
      <c r="AA329" s="30" t="n">
        <v>46153</v>
      </c>
    </row>
    <row r="330" customFormat="false" ht="15" hidden="false" customHeight="true" outlineLevel="0" collapsed="false">
      <c r="A330" s="4" t="s">
        <v>1428</v>
      </c>
      <c r="B330" s="4" t="s">
        <v>1429</v>
      </c>
      <c r="C330" s="4" t="s">
        <v>156</v>
      </c>
      <c r="D330" s="4" t="s">
        <v>106</v>
      </c>
      <c r="E330" s="4" t="s">
        <v>157</v>
      </c>
      <c r="F330" s="4" t="s">
        <v>158</v>
      </c>
      <c r="G330" s="4" t="s">
        <v>159</v>
      </c>
      <c r="H330" s="4" t="s">
        <v>160</v>
      </c>
      <c r="I330" s="4" t="s">
        <v>161</v>
      </c>
      <c r="J330" s="4" t="s">
        <v>162</v>
      </c>
      <c r="K330" s="4" t="s">
        <v>113</v>
      </c>
      <c r="L330" s="4" t="s">
        <v>163</v>
      </c>
      <c r="M330" s="24" t="s">
        <v>177</v>
      </c>
      <c r="N330" s="4" t="s">
        <v>116</v>
      </c>
      <c r="O330" s="4" t="s">
        <v>165</v>
      </c>
      <c r="P330" s="4" t="s">
        <v>118</v>
      </c>
      <c r="Q330" s="25" t="n">
        <v>109.99</v>
      </c>
      <c r="R330" s="25" t="n">
        <v>109.99</v>
      </c>
      <c r="S330" s="25" t="n">
        <v>54.53</v>
      </c>
      <c r="T330" s="26" t="n">
        <v>3</v>
      </c>
      <c r="U330" s="26" t="n">
        <v>3</v>
      </c>
      <c r="V330" s="26" t="n">
        <v>6</v>
      </c>
      <c r="W330" s="26" t="n">
        <v>1</v>
      </c>
      <c r="X330" s="27" t="n">
        <f aca="false">SUM(T330:W330)</f>
        <v>13</v>
      </c>
      <c r="Y330" s="28" t="n">
        <f aca="false">COUNT(T330:W330)</f>
        <v>4</v>
      </c>
      <c r="Z330" s="29" t="n">
        <f aca="false">R330*X330</f>
        <v>1429.87</v>
      </c>
      <c r="AA330" s="30" t="n">
        <v>46148</v>
      </c>
    </row>
    <row r="331" customFormat="false" ht="15" hidden="false" customHeight="true" outlineLevel="0" collapsed="false">
      <c r="A331" s="4" t="s">
        <v>1430</v>
      </c>
      <c r="B331" s="4" t="s">
        <v>1431</v>
      </c>
      <c r="C331" s="4" t="s">
        <v>891</v>
      </c>
      <c r="D331" s="4" t="s">
        <v>643</v>
      </c>
      <c r="E331" s="4" t="s">
        <v>644</v>
      </c>
      <c r="F331" s="4" t="s">
        <v>645</v>
      </c>
      <c r="G331" s="4" t="s">
        <v>892</v>
      </c>
      <c r="H331" s="4" t="s">
        <v>893</v>
      </c>
      <c r="I331" s="4" t="s">
        <v>127</v>
      </c>
      <c r="J331" s="4" t="s">
        <v>280</v>
      </c>
      <c r="K331" s="4" t="s">
        <v>113</v>
      </c>
      <c r="L331" s="4" t="s">
        <v>894</v>
      </c>
      <c r="M331" s="24" t="s">
        <v>356</v>
      </c>
      <c r="N331" s="4" t="s">
        <v>116</v>
      </c>
      <c r="O331" s="4" t="s">
        <v>380</v>
      </c>
      <c r="P331" s="4" t="s">
        <v>118</v>
      </c>
      <c r="Q331" s="25" t="n">
        <v>149.99</v>
      </c>
      <c r="R331" s="25" t="n">
        <v>149.99</v>
      </c>
      <c r="S331" s="25" t="n">
        <v>76.29</v>
      </c>
      <c r="T331" s="26" t="n">
        <v>1</v>
      </c>
      <c r="U331" s="26" t="n">
        <v>1</v>
      </c>
      <c r="V331" s="26" t="n">
        <v>0</v>
      </c>
      <c r="W331" s="26" t="n">
        <v>0</v>
      </c>
      <c r="X331" s="27" t="n">
        <f aca="false">SUM(T331:W331)</f>
        <v>2</v>
      </c>
      <c r="Y331" s="28" t="n">
        <f aca="false">COUNT(T331:W331)</f>
        <v>4</v>
      </c>
      <c r="Z331" s="29" t="n">
        <f aca="false">R331*X331</f>
        <v>299.98</v>
      </c>
      <c r="AA331" s="30" t="n">
        <v>46031</v>
      </c>
    </row>
    <row r="332" customFormat="false" ht="15" hidden="false" customHeight="true" outlineLevel="0" collapsed="false">
      <c r="A332" s="4" t="s">
        <v>1432</v>
      </c>
      <c r="B332" s="4" t="s">
        <v>1433</v>
      </c>
      <c r="C332" s="4" t="s">
        <v>1081</v>
      </c>
      <c r="D332" s="4" t="s">
        <v>181</v>
      </c>
      <c r="E332" s="4" t="s">
        <v>182</v>
      </c>
      <c r="F332" s="4" t="s">
        <v>1082</v>
      </c>
      <c r="G332" s="4" t="s">
        <v>1083</v>
      </c>
      <c r="H332" s="4" t="s">
        <v>1084</v>
      </c>
      <c r="I332" s="4" t="s">
        <v>161</v>
      </c>
      <c r="J332" s="4" t="s">
        <v>186</v>
      </c>
      <c r="K332" s="4" t="s">
        <v>209</v>
      </c>
      <c r="L332" s="4" t="s">
        <v>348</v>
      </c>
      <c r="M332" s="24" t="s">
        <v>164</v>
      </c>
      <c r="N332" s="4" t="s">
        <v>153</v>
      </c>
      <c r="O332" s="4" t="s">
        <v>131</v>
      </c>
      <c r="P332" s="4" t="s">
        <v>239</v>
      </c>
      <c r="Q332" s="25" t="n">
        <v>74.99</v>
      </c>
      <c r="R332" s="25" t="n">
        <v>55.99</v>
      </c>
      <c r="S332" s="25" t="n">
        <v>38.23</v>
      </c>
      <c r="T332" s="26"/>
      <c r="U332" s="26" t="n">
        <v>1</v>
      </c>
      <c r="V332" s="26" t="n">
        <v>4</v>
      </c>
      <c r="W332" s="26"/>
      <c r="X332" s="27" t="n">
        <f aca="false">SUM(T332:W332)</f>
        <v>5</v>
      </c>
      <c r="Y332" s="28" t="n">
        <f aca="false">COUNT(T332:W332)</f>
        <v>2</v>
      </c>
      <c r="Z332" s="29" t="n">
        <f aca="false">R332*X332</f>
        <v>279.95</v>
      </c>
      <c r="AA332" s="30" t="n">
        <v>46158</v>
      </c>
    </row>
    <row r="333" customFormat="false" ht="15" hidden="false" customHeight="true" outlineLevel="0" collapsed="false">
      <c r="A333" s="4" t="s">
        <v>1434</v>
      </c>
      <c r="B333" s="4" t="s">
        <v>1435</v>
      </c>
      <c r="C333" s="4" t="s">
        <v>591</v>
      </c>
      <c r="D333" s="4" t="s">
        <v>122</v>
      </c>
      <c r="E333" s="4" t="s">
        <v>285</v>
      </c>
      <c r="F333" s="4" t="s">
        <v>286</v>
      </c>
      <c r="G333" s="4" t="s">
        <v>592</v>
      </c>
      <c r="H333" s="4" t="s">
        <v>593</v>
      </c>
      <c r="I333" s="4" t="s">
        <v>161</v>
      </c>
      <c r="J333" s="4" t="s">
        <v>289</v>
      </c>
      <c r="K333" s="4" t="s">
        <v>113</v>
      </c>
      <c r="L333" s="4" t="s">
        <v>594</v>
      </c>
      <c r="M333" s="24" t="s">
        <v>141</v>
      </c>
      <c r="N333" s="4" t="s">
        <v>116</v>
      </c>
      <c r="O333" s="4" t="s">
        <v>131</v>
      </c>
      <c r="P333" s="4" t="s">
        <v>118</v>
      </c>
      <c r="Q333" s="25" t="n">
        <v>129.99</v>
      </c>
      <c r="R333" s="25" t="n">
        <v>129.99</v>
      </c>
      <c r="S333" s="25" t="n">
        <v>63.23</v>
      </c>
      <c r="T333" s="26" t="n">
        <v>0</v>
      </c>
      <c r="U333" s="26" t="n">
        <v>0</v>
      </c>
      <c r="V333" s="26" t="n">
        <v>3</v>
      </c>
      <c r="W333" s="26" t="n">
        <v>3</v>
      </c>
      <c r="X333" s="27" t="n">
        <f aca="false">SUM(T333:W333)</f>
        <v>6</v>
      </c>
      <c r="Y333" s="28" t="n">
        <f aca="false">COUNT(T333:W333)</f>
        <v>4</v>
      </c>
      <c r="Z333" s="29" t="n">
        <f aca="false">R333*X333</f>
        <v>779.94</v>
      </c>
      <c r="AA333" s="30" t="n">
        <v>46142</v>
      </c>
    </row>
    <row r="334" customFormat="false" ht="15" hidden="false" customHeight="true" outlineLevel="0" collapsed="false">
      <c r="A334" s="4" t="s">
        <v>1436</v>
      </c>
      <c r="B334" s="4" t="s">
        <v>1437</v>
      </c>
      <c r="C334" s="4" t="s">
        <v>993</v>
      </c>
      <c r="D334" s="4" t="s">
        <v>583</v>
      </c>
      <c r="E334" s="4" t="s">
        <v>584</v>
      </c>
      <c r="F334" s="4" t="s">
        <v>994</v>
      </c>
      <c r="G334" s="4" t="s">
        <v>995</v>
      </c>
      <c r="H334" s="4" t="s">
        <v>996</v>
      </c>
      <c r="I334" s="4" t="s">
        <v>127</v>
      </c>
      <c r="J334" s="4" t="s">
        <v>347</v>
      </c>
      <c r="K334" s="4" t="s">
        <v>187</v>
      </c>
      <c r="L334" s="4" t="s">
        <v>997</v>
      </c>
      <c r="M334" s="24" t="s">
        <v>356</v>
      </c>
      <c r="N334" s="4" t="s">
        <v>189</v>
      </c>
      <c r="O334" s="4" t="s">
        <v>131</v>
      </c>
      <c r="P334" s="4" t="s">
        <v>118</v>
      </c>
      <c r="Q334" s="25" t="n">
        <v>179.99</v>
      </c>
      <c r="R334" s="25" t="n">
        <v>179.99</v>
      </c>
      <c r="S334" s="25" t="n">
        <v>97.26</v>
      </c>
      <c r="T334" s="26" t="n">
        <v>2</v>
      </c>
      <c r="U334" s="26" t="n">
        <v>1</v>
      </c>
      <c r="V334" s="26" t="n">
        <v>0</v>
      </c>
      <c r="W334" s="26"/>
      <c r="X334" s="27" t="n">
        <f aca="false">SUM(T334:W334)</f>
        <v>3</v>
      </c>
      <c r="Y334" s="28" t="n">
        <f aca="false">COUNT(T334:W334)</f>
        <v>3</v>
      </c>
      <c r="Z334" s="29" t="n">
        <f aca="false">R334*X334</f>
        <v>539.97</v>
      </c>
      <c r="AA334" s="30" t="n">
        <v>46081</v>
      </c>
    </row>
    <row r="335" customFormat="false" ht="15" hidden="false" customHeight="true" outlineLevel="0" collapsed="false">
      <c r="A335" s="4" t="s">
        <v>1438</v>
      </c>
      <c r="B335" s="4" t="s">
        <v>1439</v>
      </c>
      <c r="C335" s="4" t="s">
        <v>821</v>
      </c>
      <c r="D335" s="4" t="s">
        <v>331</v>
      </c>
      <c r="E335" s="4" t="s">
        <v>332</v>
      </c>
      <c r="F335" s="4" t="s">
        <v>822</v>
      </c>
      <c r="G335" s="4" t="s">
        <v>823</v>
      </c>
      <c r="H335" s="4" t="s">
        <v>824</v>
      </c>
      <c r="I335" s="4" t="s">
        <v>161</v>
      </c>
      <c r="J335" s="4" t="s">
        <v>336</v>
      </c>
      <c r="K335" s="4" t="s">
        <v>209</v>
      </c>
      <c r="L335" s="4" t="s">
        <v>825</v>
      </c>
      <c r="M335" s="24" t="s">
        <v>356</v>
      </c>
      <c r="N335" s="4" t="s">
        <v>153</v>
      </c>
      <c r="O335" s="4" t="s">
        <v>131</v>
      </c>
      <c r="P335" s="4" t="s">
        <v>239</v>
      </c>
      <c r="Q335" s="25" t="n">
        <v>149.99</v>
      </c>
      <c r="R335" s="25" t="n">
        <v>104.99</v>
      </c>
      <c r="S335" s="25" t="n">
        <v>83.5</v>
      </c>
      <c r="T335" s="26" t="n">
        <v>3</v>
      </c>
      <c r="U335" s="26"/>
      <c r="V335" s="26" t="n">
        <v>2</v>
      </c>
      <c r="W335" s="26" t="n">
        <v>0</v>
      </c>
      <c r="X335" s="27" t="n">
        <f aca="false">SUM(T335:W335)</f>
        <v>5</v>
      </c>
      <c r="Y335" s="28" t="n">
        <f aca="false">COUNT(T335:W335)</f>
        <v>3</v>
      </c>
      <c r="Z335" s="29" t="n">
        <f aca="false">R335*X335</f>
        <v>524.95</v>
      </c>
      <c r="AA335" s="30" t="n">
        <v>46106</v>
      </c>
    </row>
    <row r="336" customFormat="false" ht="15" hidden="false" customHeight="true" outlineLevel="0" collapsed="false">
      <c r="A336" s="4" t="s">
        <v>1440</v>
      </c>
      <c r="B336" s="4" t="s">
        <v>1441</v>
      </c>
      <c r="C336" s="4" t="s">
        <v>467</v>
      </c>
      <c r="D336" s="4" t="s">
        <v>135</v>
      </c>
      <c r="E336" s="4" t="s">
        <v>136</v>
      </c>
      <c r="F336" s="4" t="s">
        <v>468</v>
      </c>
      <c r="G336" s="4" t="s">
        <v>469</v>
      </c>
      <c r="H336" s="4" t="s">
        <v>470</v>
      </c>
      <c r="I336" s="4" t="s">
        <v>127</v>
      </c>
      <c r="J336" s="4" t="s">
        <v>347</v>
      </c>
      <c r="K336" s="4" t="s">
        <v>187</v>
      </c>
      <c r="L336" s="4" t="s">
        <v>471</v>
      </c>
      <c r="M336" s="24" t="s">
        <v>538</v>
      </c>
      <c r="N336" s="4" t="s">
        <v>189</v>
      </c>
      <c r="O336" s="4" t="s">
        <v>165</v>
      </c>
      <c r="P336" s="4" t="s">
        <v>118</v>
      </c>
      <c r="Q336" s="25" t="n">
        <v>169.99</v>
      </c>
      <c r="R336" s="25" t="n">
        <v>169.99</v>
      </c>
      <c r="S336" s="25" t="n">
        <v>94.08</v>
      </c>
      <c r="T336" s="26" t="n">
        <v>0</v>
      </c>
      <c r="U336" s="26" t="n">
        <v>5</v>
      </c>
      <c r="V336" s="26" t="n">
        <v>5</v>
      </c>
      <c r="W336" s="26" t="n">
        <v>0</v>
      </c>
      <c r="X336" s="27" t="n">
        <f aca="false">SUM(T336:W336)</f>
        <v>10</v>
      </c>
      <c r="Y336" s="28" t="n">
        <f aca="false">COUNT(T336:W336)</f>
        <v>4</v>
      </c>
      <c r="Z336" s="29" t="n">
        <f aca="false">R336*X336</f>
        <v>1699.9</v>
      </c>
      <c r="AA336" s="30" t="n">
        <v>46079</v>
      </c>
    </row>
    <row r="337" customFormat="false" ht="15" hidden="false" customHeight="true" outlineLevel="0" collapsed="false">
      <c r="A337" s="4" t="s">
        <v>1442</v>
      </c>
      <c r="B337" s="4" t="s">
        <v>1443</v>
      </c>
      <c r="C337" s="4" t="s">
        <v>404</v>
      </c>
      <c r="D337" s="4" t="s">
        <v>169</v>
      </c>
      <c r="E337" s="4" t="s">
        <v>170</v>
      </c>
      <c r="F337" s="4" t="s">
        <v>405</v>
      </c>
      <c r="G337" s="4" t="s">
        <v>406</v>
      </c>
      <c r="H337" s="4" t="s">
        <v>407</v>
      </c>
      <c r="I337" s="4" t="s">
        <v>127</v>
      </c>
      <c r="J337" s="4" t="s">
        <v>280</v>
      </c>
      <c r="K337" s="4" t="s">
        <v>113</v>
      </c>
      <c r="L337" s="4" t="s">
        <v>140</v>
      </c>
      <c r="M337" s="24" t="s">
        <v>356</v>
      </c>
      <c r="N337" s="4" t="s">
        <v>116</v>
      </c>
      <c r="O337" s="4" t="s">
        <v>131</v>
      </c>
      <c r="P337" s="4" t="s">
        <v>118</v>
      </c>
      <c r="Q337" s="25" t="n">
        <v>144.99</v>
      </c>
      <c r="R337" s="25" t="n">
        <v>144.99</v>
      </c>
      <c r="S337" s="25" t="n">
        <v>76.41</v>
      </c>
      <c r="T337" s="26" t="n">
        <v>4</v>
      </c>
      <c r="U337" s="26"/>
      <c r="V337" s="26" t="n">
        <v>0</v>
      </c>
      <c r="W337" s="26"/>
      <c r="X337" s="27" t="n">
        <f aca="false">SUM(T337:W337)</f>
        <v>4</v>
      </c>
      <c r="Y337" s="28" t="n">
        <f aca="false">COUNT(T337:W337)</f>
        <v>2</v>
      </c>
      <c r="Z337" s="29" t="n">
        <f aca="false">R337*X337</f>
        <v>579.96</v>
      </c>
      <c r="AA337" s="30" t="n">
        <v>46132</v>
      </c>
    </row>
    <row r="338" customFormat="false" ht="15" hidden="false" customHeight="true" outlineLevel="0" collapsed="false">
      <c r="A338" s="4" t="s">
        <v>1444</v>
      </c>
      <c r="B338" s="4" t="s">
        <v>1445</v>
      </c>
      <c r="C338" s="4" t="s">
        <v>701</v>
      </c>
      <c r="D338" s="4" t="s">
        <v>475</v>
      </c>
      <c r="E338" s="4" t="s">
        <v>476</v>
      </c>
      <c r="F338" s="4" t="s">
        <v>702</v>
      </c>
      <c r="G338" s="4" t="s">
        <v>703</v>
      </c>
      <c r="H338" s="4" t="s">
        <v>704</v>
      </c>
      <c r="I338" s="4" t="s">
        <v>161</v>
      </c>
      <c r="J338" s="4" t="s">
        <v>186</v>
      </c>
      <c r="K338" s="4" t="s">
        <v>209</v>
      </c>
      <c r="L338" s="4" t="s">
        <v>705</v>
      </c>
      <c r="M338" s="24" t="s">
        <v>164</v>
      </c>
      <c r="N338" s="4" t="s">
        <v>153</v>
      </c>
      <c r="O338" s="4" t="s">
        <v>131</v>
      </c>
      <c r="P338" s="4" t="s">
        <v>118</v>
      </c>
      <c r="Q338" s="25" t="n">
        <v>64.99</v>
      </c>
      <c r="R338" s="25" t="n">
        <v>64.99</v>
      </c>
      <c r="S338" s="25" t="n">
        <v>34.43</v>
      </c>
      <c r="T338" s="26"/>
      <c r="U338" s="26"/>
      <c r="V338" s="26" t="n">
        <v>4</v>
      </c>
      <c r="W338" s="26"/>
      <c r="X338" s="27" t="n">
        <f aca="false">SUM(T338:W338)</f>
        <v>4</v>
      </c>
      <c r="Y338" s="28" t="n">
        <f aca="false">COUNT(T338:W338)</f>
        <v>1</v>
      </c>
      <c r="Z338" s="29" t="n">
        <f aca="false">R338*X338</f>
        <v>259.96</v>
      </c>
      <c r="AA338" s="30" t="n">
        <v>46229</v>
      </c>
    </row>
    <row r="339" customFormat="false" ht="15" hidden="false" customHeight="true" outlineLevel="0" collapsed="false">
      <c r="A339" s="4" t="s">
        <v>1446</v>
      </c>
      <c r="B339" s="4" t="s">
        <v>1447</v>
      </c>
      <c r="C339" s="4" t="s">
        <v>924</v>
      </c>
      <c r="D339" s="4" t="s">
        <v>643</v>
      </c>
      <c r="E339" s="4" t="s">
        <v>644</v>
      </c>
      <c r="F339" s="4" t="s">
        <v>925</v>
      </c>
      <c r="G339" s="4" t="s">
        <v>926</v>
      </c>
      <c r="H339" s="4" t="s">
        <v>927</v>
      </c>
      <c r="I339" s="4" t="s">
        <v>127</v>
      </c>
      <c r="J339" s="4" t="s">
        <v>347</v>
      </c>
      <c r="K339" s="4" t="s">
        <v>113</v>
      </c>
      <c r="L339" s="4" t="s">
        <v>928</v>
      </c>
      <c r="M339" s="24" t="s">
        <v>164</v>
      </c>
      <c r="N339" s="4" t="s">
        <v>116</v>
      </c>
      <c r="O339" s="4" t="s">
        <v>165</v>
      </c>
      <c r="P339" s="4" t="s">
        <v>118</v>
      </c>
      <c r="Q339" s="25" t="n">
        <v>169.99</v>
      </c>
      <c r="R339" s="25" t="n">
        <v>169.99</v>
      </c>
      <c r="S339" s="25" t="n">
        <v>89.36</v>
      </c>
      <c r="T339" s="26" t="n">
        <v>5</v>
      </c>
      <c r="U339" s="26"/>
      <c r="V339" s="26" t="n">
        <v>5</v>
      </c>
      <c r="W339" s="26"/>
      <c r="X339" s="27" t="n">
        <f aca="false">SUM(T339:W339)</f>
        <v>10</v>
      </c>
      <c r="Y339" s="28" t="n">
        <f aca="false">COUNT(T339:W339)</f>
        <v>2</v>
      </c>
      <c r="Z339" s="29" t="n">
        <f aca="false">R339*X339</f>
        <v>1699.9</v>
      </c>
      <c r="AA339" s="30" t="n">
        <v>46059</v>
      </c>
    </row>
    <row r="340" customFormat="false" ht="15" hidden="false" customHeight="true" outlineLevel="0" collapsed="false">
      <c r="A340" s="4" t="s">
        <v>1448</v>
      </c>
      <c r="B340" s="4" t="s">
        <v>1449</v>
      </c>
      <c r="C340" s="4" t="s">
        <v>1094</v>
      </c>
      <c r="D340" s="4" t="s">
        <v>122</v>
      </c>
      <c r="E340" s="4" t="s">
        <v>285</v>
      </c>
      <c r="F340" s="4" t="s">
        <v>1095</v>
      </c>
      <c r="G340" s="4" t="s">
        <v>1096</v>
      </c>
      <c r="H340" s="4" t="s">
        <v>1097</v>
      </c>
      <c r="I340" s="4" t="s">
        <v>161</v>
      </c>
      <c r="J340" s="4" t="s">
        <v>235</v>
      </c>
      <c r="K340" s="4" t="s">
        <v>113</v>
      </c>
      <c r="L340" s="4" t="s">
        <v>1098</v>
      </c>
      <c r="M340" s="24" t="s">
        <v>327</v>
      </c>
      <c r="N340" s="4" t="s">
        <v>116</v>
      </c>
      <c r="O340" s="4" t="s">
        <v>165</v>
      </c>
      <c r="P340" s="4" t="s">
        <v>118</v>
      </c>
      <c r="Q340" s="25" t="n">
        <v>99.99</v>
      </c>
      <c r="R340" s="25" t="n">
        <v>99.99</v>
      </c>
      <c r="S340" s="25" t="n">
        <v>55.24</v>
      </c>
      <c r="T340" s="26" t="n">
        <v>2</v>
      </c>
      <c r="U340" s="26" t="n">
        <v>0</v>
      </c>
      <c r="V340" s="26" t="n">
        <v>5</v>
      </c>
      <c r="W340" s="26" t="n">
        <v>2</v>
      </c>
      <c r="X340" s="27" t="n">
        <f aca="false">SUM(T340:W340)</f>
        <v>9</v>
      </c>
      <c r="Y340" s="28" t="n">
        <f aca="false">COUNT(T340:W340)</f>
        <v>4</v>
      </c>
      <c r="Z340" s="29" t="n">
        <f aca="false">R340*X340</f>
        <v>899.91</v>
      </c>
      <c r="AA340" s="30" t="n">
        <v>46171</v>
      </c>
    </row>
    <row r="341" customFormat="false" ht="15" hidden="false" customHeight="true" outlineLevel="0" collapsed="false">
      <c r="A341" s="4" t="s">
        <v>1450</v>
      </c>
      <c r="B341" s="4" t="s">
        <v>1451</v>
      </c>
      <c r="C341" s="4" t="s">
        <v>1235</v>
      </c>
      <c r="D341" s="4" t="s">
        <v>122</v>
      </c>
      <c r="E341" s="4" t="s">
        <v>123</v>
      </c>
      <c r="F341" s="4" t="s">
        <v>1236</v>
      </c>
      <c r="G341" s="4" t="s">
        <v>1237</v>
      </c>
      <c r="H341" s="4" t="s">
        <v>1238</v>
      </c>
      <c r="I341" s="4" t="s">
        <v>161</v>
      </c>
      <c r="J341" s="4" t="s">
        <v>235</v>
      </c>
      <c r="K341" s="4" t="s">
        <v>113</v>
      </c>
      <c r="L341" s="4" t="s">
        <v>273</v>
      </c>
      <c r="M341" s="24" t="s">
        <v>164</v>
      </c>
      <c r="N341" s="4" t="s">
        <v>116</v>
      </c>
      <c r="O341" s="4" t="s">
        <v>165</v>
      </c>
      <c r="P341" s="4" t="s">
        <v>118</v>
      </c>
      <c r="Q341" s="25" t="n">
        <v>124.99</v>
      </c>
      <c r="R341" s="25" t="n">
        <v>124.99</v>
      </c>
      <c r="S341" s="25" t="n">
        <v>64.34</v>
      </c>
      <c r="T341" s="26" t="n">
        <v>1</v>
      </c>
      <c r="U341" s="26" t="n">
        <v>1</v>
      </c>
      <c r="V341" s="26" t="n">
        <v>3</v>
      </c>
      <c r="W341" s="26" t="n">
        <v>0</v>
      </c>
      <c r="X341" s="27" t="n">
        <f aca="false">SUM(T341:W341)</f>
        <v>5</v>
      </c>
      <c r="Y341" s="28" t="n">
        <f aca="false">COUNT(T341:W341)</f>
        <v>4</v>
      </c>
      <c r="Z341" s="29" t="n">
        <f aca="false">R341*X341</f>
        <v>624.95</v>
      </c>
      <c r="AA341" s="30" t="n">
        <v>46032</v>
      </c>
    </row>
    <row r="342" customFormat="false" ht="15" hidden="false" customHeight="true" outlineLevel="0" collapsed="false">
      <c r="A342" s="4" t="s">
        <v>1452</v>
      </c>
      <c r="B342" s="4" t="s">
        <v>1453</v>
      </c>
      <c r="C342" s="4" t="s">
        <v>242</v>
      </c>
      <c r="D342" s="4" t="s">
        <v>135</v>
      </c>
      <c r="E342" s="4" t="s">
        <v>136</v>
      </c>
      <c r="F342" s="4" t="s">
        <v>243</v>
      </c>
      <c r="G342" s="4" t="s">
        <v>244</v>
      </c>
      <c r="H342" s="4" t="s">
        <v>245</v>
      </c>
      <c r="I342" s="4" t="s">
        <v>161</v>
      </c>
      <c r="J342" s="4" t="s">
        <v>246</v>
      </c>
      <c r="K342" s="4" t="s">
        <v>113</v>
      </c>
      <c r="L342" s="4" t="s">
        <v>247</v>
      </c>
      <c r="M342" s="24" t="s">
        <v>258</v>
      </c>
      <c r="N342" s="4" t="s">
        <v>116</v>
      </c>
      <c r="O342" s="4" t="s">
        <v>238</v>
      </c>
      <c r="P342" s="4" t="s">
        <v>239</v>
      </c>
      <c r="Q342" s="25" t="n">
        <v>149.99</v>
      </c>
      <c r="R342" s="25" t="n">
        <v>89.99</v>
      </c>
      <c r="S342" s="25" t="n">
        <v>74.84</v>
      </c>
      <c r="T342" s="26"/>
      <c r="U342" s="26" t="n">
        <v>5</v>
      </c>
      <c r="V342" s="26" t="n">
        <v>6</v>
      </c>
      <c r="W342" s="26"/>
      <c r="X342" s="27" t="n">
        <f aca="false">SUM(T342:W342)</f>
        <v>11</v>
      </c>
      <c r="Y342" s="28" t="n">
        <f aca="false">COUNT(T342:W342)</f>
        <v>2</v>
      </c>
      <c r="Z342" s="29" t="n">
        <f aca="false">R342*X342</f>
        <v>989.89</v>
      </c>
      <c r="AA342" s="30" t="n">
        <v>46141</v>
      </c>
    </row>
    <row r="343" customFormat="false" ht="15" hidden="false" customHeight="true" outlineLevel="0" collapsed="false">
      <c r="A343" s="4" t="s">
        <v>1454</v>
      </c>
      <c r="B343" s="4" t="s">
        <v>1455</v>
      </c>
      <c r="C343" s="4" t="s">
        <v>1103</v>
      </c>
      <c r="D343" s="4" t="s">
        <v>122</v>
      </c>
      <c r="E343" s="4" t="s">
        <v>285</v>
      </c>
      <c r="F343" s="4" t="s">
        <v>1104</v>
      </c>
      <c r="G343" s="4" t="s">
        <v>1105</v>
      </c>
      <c r="H343" s="4" t="s">
        <v>1106</v>
      </c>
      <c r="I343" s="4" t="s">
        <v>226</v>
      </c>
      <c r="J343" s="4" t="s">
        <v>265</v>
      </c>
      <c r="K343" s="4" t="s">
        <v>113</v>
      </c>
      <c r="L343" s="4" t="s">
        <v>1107</v>
      </c>
      <c r="M343" s="24" t="s">
        <v>164</v>
      </c>
      <c r="N343" s="4" t="s">
        <v>116</v>
      </c>
      <c r="O343" s="4" t="s">
        <v>165</v>
      </c>
      <c r="P343" s="4" t="s">
        <v>118</v>
      </c>
      <c r="Q343" s="25" t="n">
        <v>119.99</v>
      </c>
      <c r="R343" s="25" t="n">
        <v>119.99</v>
      </c>
      <c r="S343" s="25" t="n">
        <v>66.9</v>
      </c>
      <c r="T343" s="26" t="n">
        <v>4</v>
      </c>
      <c r="U343" s="26" t="n">
        <v>1</v>
      </c>
      <c r="V343" s="26" t="n">
        <v>3</v>
      </c>
      <c r="W343" s="26"/>
      <c r="X343" s="27" t="n">
        <f aca="false">SUM(T343:W343)</f>
        <v>8</v>
      </c>
      <c r="Y343" s="28" t="n">
        <f aca="false">COUNT(T343:W343)</f>
        <v>3</v>
      </c>
      <c r="Z343" s="29" t="n">
        <f aca="false">R343*X343</f>
        <v>959.92</v>
      </c>
      <c r="AA343" s="30" t="n">
        <v>46126</v>
      </c>
    </row>
    <row r="344" customFormat="false" ht="15" hidden="false" customHeight="true" outlineLevel="0" collapsed="false">
      <c r="A344" s="4" t="s">
        <v>1456</v>
      </c>
      <c r="B344" s="4" t="s">
        <v>1457</v>
      </c>
      <c r="C344" s="4" t="s">
        <v>453</v>
      </c>
      <c r="D344" s="4" t="s">
        <v>251</v>
      </c>
      <c r="E344" s="4" t="s">
        <v>252</v>
      </c>
      <c r="F344" s="4" t="s">
        <v>454</v>
      </c>
      <c r="G344" s="4" t="s">
        <v>455</v>
      </c>
      <c r="H344" s="4" t="s">
        <v>456</v>
      </c>
      <c r="I344" s="4" t="s">
        <v>161</v>
      </c>
      <c r="J344" s="4" t="s">
        <v>235</v>
      </c>
      <c r="K344" s="4" t="s">
        <v>199</v>
      </c>
      <c r="L344" s="4" t="s">
        <v>457</v>
      </c>
      <c r="M344" s="24" t="s">
        <v>201</v>
      </c>
      <c r="N344" s="4" t="s">
        <v>153</v>
      </c>
      <c r="O344" s="4" t="s">
        <v>380</v>
      </c>
      <c r="P344" s="4" t="s">
        <v>239</v>
      </c>
      <c r="Q344" s="25" t="n">
        <v>44.99</v>
      </c>
      <c r="R344" s="25" t="n">
        <v>33.99</v>
      </c>
      <c r="S344" s="25" t="n">
        <v>24.11</v>
      </c>
      <c r="T344" s="26"/>
      <c r="U344" s="26"/>
      <c r="V344" s="26" t="n">
        <v>2</v>
      </c>
      <c r="W344" s="26"/>
      <c r="X344" s="27" t="n">
        <f aca="false">SUM(T344:W344)</f>
        <v>2</v>
      </c>
      <c r="Y344" s="28" t="n">
        <f aca="false">COUNT(T344:W344)</f>
        <v>1</v>
      </c>
      <c r="Z344" s="29" t="n">
        <f aca="false">R344*X344</f>
        <v>67.98</v>
      </c>
      <c r="AA344" s="30" t="n">
        <v>46071</v>
      </c>
    </row>
    <row r="345" customFormat="false" ht="15" hidden="false" customHeight="true" outlineLevel="0" collapsed="false">
      <c r="A345" s="4" t="s">
        <v>1458</v>
      </c>
      <c r="B345" s="4" t="s">
        <v>1459</v>
      </c>
      <c r="C345" s="4" t="s">
        <v>867</v>
      </c>
      <c r="D345" s="4" t="s">
        <v>122</v>
      </c>
      <c r="E345" s="4" t="s">
        <v>123</v>
      </c>
      <c r="F345" s="4" t="s">
        <v>868</v>
      </c>
      <c r="G345" s="4" t="s">
        <v>869</v>
      </c>
      <c r="H345" s="4" t="s">
        <v>870</v>
      </c>
      <c r="I345" s="4" t="s">
        <v>771</v>
      </c>
      <c r="J345" s="4" t="s">
        <v>772</v>
      </c>
      <c r="K345" s="4" t="s">
        <v>113</v>
      </c>
      <c r="L345" s="4" t="s">
        <v>871</v>
      </c>
      <c r="M345" s="24" t="s">
        <v>177</v>
      </c>
      <c r="N345" s="4" t="s">
        <v>116</v>
      </c>
      <c r="O345" s="4" t="s">
        <v>380</v>
      </c>
      <c r="P345" s="4" t="s">
        <v>118</v>
      </c>
      <c r="Q345" s="25" t="n">
        <v>129.99</v>
      </c>
      <c r="R345" s="25" t="n">
        <v>129.99</v>
      </c>
      <c r="S345" s="25" t="n">
        <v>63.59</v>
      </c>
      <c r="T345" s="26" t="n">
        <v>1</v>
      </c>
      <c r="U345" s="26"/>
      <c r="V345" s="26" t="n">
        <v>3</v>
      </c>
      <c r="W345" s="26"/>
      <c r="X345" s="27" t="n">
        <f aca="false">SUM(T345:W345)</f>
        <v>4</v>
      </c>
      <c r="Y345" s="28" t="n">
        <f aca="false">COUNT(T345:W345)</f>
        <v>2</v>
      </c>
      <c r="Z345" s="29" t="n">
        <f aca="false">R345*X345</f>
        <v>519.96</v>
      </c>
      <c r="AA345" s="30" t="n">
        <v>46091</v>
      </c>
    </row>
    <row r="346" customFormat="false" ht="15" hidden="false" customHeight="true" outlineLevel="0" collapsed="false">
      <c r="A346" s="4" t="s">
        <v>1460</v>
      </c>
      <c r="B346" s="4" t="s">
        <v>1461</v>
      </c>
      <c r="C346" s="4" t="s">
        <v>803</v>
      </c>
      <c r="D346" s="4" t="s">
        <v>193</v>
      </c>
      <c r="E346" s="4" t="s">
        <v>194</v>
      </c>
      <c r="F346" s="4" t="s">
        <v>804</v>
      </c>
      <c r="G346" s="4" t="s">
        <v>805</v>
      </c>
      <c r="H346" s="4" t="s">
        <v>806</v>
      </c>
      <c r="I346" s="4" t="s">
        <v>111</v>
      </c>
      <c r="J346" s="4" t="s">
        <v>198</v>
      </c>
      <c r="K346" s="4" t="s">
        <v>209</v>
      </c>
      <c r="L346" s="4" t="s">
        <v>807</v>
      </c>
      <c r="M346" s="24" t="s">
        <v>164</v>
      </c>
      <c r="N346" s="4" t="s">
        <v>153</v>
      </c>
      <c r="O346" s="4" t="s">
        <v>117</v>
      </c>
      <c r="P346" s="4" t="s">
        <v>202</v>
      </c>
      <c r="Q346" s="25" t="n">
        <v>64.99</v>
      </c>
      <c r="R346" s="25" t="n">
        <v>64.99</v>
      </c>
      <c r="S346" s="25" t="n">
        <v>34</v>
      </c>
      <c r="T346" s="26" t="n">
        <v>3</v>
      </c>
      <c r="U346" s="26" t="n">
        <v>0</v>
      </c>
      <c r="V346" s="26" t="n">
        <v>2</v>
      </c>
      <c r="W346" s="26"/>
      <c r="X346" s="27" t="n">
        <f aca="false">SUM(T346:W346)</f>
        <v>5</v>
      </c>
      <c r="Y346" s="28" t="n">
        <f aca="false">COUNT(T346:W346)</f>
        <v>3</v>
      </c>
      <c r="Z346" s="29" t="n">
        <f aca="false">R346*X346</f>
        <v>324.95</v>
      </c>
      <c r="AA346" s="30" t="n">
        <v>46207</v>
      </c>
    </row>
    <row r="347" customFormat="false" ht="15" hidden="false" customHeight="true" outlineLevel="0" collapsed="false">
      <c r="A347" s="4" t="s">
        <v>1462</v>
      </c>
      <c r="B347" s="4" t="s">
        <v>1463</v>
      </c>
      <c r="C347" s="4" t="s">
        <v>1103</v>
      </c>
      <c r="D347" s="4" t="s">
        <v>122</v>
      </c>
      <c r="E347" s="4" t="s">
        <v>285</v>
      </c>
      <c r="F347" s="4" t="s">
        <v>1104</v>
      </c>
      <c r="G347" s="4" t="s">
        <v>1105</v>
      </c>
      <c r="H347" s="4" t="s">
        <v>1106</v>
      </c>
      <c r="I347" s="4" t="s">
        <v>226</v>
      </c>
      <c r="J347" s="4" t="s">
        <v>265</v>
      </c>
      <c r="K347" s="4" t="s">
        <v>113</v>
      </c>
      <c r="L347" s="4" t="s">
        <v>1107</v>
      </c>
      <c r="M347" s="24" t="s">
        <v>177</v>
      </c>
      <c r="N347" s="4" t="s">
        <v>116</v>
      </c>
      <c r="O347" s="4" t="s">
        <v>165</v>
      </c>
      <c r="P347" s="4" t="s">
        <v>118</v>
      </c>
      <c r="Q347" s="25" t="n">
        <v>119.99</v>
      </c>
      <c r="R347" s="25" t="n">
        <v>119.99</v>
      </c>
      <c r="S347" s="25" t="n">
        <v>66.9</v>
      </c>
      <c r="T347" s="26" t="n">
        <v>2</v>
      </c>
      <c r="U347" s="26" t="n">
        <v>1</v>
      </c>
      <c r="V347" s="26" t="n">
        <v>3</v>
      </c>
      <c r="W347" s="26"/>
      <c r="X347" s="27" t="n">
        <f aca="false">SUM(T347:W347)</f>
        <v>6</v>
      </c>
      <c r="Y347" s="28" t="n">
        <f aca="false">COUNT(T347:W347)</f>
        <v>3</v>
      </c>
      <c r="Z347" s="29" t="n">
        <f aca="false">R347*X347</f>
        <v>719.94</v>
      </c>
      <c r="AA347" s="30" t="n">
        <v>46194</v>
      </c>
    </row>
    <row r="348" customFormat="false" ht="15" hidden="false" customHeight="true" outlineLevel="0" collapsed="false">
      <c r="A348" s="4" t="s">
        <v>1464</v>
      </c>
      <c r="B348" s="4" t="s">
        <v>1465</v>
      </c>
      <c r="C348" s="4" t="s">
        <v>1021</v>
      </c>
      <c r="D348" s="4" t="s">
        <v>106</v>
      </c>
      <c r="E348" s="4" t="s">
        <v>157</v>
      </c>
      <c r="F348" s="4" t="s">
        <v>1022</v>
      </c>
      <c r="G348" s="4" t="s">
        <v>1023</v>
      </c>
      <c r="H348" s="4" t="s">
        <v>1024</v>
      </c>
      <c r="I348" s="4" t="s">
        <v>161</v>
      </c>
      <c r="J348" s="4" t="s">
        <v>235</v>
      </c>
      <c r="K348" s="4" t="s">
        <v>187</v>
      </c>
      <c r="L348" s="4" t="s">
        <v>379</v>
      </c>
      <c r="M348" s="24" t="s">
        <v>338</v>
      </c>
      <c r="N348" s="4" t="s">
        <v>189</v>
      </c>
      <c r="O348" s="4" t="s">
        <v>238</v>
      </c>
      <c r="P348" s="4" t="s">
        <v>118</v>
      </c>
      <c r="Q348" s="25" t="n">
        <v>99.99</v>
      </c>
      <c r="R348" s="25" t="n">
        <v>99.99</v>
      </c>
      <c r="S348" s="25" t="n">
        <v>50.01</v>
      </c>
      <c r="T348" s="26" t="n">
        <v>4</v>
      </c>
      <c r="U348" s="26" t="n">
        <v>4</v>
      </c>
      <c r="V348" s="26" t="n">
        <v>5</v>
      </c>
      <c r="W348" s="26"/>
      <c r="X348" s="27" t="n">
        <f aca="false">SUM(T348:W348)</f>
        <v>13</v>
      </c>
      <c r="Y348" s="28" t="n">
        <f aca="false">COUNT(T348:W348)</f>
        <v>3</v>
      </c>
      <c r="Z348" s="29" t="n">
        <f aca="false">R348*X348</f>
        <v>1299.87</v>
      </c>
      <c r="AA348" s="30" t="n">
        <v>46042</v>
      </c>
    </row>
    <row r="349" customFormat="false" ht="15" hidden="false" customHeight="true" outlineLevel="0" collapsed="false">
      <c r="A349" s="4" t="s">
        <v>1466</v>
      </c>
      <c r="B349" s="4" t="s">
        <v>1467</v>
      </c>
      <c r="C349" s="4" t="s">
        <v>786</v>
      </c>
      <c r="D349" s="4" t="s">
        <v>145</v>
      </c>
      <c r="E349" s="4" t="s">
        <v>146</v>
      </c>
      <c r="F349" s="4" t="s">
        <v>787</v>
      </c>
      <c r="G349" s="4" t="s">
        <v>788</v>
      </c>
      <c r="H349" s="4" t="s">
        <v>789</v>
      </c>
      <c r="I349" s="4" t="s">
        <v>226</v>
      </c>
      <c r="J349" s="4" t="s">
        <v>790</v>
      </c>
      <c r="K349" s="4" t="s">
        <v>150</v>
      </c>
      <c r="L349" s="4" t="s">
        <v>348</v>
      </c>
      <c r="M349" s="24" t="s">
        <v>915</v>
      </c>
      <c r="N349" s="4" t="s">
        <v>153</v>
      </c>
      <c r="O349" s="4" t="s">
        <v>238</v>
      </c>
      <c r="P349" s="4" t="s">
        <v>118</v>
      </c>
      <c r="Q349" s="25" t="n">
        <v>74.99</v>
      </c>
      <c r="R349" s="25" t="n">
        <v>74.99</v>
      </c>
      <c r="S349" s="25" t="n">
        <v>40.94</v>
      </c>
      <c r="T349" s="26" t="n">
        <v>6</v>
      </c>
      <c r="U349" s="26" t="n">
        <v>1</v>
      </c>
      <c r="V349" s="26" t="n">
        <v>3</v>
      </c>
      <c r="W349" s="26"/>
      <c r="X349" s="27" t="n">
        <f aca="false">SUM(T349:W349)</f>
        <v>10</v>
      </c>
      <c r="Y349" s="28" t="n">
        <f aca="false">COUNT(T349:W349)</f>
        <v>3</v>
      </c>
      <c r="Z349" s="29" t="n">
        <f aca="false">R349*X349</f>
        <v>749.9</v>
      </c>
      <c r="AA349" s="30" t="n">
        <v>46127</v>
      </c>
    </row>
    <row r="350" customFormat="false" ht="15" hidden="false" customHeight="true" outlineLevel="0" collapsed="false">
      <c r="A350" s="4" t="s">
        <v>1468</v>
      </c>
      <c r="B350" s="4" t="s">
        <v>1469</v>
      </c>
      <c r="C350" s="4" t="s">
        <v>180</v>
      </c>
      <c r="D350" s="4" t="s">
        <v>181</v>
      </c>
      <c r="E350" s="4" t="s">
        <v>182</v>
      </c>
      <c r="F350" s="4" t="s">
        <v>183</v>
      </c>
      <c r="G350" s="4" t="s">
        <v>184</v>
      </c>
      <c r="H350" s="4" t="s">
        <v>185</v>
      </c>
      <c r="I350" s="4" t="s">
        <v>161</v>
      </c>
      <c r="J350" s="4" t="s">
        <v>186</v>
      </c>
      <c r="K350" s="4" t="s">
        <v>187</v>
      </c>
      <c r="L350" s="4" t="s">
        <v>176</v>
      </c>
      <c r="M350" s="24" t="s">
        <v>177</v>
      </c>
      <c r="N350" s="4" t="s">
        <v>189</v>
      </c>
      <c r="O350" s="4" t="s">
        <v>131</v>
      </c>
      <c r="P350" s="4" t="s">
        <v>118</v>
      </c>
      <c r="Q350" s="25" t="n">
        <v>89.99</v>
      </c>
      <c r="R350" s="25" t="n">
        <v>89.99</v>
      </c>
      <c r="S350" s="25" t="n">
        <v>45.49</v>
      </c>
      <c r="T350" s="26" t="n">
        <v>0</v>
      </c>
      <c r="U350" s="26" t="n">
        <v>0</v>
      </c>
      <c r="V350" s="26" t="n">
        <v>1</v>
      </c>
      <c r="W350" s="26"/>
      <c r="X350" s="27" t="n">
        <f aca="false">SUM(T350:W350)</f>
        <v>1</v>
      </c>
      <c r="Y350" s="28" t="n">
        <f aca="false">COUNT(T350:W350)</f>
        <v>3</v>
      </c>
      <c r="Z350" s="29" t="n">
        <f aca="false">R350*X350</f>
        <v>89.99</v>
      </c>
      <c r="AA350" s="30" t="n">
        <v>46219</v>
      </c>
    </row>
    <row r="351" customFormat="false" ht="15" hidden="false" customHeight="true" outlineLevel="0" collapsed="false">
      <c r="A351" s="4" t="s">
        <v>1470</v>
      </c>
      <c r="B351" s="4" t="s">
        <v>1471</v>
      </c>
      <c r="C351" s="4" t="s">
        <v>582</v>
      </c>
      <c r="D351" s="4" t="s">
        <v>583</v>
      </c>
      <c r="E351" s="4" t="s">
        <v>584</v>
      </c>
      <c r="F351" s="4" t="s">
        <v>585</v>
      </c>
      <c r="G351" s="4" t="s">
        <v>586</v>
      </c>
      <c r="H351" s="4" t="s">
        <v>587</v>
      </c>
      <c r="I351" s="4" t="s">
        <v>127</v>
      </c>
      <c r="J351" s="4" t="s">
        <v>306</v>
      </c>
      <c r="K351" s="4" t="s">
        <v>113</v>
      </c>
      <c r="L351" s="4" t="s">
        <v>588</v>
      </c>
      <c r="M351" s="24" t="s">
        <v>258</v>
      </c>
      <c r="N351" s="4" t="s">
        <v>116</v>
      </c>
      <c r="O351" s="4" t="s">
        <v>380</v>
      </c>
      <c r="P351" s="4" t="s">
        <v>239</v>
      </c>
      <c r="Q351" s="25" t="n">
        <v>169.99</v>
      </c>
      <c r="R351" s="25" t="n">
        <v>101.99</v>
      </c>
      <c r="S351" s="25" t="n">
        <v>84.77</v>
      </c>
      <c r="T351" s="26"/>
      <c r="U351" s="26"/>
      <c r="V351" s="26" t="n">
        <v>3</v>
      </c>
      <c r="W351" s="26"/>
      <c r="X351" s="27" t="n">
        <f aca="false">SUM(T351:W351)</f>
        <v>3</v>
      </c>
      <c r="Y351" s="28" t="n">
        <f aca="false">COUNT(T351:W351)</f>
        <v>1</v>
      </c>
      <c r="Z351" s="29" t="n">
        <f aca="false">R351*X351</f>
        <v>305.97</v>
      </c>
      <c r="AA351" s="30" t="n">
        <v>46034</v>
      </c>
    </row>
    <row r="352" customFormat="false" ht="15" hidden="false" customHeight="true" outlineLevel="0" collapsed="false">
      <c r="A352" s="4" t="s">
        <v>1472</v>
      </c>
      <c r="B352" s="4" t="s">
        <v>1473</v>
      </c>
      <c r="C352" s="4" t="s">
        <v>744</v>
      </c>
      <c r="D352" s="4" t="s">
        <v>106</v>
      </c>
      <c r="E352" s="4" t="s">
        <v>157</v>
      </c>
      <c r="F352" s="4" t="s">
        <v>745</v>
      </c>
      <c r="G352" s="4" t="s">
        <v>746</v>
      </c>
      <c r="H352" s="4" t="s">
        <v>747</v>
      </c>
      <c r="I352" s="4" t="s">
        <v>161</v>
      </c>
      <c r="J352" s="4" t="s">
        <v>235</v>
      </c>
      <c r="K352" s="4" t="s">
        <v>150</v>
      </c>
      <c r="L352" s="4" t="s">
        <v>748</v>
      </c>
      <c r="M352" s="24" t="s">
        <v>237</v>
      </c>
      <c r="N352" s="4" t="s">
        <v>153</v>
      </c>
      <c r="O352" s="4" t="s">
        <v>117</v>
      </c>
      <c r="P352" s="4" t="s">
        <v>118</v>
      </c>
      <c r="Q352" s="25" t="n">
        <v>74.99</v>
      </c>
      <c r="R352" s="25" t="n">
        <v>74.99</v>
      </c>
      <c r="S352" s="25" t="n">
        <v>39.21</v>
      </c>
      <c r="T352" s="26" t="n">
        <v>2</v>
      </c>
      <c r="U352" s="26" t="n">
        <v>2</v>
      </c>
      <c r="V352" s="26" t="n">
        <v>1</v>
      </c>
      <c r="W352" s="26" t="n">
        <v>2</v>
      </c>
      <c r="X352" s="27" t="n">
        <f aca="false">SUM(T352:W352)</f>
        <v>7</v>
      </c>
      <c r="Y352" s="28" t="n">
        <f aca="false">COUNT(T352:W352)</f>
        <v>4</v>
      </c>
      <c r="Z352" s="29" t="n">
        <f aca="false">R352*X352</f>
        <v>524.93</v>
      </c>
      <c r="AA352" s="30" t="n">
        <v>46159</v>
      </c>
    </row>
    <row r="353" customFormat="false" ht="15" hidden="false" customHeight="true" outlineLevel="0" collapsed="false">
      <c r="A353" s="4" t="s">
        <v>1474</v>
      </c>
      <c r="B353" s="4" t="s">
        <v>1475</v>
      </c>
      <c r="C353" s="4" t="s">
        <v>105</v>
      </c>
      <c r="D353" s="4" t="s">
        <v>106</v>
      </c>
      <c r="E353" s="4" t="s">
        <v>107</v>
      </c>
      <c r="F353" s="4" t="s">
        <v>108</v>
      </c>
      <c r="G353" s="4" t="s">
        <v>109</v>
      </c>
      <c r="H353" s="4" t="s">
        <v>110</v>
      </c>
      <c r="I353" s="4" t="s">
        <v>111</v>
      </c>
      <c r="J353" s="4" t="s">
        <v>112</v>
      </c>
      <c r="K353" s="4" t="s">
        <v>113</v>
      </c>
      <c r="L353" s="4" t="s">
        <v>114</v>
      </c>
      <c r="M353" s="24" t="s">
        <v>130</v>
      </c>
      <c r="N353" s="4" t="s">
        <v>116</v>
      </c>
      <c r="O353" s="4" t="s">
        <v>117</v>
      </c>
      <c r="P353" s="4" t="s">
        <v>118</v>
      </c>
      <c r="Q353" s="25" t="n">
        <v>34.99</v>
      </c>
      <c r="R353" s="25" t="n">
        <v>34.99</v>
      </c>
      <c r="S353" s="25" t="n">
        <v>19.22</v>
      </c>
      <c r="T353" s="26" t="n">
        <v>3</v>
      </c>
      <c r="U353" s="26" t="n">
        <v>2</v>
      </c>
      <c r="V353" s="26" t="n">
        <v>4</v>
      </c>
      <c r="W353" s="26"/>
      <c r="X353" s="27" t="n">
        <f aca="false">SUM(T353:W353)</f>
        <v>9</v>
      </c>
      <c r="Y353" s="28" t="n">
        <f aca="false">COUNT(T353:W353)</f>
        <v>3</v>
      </c>
      <c r="Z353" s="29" t="n">
        <f aca="false">R353*X353</f>
        <v>314.91</v>
      </c>
      <c r="AA353" s="30" t="n">
        <v>46072</v>
      </c>
    </row>
    <row r="354" customFormat="false" ht="15" hidden="false" customHeight="true" outlineLevel="0" collapsed="false">
      <c r="A354" s="4" t="s">
        <v>1476</v>
      </c>
      <c r="B354" s="4" t="s">
        <v>1477</v>
      </c>
      <c r="C354" s="4" t="s">
        <v>548</v>
      </c>
      <c r="D354" s="4" t="s">
        <v>427</v>
      </c>
      <c r="E354" s="4" t="s">
        <v>428</v>
      </c>
      <c r="F354" s="4" t="s">
        <v>549</v>
      </c>
      <c r="G354" s="4" t="s">
        <v>550</v>
      </c>
      <c r="H354" s="4" t="s">
        <v>551</v>
      </c>
      <c r="I354" s="4" t="s">
        <v>127</v>
      </c>
      <c r="J354" s="4" t="s">
        <v>298</v>
      </c>
      <c r="K354" s="4" t="s">
        <v>187</v>
      </c>
      <c r="L354" s="4" t="s">
        <v>552</v>
      </c>
      <c r="M354" s="24" t="s">
        <v>188</v>
      </c>
      <c r="N354" s="4" t="s">
        <v>189</v>
      </c>
      <c r="O354" s="4" t="s">
        <v>165</v>
      </c>
      <c r="P354" s="4" t="s">
        <v>118</v>
      </c>
      <c r="Q354" s="25" t="n">
        <v>79.99</v>
      </c>
      <c r="R354" s="25" t="n">
        <v>79.99</v>
      </c>
      <c r="S354" s="25" t="n">
        <v>41.06</v>
      </c>
      <c r="T354" s="26" t="n">
        <v>4</v>
      </c>
      <c r="U354" s="26" t="n">
        <v>3</v>
      </c>
      <c r="V354" s="26" t="n">
        <v>5</v>
      </c>
      <c r="W354" s="26"/>
      <c r="X354" s="27" t="n">
        <f aca="false">SUM(T354:W354)</f>
        <v>12</v>
      </c>
      <c r="Y354" s="28" t="n">
        <f aca="false">COUNT(T354:W354)</f>
        <v>3</v>
      </c>
      <c r="Z354" s="29" t="n">
        <f aca="false">R354*X354</f>
        <v>959.88</v>
      </c>
      <c r="AA354" s="30" t="n">
        <v>46095</v>
      </c>
    </row>
    <row r="355" customFormat="false" ht="15" hidden="false" customHeight="true" outlineLevel="0" collapsed="false">
      <c r="A355" s="4" t="s">
        <v>1478</v>
      </c>
      <c r="B355" s="4" t="s">
        <v>1479</v>
      </c>
      <c r="C355" s="4" t="s">
        <v>205</v>
      </c>
      <c r="D355" s="4" t="s">
        <v>181</v>
      </c>
      <c r="E355" s="4" t="s">
        <v>182</v>
      </c>
      <c r="F355" s="4" t="s">
        <v>206</v>
      </c>
      <c r="G355" s="4" t="s">
        <v>207</v>
      </c>
      <c r="H355" s="4" t="s">
        <v>208</v>
      </c>
      <c r="I355" s="4" t="s">
        <v>161</v>
      </c>
      <c r="J355" s="4" t="s">
        <v>186</v>
      </c>
      <c r="K355" s="4" t="s">
        <v>209</v>
      </c>
      <c r="L355" s="4" t="s">
        <v>210</v>
      </c>
      <c r="M355" s="24" t="s">
        <v>538</v>
      </c>
      <c r="N355" s="4" t="s">
        <v>153</v>
      </c>
      <c r="O355" s="4" t="s">
        <v>131</v>
      </c>
      <c r="P355" s="4" t="s">
        <v>118</v>
      </c>
      <c r="Q355" s="25" t="n">
        <v>69.99</v>
      </c>
      <c r="R355" s="25" t="n">
        <v>69.99</v>
      </c>
      <c r="S355" s="25" t="n">
        <v>37.84</v>
      </c>
      <c r="T355" s="26" t="n">
        <v>4</v>
      </c>
      <c r="U355" s="26" t="n">
        <v>4</v>
      </c>
      <c r="V355" s="26" t="n">
        <v>4</v>
      </c>
      <c r="W355" s="26" t="n">
        <v>0</v>
      </c>
      <c r="X355" s="27" t="n">
        <f aca="false">SUM(T355:W355)</f>
        <v>12</v>
      </c>
      <c r="Y355" s="28" t="n">
        <f aca="false">COUNT(T355:W355)</f>
        <v>4</v>
      </c>
      <c r="Z355" s="29" t="n">
        <f aca="false">R355*X355</f>
        <v>839.88</v>
      </c>
      <c r="AA355" s="30" t="n">
        <v>46030</v>
      </c>
    </row>
    <row r="356" customFormat="false" ht="15" hidden="false" customHeight="true" outlineLevel="0" collapsed="false">
      <c r="A356" s="4" t="s">
        <v>1480</v>
      </c>
      <c r="B356" s="4" t="s">
        <v>1481</v>
      </c>
      <c r="C356" s="4" t="s">
        <v>302</v>
      </c>
      <c r="D356" s="4" t="s">
        <v>122</v>
      </c>
      <c r="E356" s="4" t="s">
        <v>123</v>
      </c>
      <c r="F356" s="4" t="s">
        <v>303</v>
      </c>
      <c r="G356" s="4" t="s">
        <v>304</v>
      </c>
      <c r="H356" s="4" t="s">
        <v>305</v>
      </c>
      <c r="I356" s="4" t="s">
        <v>127</v>
      </c>
      <c r="J356" s="4" t="s">
        <v>306</v>
      </c>
      <c r="K356" s="4" t="s">
        <v>187</v>
      </c>
      <c r="L356" s="4" t="s">
        <v>307</v>
      </c>
      <c r="M356" s="24" t="s">
        <v>356</v>
      </c>
      <c r="N356" s="4" t="s">
        <v>189</v>
      </c>
      <c r="O356" s="4" t="s">
        <v>165</v>
      </c>
      <c r="P356" s="4" t="s">
        <v>118</v>
      </c>
      <c r="Q356" s="25" t="n">
        <v>164.99</v>
      </c>
      <c r="R356" s="25" t="n">
        <v>164.99</v>
      </c>
      <c r="S356" s="25" t="n">
        <v>89.57</v>
      </c>
      <c r="T356" s="26" t="n">
        <v>2</v>
      </c>
      <c r="U356" s="26" t="n">
        <v>1</v>
      </c>
      <c r="V356" s="26" t="n">
        <v>4</v>
      </c>
      <c r="W356" s="26" t="n">
        <v>5</v>
      </c>
      <c r="X356" s="27" t="n">
        <f aca="false">SUM(T356:W356)</f>
        <v>12</v>
      </c>
      <c r="Y356" s="28" t="n">
        <f aca="false">COUNT(T356:W356)</f>
        <v>4</v>
      </c>
      <c r="Z356" s="29" t="n">
        <f aca="false">R356*X356</f>
        <v>1979.88</v>
      </c>
      <c r="AA356" s="30" t="n">
        <v>46024</v>
      </c>
    </row>
    <row r="357" customFormat="false" ht="15" hidden="false" customHeight="true" outlineLevel="0" collapsed="false">
      <c r="A357" s="4" t="s">
        <v>1482</v>
      </c>
      <c r="B357" s="4" t="s">
        <v>1483</v>
      </c>
      <c r="C357" s="4" t="s">
        <v>861</v>
      </c>
      <c r="D357" s="4" t="s">
        <v>475</v>
      </c>
      <c r="E357" s="4" t="s">
        <v>476</v>
      </c>
      <c r="F357" s="4" t="s">
        <v>862</v>
      </c>
      <c r="G357" s="4" t="s">
        <v>863</v>
      </c>
      <c r="H357" s="4" t="s">
        <v>864</v>
      </c>
      <c r="I357" s="4" t="s">
        <v>161</v>
      </c>
      <c r="J357" s="4" t="s">
        <v>186</v>
      </c>
      <c r="K357" s="4" t="s">
        <v>209</v>
      </c>
      <c r="L357" s="4" t="s">
        <v>348</v>
      </c>
      <c r="M357" s="24" t="s">
        <v>211</v>
      </c>
      <c r="N357" s="4" t="s">
        <v>153</v>
      </c>
      <c r="O357" s="4" t="s">
        <v>131</v>
      </c>
      <c r="P357" s="4" t="s">
        <v>118</v>
      </c>
      <c r="Q357" s="25" t="n">
        <v>69.99</v>
      </c>
      <c r="R357" s="25" t="n">
        <v>69.99</v>
      </c>
      <c r="S357" s="25" t="n">
        <v>36.17</v>
      </c>
      <c r="T357" s="26" t="n">
        <v>2</v>
      </c>
      <c r="U357" s="26"/>
      <c r="V357" s="26" t="n">
        <v>2</v>
      </c>
      <c r="W357" s="26"/>
      <c r="X357" s="27" t="n">
        <f aca="false">SUM(T357:W357)</f>
        <v>4</v>
      </c>
      <c r="Y357" s="28" t="n">
        <f aca="false">COUNT(T357:W357)</f>
        <v>2</v>
      </c>
      <c r="Z357" s="29" t="n">
        <f aca="false">R357*X357</f>
        <v>279.96</v>
      </c>
      <c r="AA357" s="30" t="n">
        <v>46118</v>
      </c>
    </row>
    <row r="358" customFormat="false" ht="15" hidden="false" customHeight="true" outlineLevel="0" collapsed="false">
      <c r="A358" s="4" t="s">
        <v>1484</v>
      </c>
      <c r="B358" s="4" t="s">
        <v>1485</v>
      </c>
      <c r="C358" s="4" t="s">
        <v>662</v>
      </c>
      <c r="D358" s="4" t="s">
        <v>106</v>
      </c>
      <c r="E358" s="4" t="s">
        <v>157</v>
      </c>
      <c r="F358" s="4" t="s">
        <v>663</v>
      </c>
      <c r="G358" s="4" t="s">
        <v>664</v>
      </c>
      <c r="H358" s="4" t="s">
        <v>665</v>
      </c>
      <c r="I358" s="4" t="s">
        <v>161</v>
      </c>
      <c r="J358" s="4" t="s">
        <v>162</v>
      </c>
      <c r="K358" s="4" t="s">
        <v>187</v>
      </c>
      <c r="L358" s="4" t="s">
        <v>666</v>
      </c>
      <c r="M358" s="24" t="s">
        <v>338</v>
      </c>
      <c r="N358" s="4" t="s">
        <v>189</v>
      </c>
      <c r="O358" s="4" t="s">
        <v>380</v>
      </c>
      <c r="P358" s="4" t="s">
        <v>118</v>
      </c>
      <c r="Q358" s="25" t="n">
        <v>99.99</v>
      </c>
      <c r="R358" s="25" t="n">
        <v>99.99</v>
      </c>
      <c r="S358" s="25" t="n">
        <v>54.14</v>
      </c>
      <c r="T358" s="26" t="n">
        <v>0</v>
      </c>
      <c r="U358" s="26" t="n">
        <v>2</v>
      </c>
      <c r="V358" s="26" t="n">
        <v>3</v>
      </c>
      <c r="W358" s="26" t="n">
        <v>1</v>
      </c>
      <c r="X358" s="27" t="n">
        <f aca="false">SUM(T358:W358)</f>
        <v>6</v>
      </c>
      <c r="Y358" s="28" t="n">
        <f aca="false">COUNT(T358:W358)</f>
        <v>4</v>
      </c>
      <c r="Z358" s="29" t="n">
        <f aca="false">R358*X358</f>
        <v>599.94</v>
      </c>
      <c r="AA358" s="30" t="n">
        <v>46215</v>
      </c>
    </row>
    <row r="359" customFormat="false" ht="15" hidden="false" customHeight="true" outlineLevel="0" collapsed="false">
      <c r="A359" s="4" t="s">
        <v>1486</v>
      </c>
      <c r="B359" s="4" t="s">
        <v>1487</v>
      </c>
      <c r="C359" s="4" t="s">
        <v>1130</v>
      </c>
      <c r="D359" s="4" t="s">
        <v>122</v>
      </c>
      <c r="E359" s="4" t="s">
        <v>123</v>
      </c>
      <c r="F359" s="4" t="s">
        <v>1131</v>
      </c>
      <c r="G359" s="4" t="s">
        <v>1132</v>
      </c>
      <c r="H359" s="4" t="s">
        <v>1133</v>
      </c>
      <c r="I359" s="4" t="s">
        <v>226</v>
      </c>
      <c r="J359" s="4" t="s">
        <v>265</v>
      </c>
      <c r="K359" s="4" t="s">
        <v>113</v>
      </c>
      <c r="L359" s="4" t="s">
        <v>1134</v>
      </c>
      <c r="M359" s="24" t="s">
        <v>188</v>
      </c>
      <c r="N359" s="4" t="s">
        <v>116</v>
      </c>
      <c r="O359" s="4" t="s">
        <v>117</v>
      </c>
      <c r="P359" s="4" t="s">
        <v>202</v>
      </c>
      <c r="Q359" s="25" t="n">
        <v>129.99</v>
      </c>
      <c r="R359" s="25" t="n">
        <v>129.99</v>
      </c>
      <c r="S359" s="25" t="n">
        <v>72.02</v>
      </c>
      <c r="T359" s="26" t="n">
        <v>4</v>
      </c>
      <c r="U359" s="26" t="n">
        <v>0</v>
      </c>
      <c r="V359" s="26" t="n">
        <v>4</v>
      </c>
      <c r="W359" s="26" t="n">
        <v>0</v>
      </c>
      <c r="X359" s="27" t="n">
        <f aca="false">SUM(T359:W359)</f>
        <v>8</v>
      </c>
      <c r="Y359" s="28" t="n">
        <f aca="false">COUNT(T359:W359)</f>
        <v>4</v>
      </c>
      <c r="Z359" s="29" t="n">
        <f aca="false">R359*X359</f>
        <v>1039.92</v>
      </c>
      <c r="AA359" s="30" t="n">
        <v>46124</v>
      </c>
    </row>
    <row r="360" customFormat="false" ht="15" hidden="false" customHeight="true" outlineLevel="0" collapsed="false">
      <c r="A360" s="4" t="s">
        <v>1488</v>
      </c>
      <c r="B360" s="4" t="s">
        <v>1489</v>
      </c>
      <c r="C360" s="4" t="s">
        <v>642</v>
      </c>
      <c r="D360" s="4" t="s">
        <v>643</v>
      </c>
      <c r="E360" s="4" t="s">
        <v>644</v>
      </c>
      <c r="F360" s="4" t="s">
        <v>645</v>
      </c>
      <c r="G360" s="4" t="s">
        <v>646</v>
      </c>
      <c r="H360" s="4" t="s">
        <v>647</v>
      </c>
      <c r="I360" s="4" t="s">
        <v>127</v>
      </c>
      <c r="J360" s="4" t="s">
        <v>280</v>
      </c>
      <c r="K360" s="4" t="s">
        <v>187</v>
      </c>
      <c r="L360" s="4" t="s">
        <v>648</v>
      </c>
      <c r="M360" s="24" t="s">
        <v>177</v>
      </c>
      <c r="N360" s="4" t="s">
        <v>189</v>
      </c>
      <c r="O360" s="4" t="s">
        <v>117</v>
      </c>
      <c r="P360" s="4" t="s">
        <v>202</v>
      </c>
      <c r="Q360" s="25" t="n">
        <v>149.99</v>
      </c>
      <c r="R360" s="25" t="n">
        <v>149.99</v>
      </c>
      <c r="S360" s="25" t="n">
        <v>73.89</v>
      </c>
      <c r="T360" s="26"/>
      <c r="U360" s="26" t="n">
        <v>1</v>
      </c>
      <c r="V360" s="26" t="n">
        <v>8</v>
      </c>
      <c r="W360" s="26" t="n">
        <v>0</v>
      </c>
      <c r="X360" s="27" t="n">
        <f aca="false">SUM(T360:W360)</f>
        <v>9</v>
      </c>
      <c r="Y360" s="28" t="n">
        <f aca="false">COUNT(T360:W360)</f>
        <v>3</v>
      </c>
      <c r="Z360" s="29" t="n">
        <f aca="false">R360*X360</f>
        <v>1349.91</v>
      </c>
      <c r="AA360" s="30" t="n">
        <v>46170</v>
      </c>
    </row>
    <row r="361" customFormat="false" ht="15" hidden="false" customHeight="true" outlineLevel="0" collapsed="false">
      <c r="A361" s="4" t="s">
        <v>1490</v>
      </c>
      <c r="B361" s="4" t="s">
        <v>1491</v>
      </c>
      <c r="C361" s="4" t="s">
        <v>937</v>
      </c>
      <c r="D361" s="4" t="s">
        <v>122</v>
      </c>
      <c r="E361" s="4" t="s">
        <v>123</v>
      </c>
      <c r="F361" s="4" t="s">
        <v>938</v>
      </c>
      <c r="G361" s="4" t="s">
        <v>939</v>
      </c>
      <c r="H361" s="4" t="s">
        <v>940</v>
      </c>
      <c r="I361" s="4" t="s">
        <v>226</v>
      </c>
      <c r="J361" s="4" t="s">
        <v>790</v>
      </c>
      <c r="K361" s="4" t="s">
        <v>113</v>
      </c>
      <c r="L361" s="4" t="s">
        <v>941</v>
      </c>
      <c r="M361" s="24" t="s">
        <v>211</v>
      </c>
      <c r="N361" s="4" t="s">
        <v>116</v>
      </c>
      <c r="O361" s="4" t="s">
        <v>165</v>
      </c>
      <c r="P361" s="4" t="s">
        <v>239</v>
      </c>
      <c r="Q361" s="25" t="n">
        <v>109.99</v>
      </c>
      <c r="R361" s="25" t="n">
        <v>81.99</v>
      </c>
      <c r="S361" s="25" t="n">
        <v>52.89</v>
      </c>
      <c r="T361" s="26"/>
      <c r="U361" s="26" t="n">
        <v>3</v>
      </c>
      <c r="V361" s="26" t="n">
        <v>4</v>
      </c>
      <c r="W361" s="26"/>
      <c r="X361" s="27" t="n">
        <f aca="false">SUM(T361:W361)</f>
        <v>7</v>
      </c>
      <c r="Y361" s="28" t="n">
        <f aca="false">COUNT(T361:W361)</f>
        <v>2</v>
      </c>
      <c r="Z361" s="29" t="n">
        <f aca="false">R361*X361</f>
        <v>573.93</v>
      </c>
      <c r="AA361" s="30" t="n">
        <v>46058</v>
      </c>
    </row>
    <row r="362" customFormat="false" ht="15" hidden="false" customHeight="true" outlineLevel="0" collapsed="false">
      <c r="A362" s="4" t="s">
        <v>1492</v>
      </c>
      <c r="B362" s="4" t="s">
        <v>1493</v>
      </c>
      <c r="C362" s="4" t="s">
        <v>1208</v>
      </c>
      <c r="D362" s="4" t="s">
        <v>342</v>
      </c>
      <c r="E362" s="4" t="s">
        <v>343</v>
      </c>
      <c r="F362" s="4" t="s">
        <v>1209</v>
      </c>
      <c r="G362" s="4" t="s">
        <v>1210</v>
      </c>
      <c r="H362" s="4" t="s">
        <v>1211</v>
      </c>
      <c r="I362" s="4" t="s">
        <v>127</v>
      </c>
      <c r="J362" s="4" t="s">
        <v>817</v>
      </c>
      <c r="K362" s="4" t="s">
        <v>113</v>
      </c>
      <c r="L362" s="4" t="s">
        <v>1212</v>
      </c>
      <c r="M362" s="24" t="s">
        <v>164</v>
      </c>
      <c r="N362" s="4" t="s">
        <v>116</v>
      </c>
      <c r="O362" s="4" t="s">
        <v>165</v>
      </c>
      <c r="P362" s="4" t="s">
        <v>118</v>
      </c>
      <c r="Q362" s="25" t="n">
        <v>174.99</v>
      </c>
      <c r="R362" s="25" t="n">
        <v>174.99</v>
      </c>
      <c r="S362" s="25" t="n">
        <v>87.2</v>
      </c>
      <c r="T362" s="26" t="n">
        <v>1</v>
      </c>
      <c r="U362" s="26" t="n">
        <v>0</v>
      </c>
      <c r="V362" s="26" t="n">
        <v>4</v>
      </c>
      <c r="W362" s="26"/>
      <c r="X362" s="27" t="n">
        <f aca="false">SUM(T362:W362)</f>
        <v>5</v>
      </c>
      <c r="Y362" s="28" t="n">
        <f aca="false">COUNT(T362:W362)</f>
        <v>3</v>
      </c>
      <c r="Z362" s="29" t="n">
        <f aca="false">R362*X362</f>
        <v>874.95</v>
      </c>
      <c r="AA362" s="30" t="n">
        <v>46063</v>
      </c>
    </row>
    <row r="363" customFormat="false" ht="15" hidden="false" customHeight="true" outlineLevel="0" collapsed="false">
      <c r="A363" s="4" t="s">
        <v>1494</v>
      </c>
      <c r="B363" s="4" t="s">
        <v>1495</v>
      </c>
      <c r="C363" s="4" t="s">
        <v>404</v>
      </c>
      <c r="D363" s="4" t="s">
        <v>169</v>
      </c>
      <c r="E363" s="4" t="s">
        <v>170</v>
      </c>
      <c r="F363" s="4" t="s">
        <v>405</v>
      </c>
      <c r="G363" s="4" t="s">
        <v>406</v>
      </c>
      <c r="H363" s="4" t="s">
        <v>407</v>
      </c>
      <c r="I363" s="4" t="s">
        <v>127</v>
      </c>
      <c r="J363" s="4" t="s">
        <v>280</v>
      </c>
      <c r="K363" s="4" t="s">
        <v>113</v>
      </c>
      <c r="L363" s="4" t="s">
        <v>140</v>
      </c>
      <c r="M363" s="24" t="s">
        <v>188</v>
      </c>
      <c r="N363" s="4" t="s">
        <v>116</v>
      </c>
      <c r="O363" s="4" t="s">
        <v>131</v>
      </c>
      <c r="P363" s="4" t="s">
        <v>118</v>
      </c>
      <c r="Q363" s="25" t="n">
        <v>144.99</v>
      </c>
      <c r="R363" s="25" t="n">
        <v>144.99</v>
      </c>
      <c r="S363" s="25" t="n">
        <v>76.41</v>
      </c>
      <c r="T363" s="26" t="n">
        <v>0</v>
      </c>
      <c r="U363" s="26"/>
      <c r="V363" s="26" t="n">
        <v>3</v>
      </c>
      <c r="W363" s="26"/>
      <c r="X363" s="27" t="n">
        <f aca="false">SUM(T363:W363)</f>
        <v>3</v>
      </c>
      <c r="Y363" s="28" t="n">
        <f aca="false">COUNT(T363:W363)</f>
        <v>2</v>
      </c>
      <c r="Z363" s="29" t="n">
        <f aca="false">R363*X363</f>
        <v>434.97</v>
      </c>
      <c r="AA363" s="30" t="n">
        <v>46061</v>
      </c>
    </row>
    <row r="364" customFormat="false" ht="15" hidden="false" customHeight="true" outlineLevel="0" collapsed="false">
      <c r="A364" s="4" t="s">
        <v>1496</v>
      </c>
      <c r="B364" s="4" t="s">
        <v>1497</v>
      </c>
      <c r="C364" s="4" t="s">
        <v>261</v>
      </c>
      <c r="D364" s="4" t="s">
        <v>122</v>
      </c>
      <c r="E364" s="4" t="s">
        <v>123</v>
      </c>
      <c r="F364" s="4" t="s">
        <v>262</v>
      </c>
      <c r="G364" s="4" t="s">
        <v>263</v>
      </c>
      <c r="H364" s="4" t="s">
        <v>264</v>
      </c>
      <c r="I364" s="4" t="s">
        <v>226</v>
      </c>
      <c r="J364" s="4" t="s">
        <v>265</v>
      </c>
      <c r="K364" s="4" t="s">
        <v>150</v>
      </c>
      <c r="L364" s="4" t="s">
        <v>266</v>
      </c>
      <c r="M364" s="24" t="s">
        <v>152</v>
      </c>
      <c r="N364" s="4" t="s">
        <v>153</v>
      </c>
      <c r="O364" s="4" t="s">
        <v>165</v>
      </c>
      <c r="P364" s="4" t="s">
        <v>118</v>
      </c>
      <c r="Q364" s="25" t="n">
        <v>84.99</v>
      </c>
      <c r="R364" s="25" t="n">
        <v>84.99</v>
      </c>
      <c r="S364" s="25" t="n">
        <v>46.96</v>
      </c>
      <c r="T364" s="26" t="n">
        <v>2</v>
      </c>
      <c r="U364" s="26" t="n">
        <v>0</v>
      </c>
      <c r="V364" s="26"/>
      <c r="W364" s="26"/>
      <c r="X364" s="27" t="n">
        <f aca="false">SUM(T364:W364)</f>
        <v>2</v>
      </c>
      <c r="Y364" s="28" t="n">
        <f aca="false">COUNT(T364:W364)</f>
        <v>2</v>
      </c>
      <c r="Z364" s="29" t="n">
        <f aca="false">R364*X364</f>
        <v>169.98</v>
      </c>
      <c r="AA364" s="30" t="n">
        <v>46116</v>
      </c>
    </row>
    <row r="365" customFormat="false" ht="15" hidden="false" customHeight="true" outlineLevel="0" collapsed="false">
      <c r="A365" s="4" t="s">
        <v>1498</v>
      </c>
      <c r="B365" s="4" t="s">
        <v>1499</v>
      </c>
      <c r="C365" s="4" t="s">
        <v>320</v>
      </c>
      <c r="D365" s="4" t="s">
        <v>181</v>
      </c>
      <c r="E365" s="4" t="s">
        <v>321</v>
      </c>
      <c r="F365" s="4" t="s">
        <v>322</v>
      </c>
      <c r="G365" s="4" t="s">
        <v>323</v>
      </c>
      <c r="H365" s="4" t="s">
        <v>324</v>
      </c>
      <c r="I365" s="4" t="s">
        <v>161</v>
      </c>
      <c r="J365" s="4" t="s">
        <v>325</v>
      </c>
      <c r="K365" s="4" t="s">
        <v>113</v>
      </c>
      <c r="L365" s="4" t="s">
        <v>326</v>
      </c>
      <c r="M365" s="24" t="s">
        <v>177</v>
      </c>
      <c r="N365" s="4" t="s">
        <v>116</v>
      </c>
      <c r="O365" s="4" t="s">
        <v>131</v>
      </c>
      <c r="P365" s="4" t="s">
        <v>118</v>
      </c>
      <c r="Q365" s="25" t="n">
        <v>209.99</v>
      </c>
      <c r="R365" s="25" t="n">
        <v>209.99</v>
      </c>
      <c r="S365" s="25" t="n">
        <v>110.54</v>
      </c>
      <c r="T365" s="26" t="n">
        <v>4</v>
      </c>
      <c r="U365" s="26"/>
      <c r="V365" s="26" t="n">
        <v>8</v>
      </c>
      <c r="W365" s="26"/>
      <c r="X365" s="27" t="n">
        <f aca="false">SUM(T365:W365)</f>
        <v>12</v>
      </c>
      <c r="Y365" s="28" t="n">
        <f aca="false">COUNT(T365:W365)</f>
        <v>2</v>
      </c>
      <c r="Z365" s="29" t="n">
        <f aca="false">R365*X365</f>
        <v>2519.88</v>
      </c>
      <c r="AA365" s="30" t="n">
        <v>46201</v>
      </c>
    </row>
    <row r="366" customFormat="false" ht="15" hidden="false" customHeight="true" outlineLevel="0" collapsed="false">
      <c r="A366" s="4" t="s">
        <v>1500</v>
      </c>
      <c r="B366" s="4" t="s">
        <v>1501</v>
      </c>
      <c r="C366" s="4" t="s">
        <v>250</v>
      </c>
      <c r="D366" s="4" t="s">
        <v>251</v>
      </c>
      <c r="E366" s="4" t="s">
        <v>252</v>
      </c>
      <c r="F366" s="4" t="s">
        <v>253</v>
      </c>
      <c r="G366" s="4" t="s">
        <v>254</v>
      </c>
      <c r="H366" s="4" t="s">
        <v>255</v>
      </c>
      <c r="I366" s="4" t="s">
        <v>161</v>
      </c>
      <c r="J366" s="4" t="s">
        <v>256</v>
      </c>
      <c r="K366" s="4" t="s">
        <v>113</v>
      </c>
      <c r="L366" s="4" t="s">
        <v>257</v>
      </c>
      <c r="M366" s="24" t="s">
        <v>327</v>
      </c>
      <c r="N366" s="4" t="s">
        <v>116</v>
      </c>
      <c r="O366" s="4" t="s">
        <v>165</v>
      </c>
      <c r="P366" s="4" t="s">
        <v>118</v>
      </c>
      <c r="Q366" s="25" t="n">
        <v>119.99</v>
      </c>
      <c r="R366" s="25" t="n">
        <v>119.99</v>
      </c>
      <c r="S366" s="25" t="n">
        <v>66.31</v>
      </c>
      <c r="T366" s="26" t="n">
        <v>3</v>
      </c>
      <c r="U366" s="26" t="n">
        <v>0</v>
      </c>
      <c r="V366" s="26" t="n">
        <v>0</v>
      </c>
      <c r="W366" s="26"/>
      <c r="X366" s="27" t="n">
        <f aca="false">SUM(T366:W366)</f>
        <v>3</v>
      </c>
      <c r="Y366" s="28" t="n">
        <f aca="false">COUNT(T366:W366)</f>
        <v>3</v>
      </c>
      <c r="Z366" s="29" t="n">
        <f aca="false">R366*X366</f>
        <v>359.97</v>
      </c>
      <c r="AA366" s="30" t="n">
        <v>46079</v>
      </c>
    </row>
    <row r="367" customFormat="false" ht="15" hidden="false" customHeight="true" outlineLevel="0" collapsed="false">
      <c r="A367" s="4" t="s">
        <v>1502</v>
      </c>
      <c r="B367" s="4" t="s">
        <v>1503</v>
      </c>
      <c r="C367" s="4" t="s">
        <v>636</v>
      </c>
      <c r="D367" s="4" t="s">
        <v>122</v>
      </c>
      <c r="E367" s="4" t="s">
        <v>123</v>
      </c>
      <c r="F367" s="4" t="s">
        <v>598</v>
      </c>
      <c r="G367" s="4" t="s">
        <v>637</v>
      </c>
      <c r="H367" s="4" t="s">
        <v>638</v>
      </c>
      <c r="I367" s="4" t="s">
        <v>127</v>
      </c>
      <c r="J367" s="4" t="s">
        <v>280</v>
      </c>
      <c r="K367" s="4" t="s">
        <v>113</v>
      </c>
      <c r="L367" s="4" t="s">
        <v>639</v>
      </c>
      <c r="M367" s="24" t="s">
        <v>258</v>
      </c>
      <c r="N367" s="4" t="s">
        <v>116</v>
      </c>
      <c r="O367" s="4" t="s">
        <v>117</v>
      </c>
      <c r="P367" s="4" t="s">
        <v>118</v>
      </c>
      <c r="Q367" s="25" t="n">
        <v>139.99</v>
      </c>
      <c r="R367" s="25" t="n">
        <v>139.99</v>
      </c>
      <c r="S367" s="25" t="n">
        <v>75.33</v>
      </c>
      <c r="T367" s="26"/>
      <c r="U367" s="26"/>
      <c r="V367" s="26" t="n">
        <v>2</v>
      </c>
      <c r="W367" s="26" t="n">
        <v>2</v>
      </c>
      <c r="X367" s="27" t="n">
        <f aca="false">SUM(T367:W367)</f>
        <v>4</v>
      </c>
      <c r="Y367" s="28" t="n">
        <f aca="false">COUNT(T367:W367)</f>
        <v>2</v>
      </c>
      <c r="Z367" s="29" t="n">
        <f aca="false">R367*X367</f>
        <v>559.96</v>
      </c>
      <c r="AA367" s="30" t="n">
        <v>46208</v>
      </c>
    </row>
    <row r="368" customFormat="false" ht="15" hidden="false" customHeight="true" outlineLevel="0" collapsed="false">
      <c r="A368" s="4" t="s">
        <v>1504</v>
      </c>
      <c r="B368" s="4" t="s">
        <v>1505</v>
      </c>
      <c r="C368" s="4" t="s">
        <v>767</v>
      </c>
      <c r="D368" s="4" t="s">
        <v>374</v>
      </c>
      <c r="E368" s="4" t="s">
        <v>375</v>
      </c>
      <c r="F368" s="4" t="s">
        <v>768</v>
      </c>
      <c r="G368" s="4" t="s">
        <v>769</v>
      </c>
      <c r="H368" s="4" t="s">
        <v>770</v>
      </c>
      <c r="I368" s="4" t="s">
        <v>771</v>
      </c>
      <c r="J368" s="4" t="s">
        <v>772</v>
      </c>
      <c r="K368" s="4" t="s">
        <v>113</v>
      </c>
      <c r="L368" s="4" t="s">
        <v>773</v>
      </c>
      <c r="M368" s="24" t="s">
        <v>164</v>
      </c>
      <c r="N368" s="4" t="s">
        <v>116</v>
      </c>
      <c r="O368" s="4" t="s">
        <v>131</v>
      </c>
      <c r="P368" s="4" t="s">
        <v>118</v>
      </c>
      <c r="Q368" s="25" t="n">
        <v>149.99</v>
      </c>
      <c r="R368" s="25" t="n">
        <v>149.99</v>
      </c>
      <c r="S368" s="25" t="n">
        <v>72.27</v>
      </c>
      <c r="T368" s="26"/>
      <c r="U368" s="26"/>
      <c r="V368" s="26" t="n">
        <v>6</v>
      </c>
      <c r="W368" s="26"/>
      <c r="X368" s="27" t="n">
        <f aca="false">SUM(T368:W368)</f>
        <v>6</v>
      </c>
      <c r="Y368" s="28" t="n">
        <f aca="false">COUNT(T368:W368)</f>
        <v>1</v>
      </c>
      <c r="Z368" s="29" t="n">
        <f aca="false">R368*X368</f>
        <v>899.94</v>
      </c>
      <c r="AA368" s="30" t="n">
        <v>46127</v>
      </c>
    </row>
    <row r="369" customFormat="false" ht="15" hidden="false" customHeight="true" outlineLevel="0" collapsed="false">
      <c r="A369" s="4" t="s">
        <v>1506</v>
      </c>
      <c r="B369" s="4" t="s">
        <v>1507</v>
      </c>
      <c r="C369" s="4" t="s">
        <v>105</v>
      </c>
      <c r="D369" s="4" t="s">
        <v>106</v>
      </c>
      <c r="E369" s="4" t="s">
        <v>107</v>
      </c>
      <c r="F369" s="4" t="s">
        <v>108</v>
      </c>
      <c r="G369" s="4" t="s">
        <v>109</v>
      </c>
      <c r="H369" s="4" t="s">
        <v>110</v>
      </c>
      <c r="I369" s="4" t="s">
        <v>111</v>
      </c>
      <c r="J369" s="4" t="s">
        <v>112</v>
      </c>
      <c r="K369" s="4" t="s">
        <v>113</v>
      </c>
      <c r="L369" s="4" t="s">
        <v>114</v>
      </c>
      <c r="M369" s="24" t="s">
        <v>327</v>
      </c>
      <c r="N369" s="4" t="s">
        <v>116</v>
      </c>
      <c r="O369" s="4" t="s">
        <v>117</v>
      </c>
      <c r="P369" s="4" t="s">
        <v>118</v>
      </c>
      <c r="Q369" s="25" t="n">
        <v>34.99</v>
      </c>
      <c r="R369" s="25" t="n">
        <v>34.99</v>
      </c>
      <c r="S369" s="25" t="n">
        <v>19.22</v>
      </c>
      <c r="T369" s="26" t="n">
        <v>5</v>
      </c>
      <c r="U369" s="26" t="n">
        <v>3</v>
      </c>
      <c r="V369" s="26" t="n">
        <v>0</v>
      </c>
      <c r="W369" s="26"/>
      <c r="X369" s="27" t="n">
        <f aca="false">SUM(T369:W369)</f>
        <v>8</v>
      </c>
      <c r="Y369" s="28" t="n">
        <f aca="false">COUNT(T369:W369)</f>
        <v>3</v>
      </c>
      <c r="Z369" s="29" t="n">
        <f aca="false">R369*X369</f>
        <v>279.92</v>
      </c>
      <c r="AA369" s="30" t="n">
        <v>46105</v>
      </c>
    </row>
    <row r="370" customFormat="false" ht="15" hidden="false" customHeight="true" outlineLevel="0" collapsed="false">
      <c r="A370" s="4" t="s">
        <v>1508</v>
      </c>
      <c r="B370" s="4" t="s">
        <v>1509</v>
      </c>
      <c r="C370" s="4" t="s">
        <v>767</v>
      </c>
      <c r="D370" s="4" t="s">
        <v>374</v>
      </c>
      <c r="E370" s="4" t="s">
        <v>375</v>
      </c>
      <c r="F370" s="4" t="s">
        <v>768</v>
      </c>
      <c r="G370" s="4" t="s">
        <v>769</v>
      </c>
      <c r="H370" s="4" t="s">
        <v>770</v>
      </c>
      <c r="I370" s="4" t="s">
        <v>771</v>
      </c>
      <c r="J370" s="4" t="s">
        <v>772</v>
      </c>
      <c r="K370" s="4" t="s">
        <v>113</v>
      </c>
      <c r="L370" s="4" t="s">
        <v>773</v>
      </c>
      <c r="M370" s="24" t="s">
        <v>177</v>
      </c>
      <c r="N370" s="4" t="s">
        <v>116</v>
      </c>
      <c r="O370" s="4" t="s">
        <v>131</v>
      </c>
      <c r="P370" s="4" t="s">
        <v>118</v>
      </c>
      <c r="Q370" s="25" t="n">
        <v>149.99</v>
      </c>
      <c r="R370" s="25" t="n">
        <v>149.99</v>
      </c>
      <c r="S370" s="25" t="n">
        <v>72.27</v>
      </c>
      <c r="T370" s="26"/>
      <c r="U370" s="26"/>
      <c r="V370" s="26" t="n">
        <v>6</v>
      </c>
      <c r="W370" s="26"/>
      <c r="X370" s="27" t="n">
        <f aca="false">SUM(T370:W370)</f>
        <v>6</v>
      </c>
      <c r="Y370" s="28" t="n">
        <f aca="false">COUNT(T370:W370)</f>
        <v>1</v>
      </c>
      <c r="Z370" s="29" t="n">
        <f aca="false">R370*X370</f>
        <v>899.94</v>
      </c>
      <c r="AA370" s="30" t="n">
        <v>46163</v>
      </c>
    </row>
    <row r="371" customFormat="false" ht="15" hidden="false" customHeight="true" outlineLevel="0" collapsed="false">
      <c r="A371" s="4" t="s">
        <v>1510</v>
      </c>
      <c r="B371" s="4" t="s">
        <v>1511</v>
      </c>
      <c r="C371" s="4" t="s">
        <v>964</v>
      </c>
      <c r="D371" s="4" t="s">
        <v>106</v>
      </c>
      <c r="E371" s="4" t="s">
        <v>107</v>
      </c>
      <c r="F371" s="4" t="s">
        <v>965</v>
      </c>
      <c r="G371" s="4" t="s">
        <v>966</v>
      </c>
      <c r="H371" s="4" t="s">
        <v>967</v>
      </c>
      <c r="I371" s="4" t="s">
        <v>127</v>
      </c>
      <c r="J371" s="4" t="s">
        <v>128</v>
      </c>
      <c r="K371" s="4" t="s">
        <v>187</v>
      </c>
      <c r="L371" s="4" t="s">
        <v>968</v>
      </c>
      <c r="M371" s="24" t="s">
        <v>356</v>
      </c>
      <c r="N371" s="4" t="s">
        <v>189</v>
      </c>
      <c r="O371" s="4" t="s">
        <v>131</v>
      </c>
      <c r="P371" s="4" t="s">
        <v>118</v>
      </c>
      <c r="Q371" s="25" t="n">
        <v>64.99</v>
      </c>
      <c r="R371" s="25" t="n">
        <v>64.99</v>
      </c>
      <c r="S371" s="25" t="n">
        <v>34.29</v>
      </c>
      <c r="T371" s="26" t="n">
        <v>2</v>
      </c>
      <c r="U371" s="26"/>
      <c r="V371" s="26" t="n">
        <v>5</v>
      </c>
      <c r="W371" s="26" t="n">
        <v>1</v>
      </c>
      <c r="X371" s="27" t="n">
        <f aca="false">SUM(T371:W371)</f>
        <v>8</v>
      </c>
      <c r="Y371" s="28" t="n">
        <f aca="false">COUNT(T371:W371)</f>
        <v>3</v>
      </c>
      <c r="Z371" s="29" t="n">
        <f aca="false">R371*X371</f>
        <v>519.92</v>
      </c>
      <c r="AA371" s="30" t="n">
        <v>46222</v>
      </c>
    </row>
    <row r="372" customFormat="false" ht="15" hidden="false" customHeight="true" outlineLevel="0" collapsed="false">
      <c r="A372" s="4" t="s">
        <v>1512</v>
      </c>
      <c r="B372" s="4" t="s">
        <v>1513</v>
      </c>
      <c r="C372" s="4" t="s">
        <v>780</v>
      </c>
      <c r="D372" s="4" t="s">
        <v>342</v>
      </c>
      <c r="E372" s="4" t="s">
        <v>343</v>
      </c>
      <c r="F372" s="4" t="s">
        <v>344</v>
      </c>
      <c r="G372" s="4" t="s">
        <v>781</v>
      </c>
      <c r="H372" s="4" t="s">
        <v>782</v>
      </c>
      <c r="I372" s="4" t="s">
        <v>127</v>
      </c>
      <c r="J372" s="4" t="s">
        <v>347</v>
      </c>
      <c r="K372" s="4" t="s">
        <v>187</v>
      </c>
      <c r="L372" s="4" t="s">
        <v>783</v>
      </c>
      <c r="M372" s="24" t="s">
        <v>356</v>
      </c>
      <c r="N372" s="4" t="s">
        <v>189</v>
      </c>
      <c r="O372" s="4" t="s">
        <v>165</v>
      </c>
      <c r="P372" s="4" t="s">
        <v>118</v>
      </c>
      <c r="Q372" s="25" t="n">
        <v>154.99</v>
      </c>
      <c r="R372" s="25" t="n">
        <v>154.99</v>
      </c>
      <c r="S372" s="25" t="n">
        <v>74.81</v>
      </c>
      <c r="T372" s="26" t="n">
        <v>0</v>
      </c>
      <c r="U372" s="26" t="n">
        <v>0</v>
      </c>
      <c r="V372" s="26" t="n">
        <v>5</v>
      </c>
      <c r="W372" s="26" t="n">
        <v>3</v>
      </c>
      <c r="X372" s="27" t="n">
        <f aca="false">SUM(T372:W372)</f>
        <v>8</v>
      </c>
      <c r="Y372" s="28" t="n">
        <f aca="false">COUNT(T372:W372)</f>
        <v>4</v>
      </c>
      <c r="Z372" s="29" t="n">
        <f aca="false">R372*X372</f>
        <v>1239.92</v>
      </c>
      <c r="AA372" s="30" t="n">
        <v>46036</v>
      </c>
    </row>
    <row r="373" customFormat="false" ht="15" hidden="false" customHeight="true" outlineLevel="0" collapsed="false">
      <c r="A373" s="4" t="s">
        <v>1514</v>
      </c>
      <c r="B373" s="4" t="s">
        <v>1515</v>
      </c>
      <c r="C373" s="4" t="s">
        <v>618</v>
      </c>
      <c r="D373" s="4" t="s">
        <v>122</v>
      </c>
      <c r="E373" s="4" t="s">
        <v>285</v>
      </c>
      <c r="F373" s="4" t="s">
        <v>619</v>
      </c>
      <c r="G373" s="4" t="s">
        <v>620</v>
      </c>
      <c r="H373" s="4" t="s">
        <v>621</v>
      </c>
      <c r="I373" s="4" t="s">
        <v>161</v>
      </c>
      <c r="J373" s="4" t="s">
        <v>289</v>
      </c>
      <c r="K373" s="4" t="s">
        <v>150</v>
      </c>
      <c r="L373" s="4" t="s">
        <v>622</v>
      </c>
      <c r="M373" s="24" t="s">
        <v>363</v>
      </c>
      <c r="N373" s="4" t="s">
        <v>153</v>
      </c>
      <c r="O373" s="4" t="s">
        <v>165</v>
      </c>
      <c r="P373" s="4" t="s">
        <v>118</v>
      </c>
      <c r="Q373" s="25" t="n">
        <v>114.99</v>
      </c>
      <c r="R373" s="25" t="n">
        <v>114.99</v>
      </c>
      <c r="S373" s="25" t="n">
        <v>56.56</v>
      </c>
      <c r="T373" s="26"/>
      <c r="U373" s="26" t="n">
        <v>1</v>
      </c>
      <c r="V373" s="26" t="n">
        <v>0</v>
      </c>
      <c r="W373" s="26"/>
      <c r="X373" s="27" t="n">
        <f aca="false">SUM(T373:W373)</f>
        <v>1</v>
      </c>
      <c r="Y373" s="28" t="n">
        <f aca="false">COUNT(T373:W373)</f>
        <v>2</v>
      </c>
      <c r="Z373" s="29" t="n">
        <f aca="false">R373*X373</f>
        <v>114.99</v>
      </c>
      <c r="AA373" s="30" t="n">
        <v>46051</v>
      </c>
    </row>
    <row r="374" customFormat="false" ht="15" hidden="false" customHeight="true" outlineLevel="0" collapsed="false">
      <c r="A374" s="4" t="s">
        <v>1516</v>
      </c>
      <c r="B374" s="4" t="s">
        <v>1517</v>
      </c>
      <c r="C374" s="4" t="s">
        <v>320</v>
      </c>
      <c r="D374" s="4" t="s">
        <v>181</v>
      </c>
      <c r="E374" s="4" t="s">
        <v>321</v>
      </c>
      <c r="F374" s="4" t="s">
        <v>322</v>
      </c>
      <c r="G374" s="4" t="s">
        <v>323</v>
      </c>
      <c r="H374" s="4" t="s">
        <v>324</v>
      </c>
      <c r="I374" s="4" t="s">
        <v>161</v>
      </c>
      <c r="J374" s="4" t="s">
        <v>325</v>
      </c>
      <c r="K374" s="4" t="s">
        <v>113</v>
      </c>
      <c r="L374" s="4" t="s">
        <v>326</v>
      </c>
      <c r="M374" s="24" t="s">
        <v>164</v>
      </c>
      <c r="N374" s="4" t="s">
        <v>116</v>
      </c>
      <c r="O374" s="4" t="s">
        <v>131</v>
      </c>
      <c r="P374" s="4" t="s">
        <v>118</v>
      </c>
      <c r="Q374" s="25" t="n">
        <v>209.99</v>
      </c>
      <c r="R374" s="25" t="n">
        <v>209.99</v>
      </c>
      <c r="S374" s="25" t="n">
        <v>110.54</v>
      </c>
      <c r="T374" s="26" t="n">
        <v>0</v>
      </c>
      <c r="U374" s="26"/>
      <c r="V374" s="26" t="n">
        <v>5</v>
      </c>
      <c r="W374" s="26"/>
      <c r="X374" s="27" t="n">
        <f aca="false">SUM(T374:W374)</f>
        <v>5</v>
      </c>
      <c r="Y374" s="28" t="n">
        <f aca="false">COUNT(T374:W374)</f>
        <v>2</v>
      </c>
      <c r="Z374" s="29" t="n">
        <f aca="false">R374*X374</f>
        <v>1049.95</v>
      </c>
      <c r="AA374" s="30" t="n">
        <v>46224</v>
      </c>
    </row>
    <row r="375" customFormat="false" ht="15" hidden="false" customHeight="true" outlineLevel="0" collapsed="false">
      <c r="A375" s="4" t="s">
        <v>1518</v>
      </c>
      <c r="B375" s="4" t="s">
        <v>1519</v>
      </c>
      <c r="C375" s="4" t="s">
        <v>758</v>
      </c>
      <c r="D375" s="4" t="s">
        <v>251</v>
      </c>
      <c r="E375" s="4" t="s">
        <v>252</v>
      </c>
      <c r="F375" s="4" t="s">
        <v>759</v>
      </c>
      <c r="G375" s="4" t="s">
        <v>760</v>
      </c>
      <c r="H375" s="4" t="s">
        <v>761</v>
      </c>
      <c r="I375" s="4" t="s">
        <v>161</v>
      </c>
      <c r="J375" s="4" t="s">
        <v>762</v>
      </c>
      <c r="K375" s="4" t="s">
        <v>187</v>
      </c>
      <c r="L375" s="4" t="s">
        <v>348</v>
      </c>
      <c r="M375" s="24" t="s">
        <v>188</v>
      </c>
      <c r="N375" s="4" t="s">
        <v>189</v>
      </c>
      <c r="O375" s="4" t="s">
        <v>131</v>
      </c>
      <c r="P375" s="4" t="s">
        <v>118</v>
      </c>
      <c r="Q375" s="25" t="n">
        <v>99.99</v>
      </c>
      <c r="R375" s="25" t="n">
        <v>99.99</v>
      </c>
      <c r="S375" s="25" t="n">
        <v>53.97</v>
      </c>
      <c r="T375" s="26" t="n">
        <v>3</v>
      </c>
      <c r="U375" s="26"/>
      <c r="V375" s="26" t="n">
        <v>2</v>
      </c>
      <c r="W375" s="26"/>
      <c r="X375" s="27" t="n">
        <f aca="false">SUM(T375:W375)</f>
        <v>5</v>
      </c>
      <c r="Y375" s="28" t="n">
        <f aca="false">COUNT(T375:W375)</f>
        <v>2</v>
      </c>
      <c r="Z375" s="29" t="n">
        <f aca="false">R375*X375</f>
        <v>499.95</v>
      </c>
      <c r="AA375" s="30" t="n">
        <v>46176</v>
      </c>
    </row>
    <row r="376" customFormat="false" ht="15" hidden="false" customHeight="true" outlineLevel="0" collapsed="false">
      <c r="A376" s="4" t="s">
        <v>1520</v>
      </c>
      <c r="B376" s="4" t="s">
        <v>1521</v>
      </c>
      <c r="C376" s="4" t="s">
        <v>924</v>
      </c>
      <c r="D376" s="4" t="s">
        <v>643</v>
      </c>
      <c r="E376" s="4" t="s">
        <v>644</v>
      </c>
      <c r="F376" s="4" t="s">
        <v>925</v>
      </c>
      <c r="G376" s="4" t="s">
        <v>926</v>
      </c>
      <c r="H376" s="4" t="s">
        <v>927</v>
      </c>
      <c r="I376" s="4" t="s">
        <v>127</v>
      </c>
      <c r="J376" s="4" t="s">
        <v>347</v>
      </c>
      <c r="K376" s="4" t="s">
        <v>113</v>
      </c>
      <c r="L376" s="4" t="s">
        <v>928</v>
      </c>
      <c r="M376" s="24" t="s">
        <v>258</v>
      </c>
      <c r="N376" s="4" t="s">
        <v>116</v>
      </c>
      <c r="O376" s="4" t="s">
        <v>165</v>
      </c>
      <c r="P376" s="4" t="s">
        <v>118</v>
      </c>
      <c r="Q376" s="25" t="n">
        <v>169.99</v>
      </c>
      <c r="R376" s="25" t="n">
        <v>169.99</v>
      </c>
      <c r="S376" s="25" t="n">
        <v>89.36</v>
      </c>
      <c r="T376" s="26" t="n">
        <v>4</v>
      </c>
      <c r="U376" s="26"/>
      <c r="V376" s="26" t="n">
        <v>5</v>
      </c>
      <c r="W376" s="26"/>
      <c r="X376" s="27" t="n">
        <f aca="false">SUM(T376:W376)</f>
        <v>9</v>
      </c>
      <c r="Y376" s="28" t="n">
        <f aca="false">COUNT(T376:W376)</f>
        <v>2</v>
      </c>
      <c r="Z376" s="29" t="n">
        <f aca="false">R376*X376</f>
        <v>1529.91</v>
      </c>
      <c r="AA376" s="30" t="n">
        <v>46183</v>
      </c>
    </row>
    <row r="377" customFormat="false" ht="15" hidden="false" customHeight="true" outlineLevel="0" collapsed="false">
      <c r="A377" s="4" t="s">
        <v>1522</v>
      </c>
      <c r="B377" s="4" t="s">
        <v>1523</v>
      </c>
      <c r="C377" s="4" t="s">
        <v>1342</v>
      </c>
      <c r="D377" s="4" t="s">
        <v>145</v>
      </c>
      <c r="E377" s="4" t="s">
        <v>146</v>
      </c>
      <c r="F377" s="4" t="s">
        <v>1343</v>
      </c>
      <c r="G377" s="4" t="s">
        <v>1344</v>
      </c>
      <c r="H377" s="4" t="s">
        <v>1345</v>
      </c>
      <c r="I377" s="4" t="s">
        <v>127</v>
      </c>
      <c r="J377" s="4" t="s">
        <v>347</v>
      </c>
      <c r="K377" s="4" t="s">
        <v>113</v>
      </c>
      <c r="L377" s="4" t="s">
        <v>1346</v>
      </c>
      <c r="M377" s="24" t="s">
        <v>141</v>
      </c>
      <c r="N377" s="4" t="s">
        <v>116</v>
      </c>
      <c r="O377" s="4" t="s">
        <v>165</v>
      </c>
      <c r="P377" s="4" t="s">
        <v>118</v>
      </c>
      <c r="Q377" s="25" t="n">
        <v>159.99</v>
      </c>
      <c r="R377" s="25" t="n">
        <v>159.99</v>
      </c>
      <c r="S377" s="25" t="n">
        <v>85.81</v>
      </c>
      <c r="T377" s="26" t="n">
        <v>1</v>
      </c>
      <c r="U377" s="26"/>
      <c r="V377" s="26" t="n">
        <v>4</v>
      </c>
      <c r="W377" s="26" t="n">
        <v>2</v>
      </c>
      <c r="X377" s="27" t="n">
        <f aca="false">SUM(T377:W377)</f>
        <v>7</v>
      </c>
      <c r="Y377" s="28" t="n">
        <f aca="false">COUNT(T377:W377)</f>
        <v>3</v>
      </c>
      <c r="Z377" s="29" t="n">
        <f aca="false">R377*X377</f>
        <v>1119.93</v>
      </c>
      <c r="AA377" s="30" t="n">
        <v>46185</v>
      </c>
    </row>
    <row r="378" customFormat="false" ht="15" hidden="false" customHeight="true" outlineLevel="0" collapsed="false">
      <c r="A378" s="4" t="s">
        <v>1524</v>
      </c>
      <c r="B378" s="4" t="s">
        <v>1525</v>
      </c>
      <c r="C378" s="4" t="s">
        <v>758</v>
      </c>
      <c r="D378" s="4" t="s">
        <v>251</v>
      </c>
      <c r="E378" s="4" t="s">
        <v>252</v>
      </c>
      <c r="F378" s="4" t="s">
        <v>759</v>
      </c>
      <c r="G378" s="4" t="s">
        <v>760</v>
      </c>
      <c r="H378" s="4" t="s">
        <v>761</v>
      </c>
      <c r="I378" s="4" t="s">
        <v>161</v>
      </c>
      <c r="J378" s="4" t="s">
        <v>762</v>
      </c>
      <c r="K378" s="4" t="s">
        <v>187</v>
      </c>
      <c r="L378" s="4" t="s">
        <v>348</v>
      </c>
      <c r="M378" s="24" t="s">
        <v>338</v>
      </c>
      <c r="N378" s="4" t="s">
        <v>189</v>
      </c>
      <c r="O378" s="4" t="s">
        <v>131</v>
      </c>
      <c r="P378" s="4" t="s">
        <v>118</v>
      </c>
      <c r="Q378" s="25" t="n">
        <v>99.99</v>
      </c>
      <c r="R378" s="25" t="n">
        <v>99.99</v>
      </c>
      <c r="S378" s="25" t="n">
        <v>53.97</v>
      </c>
      <c r="T378" s="26" t="n">
        <v>5</v>
      </c>
      <c r="U378" s="26"/>
      <c r="V378" s="26" t="n">
        <v>3</v>
      </c>
      <c r="W378" s="26"/>
      <c r="X378" s="27" t="n">
        <f aca="false">SUM(T378:W378)</f>
        <v>8</v>
      </c>
      <c r="Y378" s="28" t="n">
        <f aca="false">COUNT(T378:W378)</f>
        <v>2</v>
      </c>
      <c r="Z378" s="29" t="n">
        <f aca="false">R378*X378</f>
        <v>799.92</v>
      </c>
      <c r="AA378" s="30" t="n">
        <v>46074</v>
      </c>
    </row>
    <row r="379" customFormat="false" ht="15" hidden="false" customHeight="true" outlineLevel="0" collapsed="false">
      <c r="A379" s="4" t="s">
        <v>1526</v>
      </c>
      <c r="B379" s="4" t="s">
        <v>1527</v>
      </c>
      <c r="C379" s="4" t="s">
        <v>1081</v>
      </c>
      <c r="D379" s="4" t="s">
        <v>181</v>
      </c>
      <c r="E379" s="4" t="s">
        <v>182</v>
      </c>
      <c r="F379" s="4" t="s">
        <v>1082</v>
      </c>
      <c r="G379" s="4" t="s">
        <v>1083</v>
      </c>
      <c r="H379" s="4" t="s">
        <v>1084</v>
      </c>
      <c r="I379" s="4" t="s">
        <v>161</v>
      </c>
      <c r="J379" s="4" t="s">
        <v>186</v>
      </c>
      <c r="K379" s="4" t="s">
        <v>209</v>
      </c>
      <c r="L379" s="4" t="s">
        <v>348</v>
      </c>
      <c r="M379" s="24" t="s">
        <v>356</v>
      </c>
      <c r="N379" s="4" t="s">
        <v>153</v>
      </c>
      <c r="O379" s="4" t="s">
        <v>131</v>
      </c>
      <c r="P379" s="4" t="s">
        <v>239</v>
      </c>
      <c r="Q379" s="25" t="n">
        <v>74.99</v>
      </c>
      <c r="R379" s="25" t="n">
        <v>55.99</v>
      </c>
      <c r="S379" s="25" t="n">
        <v>38.23</v>
      </c>
      <c r="T379" s="26"/>
      <c r="U379" s="26" t="n">
        <v>0</v>
      </c>
      <c r="V379" s="26" t="n">
        <v>5</v>
      </c>
      <c r="W379" s="26"/>
      <c r="X379" s="27" t="n">
        <f aca="false">SUM(T379:W379)</f>
        <v>5</v>
      </c>
      <c r="Y379" s="28" t="n">
        <f aca="false">COUNT(T379:W379)</f>
        <v>2</v>
      </c>
      <c r="Z379" s="29" t="n">
        <f aca="false">R379*X379</f>
        <v>279.95</v>
      </c>
      <c r="AA379" s="30" t="n">
        <v>46214</v>
      </c>
    </row>
    <row r="380" customFormat="false" ht="15" hidden="false" customHeight="true" outlineLevel="0" collapsed="false">
      <c r="A380" s="4" t="s">
        <v>1528</v>
      </c>
      <c r="B380" s="4" t="s">
        <v>1529</v>
      </c>
      <c r="C380" s="4" t="s">
        <v>671</v>
      </c>
      <c r="D380" s="4" t="s">
        <v>122</v>
      </c>
      <c r="E380" s="4" t="s">
        <v>123</v>
      </c>
      <c r="F380" s="4" t="s">
        <v>124</v>
      </c>
      <c r="G380" s="4" t="s">
        <v>672</v>
      </c>
      <c r="H380" s="4" t="s">
        <v>673</v>
      </c>
      <c r="I380" s="4" t="s">
        <v>127</v>
      </c>
      <c r="J380" s="4" t="s">
        <v>128</v>
      </c>
      <c r="K380" s="4" t="s">
        <v>150</v>
      </c>
      <c r="L380" s="4" t="s">
        <v>674</v>
      </c>
      <c r="M380" s="24" t="s">
        <v>1317</v>
      </c>
      <c r="N380" s="4" t="s">
        <v>153</v>
      </c>
      <c r="O380" s="4" t="s">
        <v>165</v>
      </c>
      <c r="P380" s="4" t="s">
        <v>118</v>
      </c>
      <c r="Q380" s="25" t="n">
        <v>59.99</v>
      </c>
      <c r="R380" s="25" t="n">
        <v>59.99</v>
      </c>
      <c r="S380" s="25" t="n">
        <v>29.23</v>
      </c>
      <c r="T380" s="26" t="n">
        <v>2</v>
      </c>
      <c r="U380" s="26" t="n">
        <v>4</v>
      </c>
      <c r="V380" s="26" t="n">
        <v>7</v>
      </c>
      <c r="W380" s="26" t="n">
        <v>1</v>
      </c>
      <c r="X380" s="27" t="n">
        <f aca="false">SUM(T380:W380)</f>
        <v>14</v>
      </c>
      <c r="Y380" s="28" t="n">
        <f aca="false">COUNT(T380:W380)</f>
        <v>4</v>
      </c>
      <c r="Z380" s="29" t="n">
        <f aca="false">R380*X380</f>
        <v>839.86</v>
      </c>
      <c r="AA380" s="30" t="n">
        <v>46108</v>
      </c>
    </row>
    <row r="381" customFormat="false" ht="15" hidden="false" customHeight="true" outlineLevel="0" collapsed="false">
      <c r="A381" s="4" t="s">
        <v>1530</v>
      </c>
      <c r="B381" s="4" t="s">
        <v>1531</v>
      </c>
      <c r="C381" s="4" t="s">
        <v>591</v>
      </c>
      <c r="D381" s="4" t="s">
        <v>122</v>
      </c>
      <c r="E381" s="4" t="s">
        <v>285</v>
      </c>
      <c r="F381" s="4" t="s">
        <v>286</v>
      </c>
      <c r="G381" s="4" t="s">
        <v>592</v>
      </c>
      <c r="H381" s="4" t="s">
        <v>593</v>
      </c>
      <c r="I381" s="4" t="s">
        <v>161</v>
      </c>
      <c r="J381" s="4" t="s">
        <v>289</v>
      </c>
      <c r="K381" s="4" t="s">
        <v>113</v>
      </c>
      <c r="L381" s="4" t="s">
        <v>594</v>
      </c>
      <c r="M381" s="24" t="s">
        <v>115</v>
      </c>
      <c r="N381" s="4" t="s">
        <v>116</v>
      </c>
      <c r="O381" s="4" t="s">
        <v>131</v>
      </c>
      <c r="P381" s="4" t="s">
        <v>118</v>
      </c>
      <c r="Q381" s="25" t="n">
        <v>129.99</v>
      </c>
      <c r="R381" s="25" t="n">
        <v>129.99</v>
      </c>
      <c r="S381" s="25" t="n">
        <v>63.23</v>
      </c>
      <c r="T381" s="26" t="n">
        <v>0</v>
      </c>
      <c r="U381" s="26" t="n">
        <v>4</v>
      </c>
      <c r="V381" s="26" t="n">
        <v>5</v>
      </c>
      <c r="W381" s="26" t="n">
        <v>0</v>
      </c>
      <c r="X381" s="27" t="n">
        <f aca="false">SUM(T381:W381)</f>
        <v>9</v>
      </c>
      <c r="Y381" s="28" t="n">
        <f aca="false">COUNT(T381:W381)</f>
        <v>4</v>
      </c>
      <c r="Z381" s="29" t="n">
        <f aca="false">R381*X381</f>
        <v>1169.91</v>
      </c>
      <c r="AA381" s="30" t="n">
        <v>46134</v>
      </c>
    </row>
    <row r="382" customFormat="false" ht="15" hidden="false" customHeight="true" outlineLevel="0" collapsed="false">
      <c r="A382" s="4" t="s">
        <v>1532</v>
      </c>
      <c r="B382" s="4" t="s">
        <v>1533</v>
      </c>
      <c r="C382" s="4" t="s">
        <v>366</v>
      </c>
      <c r="D382" s="4" t="s">
        <v>251</v>
      </c>
      <c r="E382" s="4" t="s">
        <v>252</v>
      </c>
      <c r="F382" s="4" t="s">
        <v>367</v>
      </c>
      <c r="G382" s="4" t="s">
        <v>368</v>
      </c>
      <c r="H382" s="4" t="s">
        <v>369</v>
      </c>
      <c r="I382" s="4" t="s">
        <v>161</v>
      </c>
      <c r="J382" s="4" t="s">
        <v>162</v>
      </c>
      <c r="K382" s="4" t="s">
        <v>187</v>
      </c>
      <c r="L382" s="4" t="s">
        <v>370</v>
      </c>
      <c r="M382" s="24" t="s">
        <v>164</v>
      </c>
      <c r="N382" s="4" t="s">
        <v>189</v>
      </c>
      <c r="O382" s="4" t="s">
        <v>117</v>
      </c>
      <c r="P382" s="4" t="s">
        <v>118</v>
      </c>
      <c r="Q382" s="25" t="n">
        <v>89.99</v>
      </c>
      <c r="R382" s="25" t="n">
        <v>89.99</v>
      </c>
      <c r="S382" s="25" t="n">
        <v>45.15</v>
      </c>
      <c r="T382" s="26" t="n">
        <v>4</v>
      </c>
      <c r="U382" s="26"/>
      <c r="V382" s="26" t="n">
        <v>8</v>
      </c>
      <c r="W382" s="26" t="n">
        <v>3</v>
      </c>
      <c r="X382" s="27" t="n">
        <f aca="false">SUM(T382:W382)</f>
        <v>15</v>
      </c>
      <c r="Y382" s="28" t="n">
        <f aca="false">COUNT(T382:W382)</f>
        <v>3</v>
      </c>
      <c r="Z382" s="29" t="n">
        <f aca="false">R382*X382</f>
        <v>1349.85</v>
      </c>
      <c r="AA382" s="30" t="n">
        <v>46139</v>
      </c>
    </row>
    <row r="383" customFormat="false" ht="15" hidden="false" customHeight="true" outlineLevel="0" collapsed="false">
      <c r="A383" s="4" t="s">
        <v>1534</v>
      </c>
      <c r="B383" s="4" t="s">
        <v>1535</v>
      </c>
      <c r="C383" s="4" t="s">
        <v>412</v>
      </c>
      <c r="D383" s="4" t="s">
        <v>135</v>
      </c>
      <c r="E383" s="4" t="s">
        <v>136</v>
      </c>
      <c r="F383" s="4" t="s">
        <v>413</v>
      </c>
      <c r="G383" s="4" t="s">
        <v>414</v>
      </c>
      <c r="H383" s="4" t="s">
        <v>415</v>
      </c>
      <c r="I383" s="4" t="s">
        <v>161</v>
      </c>
      <c r="J383" s="4" t="s">
        <v>246</v>
      </c>
      <c r="K383" s="4" t="s">
        <v>113</v>
      </c>
      <c r="L383" s="4" t="s">
        <v>416</v>
      </c>
      <c r="M383" s="24" t="s">
        <v>188</v>
      </c>
      <c r="N383" s="4" t="s">
        <v>116</v>
      </c>
      <c r="O383" s="4" t="s">
        <v>238</v>
      </c>
      <c r="P383" s="4" t="s">
        <v>239</v>
      </c>
      <c r="Q383" s="25" t="n">
        <v>89.99</v>
      </c>
      <c r="R383" s="25" t="n">
        <v>53.99</v>
      </c>
      <c r="S383" s="25" t="n">
        <v>46.24</v>
      </c>
      <c r="T383" s="26" t="n">
        <v>0</v>
      </c>
      <c r="U383" s="26" t="n">
        <v>2</v>
      </c>
      <c r="V383" s="26" t="n">
        <v>0</v>
      </c>
      <c r="W383" s="26" t="n">
        <v>1</v>
      </c>
      <c r="X383" s="27" t="n">
        <f aca="false">SUM(T383:W383)</f>
        <v>3</v>
      </c>
      <c r="Y383" s="28" t="n">
        <f aca="false">COUNT(T383:W383)</f>
        <v>4</v>
      </c>
      <c r="Z383" s="29" t="n">
        <f aca="false">R383*X383</f>
        <v>161.97</v>
      </c>
      <c r="AA383" s="30" t="n">
        <v>46208</v>
      </c>
    </row>
    <row r="384" customFormat="false" ht="15" hidden="false" customHeight="true" outlineLevel="0" collapsed="false">
      <c r="A384" s="4" t="s">
        <v>1536</v>
      </c>
      <c r="B384" s="4" t="s">
        <v>1537</v>
      </c>
      <c r="C384" s="4" t="s">
        <v>1235</v>
      </c>
      <c r="D384" s="4" t="s">
        <v>122</v>
      </c>
      <c r="E384" s="4" t="s">
        <v>123</v>
      </c>
      <c r="F384" s="4" t="s">
        <v>1236</v>
      </c>
      <c r="G384" s="4" t="s">
        <v>1237</v>
      </c>
      <c r="H384" s="4" t="s">
        <v>1238</v>
      </c>
      <c r="I384" s="4" t="s">
        <v>161</v>
      </c>
      <c r="J384" s="4" t="s">
        <v>235</v>
      </c>
      <c r="K384" s="4" t="s">
        <v>113</v>
      </c>
      <c r="L384" s="4" t="s">
        <v>273</v>
      </c>
      <c r="M384" s="24" t="s">
        <v>177</v>
      </c>
      <c r="N384" s="4" t="s">
        <v>116</v>
      </c>
      <c r="O384" s="4" t="s">
        <v>165</v>
      </c>
      <c r="P384" s="4" t="s">
        <v>118</v>
      </c>
      <c r="Q384" s="25" t="n">
        <v>124.99</v>
      </c>
      <c r="R384" s="25" t="n">
        <v>124.99</v>
      </c>
      <c r="S384" s="25" t="n">
        <v>64.34</v>
      </c>
      <c r="T384" s="26" t="n">
        <v>4</v>
      </c>
      <c r="U384" s="26" t="n">
        <v>3</v>
      </c>
      <c r="V384" s="26" t="n">
        <v>3</v>
      </c>
      <c r="W384" s="26" t="n">
        <v>0</v>
      </c>
      <c r="X384" s="27" t="n">
        <f aca="false">SUM(T384:W384)</f>
        <v>10</v>
      </c>
      <c r="Y384" s="28" t="n">
        <f aca="false">COUNT(T384:W384)</f>
        <v>4</v>
      </c>
      <c r="Z384" s="29" t="n">
        <f aca="false">R384*X384</f>
        <v>1249.9</v>
      </c>
      <c r="AA384" s="30" t="n">
        <v>46139</v>
      </c>
    </row>
    <row r="385" customFormat="false" ht="15" hidden="false" customHeight="true" outlineLevel="0" collapsed="false">
      <c r="A385" s="4" t="s">
        <v>1538</v>
      </c>
      <c r="B385" s="4" t="s">
        <v>1539</v>
      </c>
      <c r="C385" s="4" t="s">
        <v>722</v>
      </c>
      <c r="D385" s="4" t="s">
        <v>106</v>
      </c>
      <c r="E385" s="4" t="s">
        <v>107</v>
      </c>
      <c r="F385" s="4" t="s">
        <v>723</v>
      </c>
      <c r="G385" s="4" t="s">
        <v>724</v>
      </c>
      <c r="H385" s="4" t="s">
        <v>725</v>
      </c>
      <c r="I385" s="4" t="s">
        <v>127</v>
      </c>
      <c r="J385" s="4" t="s">
        <v>128</v>
      </c>
      <c r="K385" s="4" t="s">
        <v>150</v>
      </c>
      <c r="L385" s="4" t="s">
        <v>114</v>
      </c>
      <c r="M385" s="24" t="s">
        <v>237</v>
      </c>
      <c r="N385" s="4" t="s">
        <v>153</v>
      </c>
      <c r="O385" s="4" t="s">
        <v>165</v>
      </c>
      <c r="P385" s="4" t="s">
        <v>118</v>
      </c>
      <c r="Q385" s="25" t="n">
        <v>54.99</v>
      </c>
      <c r="R385" s="25" t="n">
        <v>54.99</v>
      </c>
      <c r="S385" s="25" t="n">
        <v>28.09</v>
      </c>
      <c r="T385" s="26" t="n">
        <v>5</v>
      </c>
      <c r="U385" s="26"/>
      <c r="V385" s="26" t="n">
        <v>0</v>
      </c>
      <c r="W385" s="26"/>
      <c r="X385" s="27" t="n">
        <f aca="false">SUM(T385:W385)</f>
        <v>5</v>
      </c>
      <c r="Y385" s="28" t="n">
        <f aca="false">COUNT(T385:W385)</f>
        <v>2</v>
      </c>
      <c r="Z385" s="29" t="n">
        <f aca="false">R385*X385</f>
        <v>274.95</v>
      </c>
      <c r="AA385" s="30" t="n">
        <v>46049</v>
      </c>
    </row>
    <row r="386" customFormat="false" ht="15" hidden="false" customHeight="true" outlineLevel="0" collapsed="false">
      <c r="A386" s="4" t="s">
        <v>1540</v>
      </c>
      <c r="B386" s="4" t="s">
        <v>1541</v>
      </c>
      <c r="C386" s="4" t="s">
        <v>419</v>
      </c>
      <c r="D386" s="4" t="s">
        <v>122</v>
      </c>
      <c r="E386" s="4" t="s">
        <v>123</v>
      </c>
      <c r="F386" s="4" t="s">
        <v>420</v>
      </c>
      <c r="G386" s="4" t="s">
        <v>421</v>
      </c>
      <c r="H386" s="4" t="s">
        <v>422</v>
      </c>
      <c r="I386" s="4" t="s">
        <v>161</v>
      </c>
      <c r="J386" s="4" t="s">
        <v>235</v>
      </c>
      <c r="K386" s="4" t="s">
        <v>113</v>
      </c>
      <c r="L386" s="4" t="s">
        <v>423</v>
      </c>
      <c r="M386" s="24" t="s">
        <v>188</v>
      </c>
      <c r="N386" s="4" t="s">
        <v>116</v>
      </c>
      <c r="O386" s="4" t="s">
        <v>131</v>
      </c>
      <c r="P386" s="4" t="s">
        <v>118</v>
      </c>
      <c r="Q386" s="25" t="n">
        <v>124.99</v>
      </c>
      <c r="R386" s="25" t="n">
        <v>124.99</v>
      </c>
      <c r="S386" s="25" t="n">
        <v>68.25</v>
      </c>
      <c r="T386" s="26" t="n">
        <v>0</v>
      </c>
      <c r="U386" s="26" t="n">
        <v>0</v>
      </c>
      <c r="V386" s="26" t="n">
        <v>1</v>
      </c>
      <c r="W386" s="26"/>
      <c r="X386" s="27" t="n">
        <f aca="false">SUM(T386:W386)</f>
        <v>1</v>
      </c>
      <c r="Y386" s="28" t="n">
        <f aca="false">COUNT(T386:W386)</f>
        <v>3</v>
      </c>
      <c r="Z386" s="29" t="n">
        <f aca="false">R386*X386</f>
        <v>124.99</v>
      </c>
      <c r="AA386" s="30" t="n">
        <v>46120</v>
      </c>
    </row>
    <row r="387" customFormat="false" ht="15" hidden="false" customHeight="true" outlineLevel="0" collapsed="false">
      <c r="A387" s="4" t="s">
        <v>1542</v>
      </c>
      <c r="B387" s="4" t="s">
        <v>1543</v>
      </c>
      <c r="C387" s="4" t="s">
        <v>780</v>
      </c>
      <c r="D387" s="4" t="s">
        <v>342</v>
      </c>
      <c r="E387" s="4" t="s">
        <v>343</v>
      </c>
      <c r="F387" s="4" t="s">
        <v>344</v>
      </c>
      <c r="G387" s="4" t="s">
        <v>781</v>
      </c>
      <c r="H387" s="4" t="s">
        <v>782</v>
      </c>
      <c r="I387" s="4" t="s">
        <v>127</v>
      </c>
      <c r="J387" s="4" t="s">
        <v>347</v>
      </c>
      <c r="K387" s="4" t="s">
        <v>187</v>
      </c>
      <c r="L387" s="4" t="s">
        <v>783</v>
      </c>
      <c r="M387" s="24" t="s">
        <v>177</v>
      </c>
      <c r="N387" s="4" t="s">
        <v>189</v>
      </c>
      <c r="O387" s="4" t="s">
        <v>165</v>
      </c>
      <c r="P387" s="4" t="s">
        <v>118</v>
      </c>
      <c r="Q387" s="25" t="n">
        <v>154.99</v>
      </c>
      <c r="R387" s="25" t="n">
        <v>154.99</v>
      </c>
      <c r="S387" s="25" t="n">
        <v>74.81</v>
      </c>
      <c r="T387" s="26" t="n">
        <v>0</v>
      </c>
      <c r="U387" s="26" t="n">
        <v>2</v>
      </c>
      <c r="V387" s="26" t="n">
        <v>5</v>
      </c>
      <c r="W387" s="26" t="n">
        <v>0</v>
      </c>
      <c r="X387" s="27" t="n">
        <f aca="false">SUM(T387:W387)</f>
        <v>7</v>
      </c>
      <c r="Y387" s="28" t="n">
        <f aca="false">COUNT(T387:W387)</f>
        <v>4</v>
      </c>
      <c r="Z387" s="29" t="n">
        <f aca="false">R387*X387</f>
        <v>1084.93</v>
      </c>
      <c r="AA387" s="30" t="n">
        <v>46217</v>
      </c>
    </row>
    <row r="388" customFormat="false" ht="15" hidden="false" customHeight="true" outlineLevel="0" collapsed="false">
      <c r="A388" s="4" t="s">
        <v>1544</v>
      </c>
      <c r="B388" s="4" t="s">
        <v>1545</v>
      </c>
      <c r="C388" s="4" t="s">
        <v>604</v>
      </c>
      <c r="D388" s="4" t="s">
        <v>106</v>
      </c>
      <c r="E388" s="4" t="s">
        <v>157</v>
      </c>
      <c r="F388" s="4" t="s">
        <v>605</v>
      </c>
      <c r="G388" s="4" t="s">
        <v>606</v>
      </c>
      <c r="H388" s="4" t="s">
        <v>607</v>
      </c>
      <c r="I388" s="4" t="s">
        <v>161</v>
      </c>
      <c r="J388" s="4" t="s">
        <v>162</v>
      </c>
      <c r="K388" s="4" t="s">
        <v>113</v>
      </c>
      <c r="L388" s="4" t="s">
        <v>608</v>
      </c>
      <c r="M388" s="24" t="s">
        <v>115</v>
      </c>
      <c r="N388" s="4" t="s">
        <v>116</v>
      </c>
      <c r="O388" s="4" t="s">
        <v>238</v>
      </c>
      <c r="P388" s="4" t="s">
        <v>239</v>
      </c>
      <c r="Q388" s="25" t="n">
        <v>109.99</v>
      </c>
      <c r="R388" s="25" t="n">
        <v>76.99</v>
      </c>
      <c r="S388" s="25" t="n">
        <v>55.09</v>
      </c>
      <c r="T388" s="26" t="n">
        <v>2</v>
      </c>
      <c r="U388" s="26" t="n">
        <v>3</v>
      </c>
      <c r="V388" s="26" t="n">
        <v>4</v>
      </c>
      <c r="W388" s="26" t="n">
        <v>0</v>
      </c>
      <c r="X388" s="27" t="n">
        <f aca="false">SUM(T388:W388)</f>
        <v>9</v>
      </c>
      <c r="Y388" s="28" t="n">
        <f aca="false">COUNT(T388:W388)</f>
        <v>4</v>
      </c>
      <c r="Z388" s="29" t="n">
        <f aca="false">R388*X388</f>
        <v>692.91</v>
      </c>
      <c r="AA388" s="30" t="n">
        <v>46053</v>
      </c>
    </row>
    <row r="389" customFormat="false" ht="15" hidden="false" customHeight="true" outlineLevel="0" collapsed="false">
      <c r="A389" s="4" t="s">
        <v>1546</v>
      </c>
      <c r="B389" s="4" t="s">
        <v>1547</v>
      </c>
      <c r="C389" s="4" t="s">
        <v>651</v>
      </c>
      <c r="D389" s="4" t="s">
        <v>122</v>
      </c>
      <c r="E389" s="4" t="s">
        <v>123</v>
      </c>
      <c r="F389" s="4" t="s">
        <v>652</v>
      </c>
      <c r="G389" s="4" t="s">
        <v>653</v>
      </c>
      <c r="H389" s="4" t="s">
        <v>654</v>
      </c>
      <c r="I389" s="4" t="s">
        <v>161</v>
      </c>
      <c r="J389" s="4" t="s">
        <v>246</v>
      </c>
      <c r="K389" s="4" t="s">
        <v>113</v>
      </c>
      <c r="L389" s="4" t="s">
        <v>655</v>
      </c>
      <c r="M389" s="24" t="s">
        <v>177</v>
      </c>
      <c r="N389" s="4" t="s">
        <v>116</v>
      </c>
      <c r="O389" s="4" t="s">
        <v>131</v>
      </c>
      <c r="P389" s="4" t="s">
        <v>118</v>
      </c>
      <c r="Q389" s="25" t="n">
        <v>189.99</v>
      </c>
      <c r="R389" s="25" t="n">
        <v>189.99</v>
      </c>
      <c r="S389" s="25" t="n">
        <v>101.4</v>
      </c>
      <c r="T389" s="26" t="n">
        <v>3</v>
      </c>
      <c r="U389" s="26"/>
      <c r="V389" s="26" t="n">
        <v>3</v>
      </c>
      <c r="W389" s="26"/>
      <c r="X389" s="27" t="n">
        <f aca="false">SUM(T389:W389)</f>
        <v>6</v>
      </c>
      <c r="Y389" s="28" t="n">
        <f aca="false">COUNT(T389:W389)</f>
        <v>2</v>
      </c>
      <c r="Z389" s="29" t="n">
        <f aca="false">R389*X389</f>
        <v>1139.94</v>
      </c>
      <c r="AA389" s="30" t="n">
        <v>46057</v>
      </c>
    </row>
    <row r="390" customFormat="false" ht="15" hidden="false" customHeight="true" outlineLevel="0" collapsed="false">
      <c r="A390" s="4" t="s">
        <v>1548</v>
      </c>
      <c r="B390" s="4" t="s">
        <v>1549</v>
      </c>
      <c r="C390" s="4" t="s">
        <v>867</v>
      </c>
      <c r="D390" s="4" t="s">
        <v>122</v>
      </c>
      <c r="E390" s="4" t="s">
        <v>123</v>
      </c>
      <c r="F390" s="4" t="s">
        <v>868</v>
      </c>
      <c r="G390" s="4" t="s">
        <v>869</v>
      </c>
      <c r="H390" s="4" t="s">
        <v>870</v>
      </c>
      <c r="I390" s="4" t="s">
        <v>771</v>
      </c>
      <c r="J390" s="4" t="s">
        <v>772</v>
      </c>
      <c r="K390" s="4" t="s">
        <v>113</v>
      </c>
      <c r="L390" s="4" t="s">
        <v>871</v>
      </c>
      <c r="M390" s="24" t="s">
        <v>327</v>
      </c>
      <c r="N390" s="4" t="s">
        <v>116</v>
      </c>
      <c r="O390" s="4" t="s">
        <v>380</v>
      </c>
      <c r="P390" s="4" t="s">
        <v>118</v>
      </c>
      <c r="Q390" s="25" t="n">
        <v>129.99</v>
      </c>
      <c r="R390" s="25" t="n">
        <v>129.99</v>
      </c>
      <c r="S390" s="25" t="n">
        <v>63.59</v>
      </c>
      <c r="T390" s="26" t="n">
        <v>0</v>
      </c>
      <c r="U390" s="26"/>
      <c r="V390" s="26" t="n">
        <v>6</v>
      </c>
      <c r="W390" s="26"/>
      <c r="X390" s="27" t="n">
        <f aca="false">SUM(T390:W390)</f>
        <v>6</v>
      </c>
      <c r="Y390" s="28" t="n">
        <f aca="false">COUNT(T390:W390)</f>
        <v>2</v>
      </c>
      <c r="Z390" s="29" t="n">
        <f aca="false">R390*X390</f>
        <v>779.94</v>
      </c>
      <c r="AA390" s="30" t="n">
        <v>46107</v>
      </c>
    </row>
    <row r="391" customFormat="false" ht="15" hidden="false" customHeight="true" outlineLevel="0" collapsed="false">
      <c r="A391" s="4" t="s">
        <v>1550</v>
      </c>
      <c r="B391" s="4" t="s">
        <v>1551</v>
      </c>
      <c r="C391" s="4" t="s">
        <v>105</v>
      </c>
      <c r="D391" s="4" t="s">
        <v>106</v>
      </c>
      <c r="E391" s="4" t="s">
        <v>107</v>
      </c>
      <c r="F391" s="4" t="s">
        <v>108</v>
      </c>
      <c r="G391" s="4" t="s">
        <v>109</v>
      </c>
      <c r="H391" s="4" t="s">
        <v>110</v>
      </c>
      <c r="I391" s="4" t="s">
        <v>111</v>
      </c>
      <c r="J391" s="4" t="s">
        <v>112</v>
      </c>
      <c r="K391" s="4" t="s">
        <v>113</v>
      </c>
      <c r="L391" s="4" t="s">
        <v>114</v>
      </c>
      <c r="M391" s="24" t="s">
        <v>141</v>
      </c>
      <c r="N391" s="4" t="s">
        <v>116</v>
      </c>
      <c r="O391" s="4" t="s">
        <v>117</v>
      </c>
      <c r="P391" s="4" t="s">
        <v>118</v>
      </c>
      <c r="Q391" s="25" t="n">
        <v>34.99</v>
      </c>
      <c r="R391" s="25" t="n">
        <v>34.99</v>
      </c>
      <c r="S391" s="25" t="n">
        <v>19.22</v>
      </c>
      <c r="T391" s="26" t="n">
        <v>0</v>
      </c>
      <c r="U391" s="26" t="n">
        <v>2</v>
      </c>
      <c r="V391" s="26" t="n">
        <v>3</v>
      </c>
      <c r="W391" s="26"/>
      <c r="X391" s="27" t="n">
        <f aca="false">SUM(T391:W391)</f>
        <v>5</v>
      </c>
      <c r="Y391" s="28" t="n">
        <f aca="false">COUNT(T391:W391)</f>
        <v>3</v>
      </c>
      <c r="Z391" s="29" t="n">
        <f aca="false">R391*X391</f>
        <v>174.95</v>
      </c>
      <c r="AA391" s="30" t="n">
        <v>46151</v>
      </c>
    </row>
    <row r="392" customFormat="false" ht="15" hidden="false" customHeight="true" outlineLevel="0" collapsed="false">
      <c r="A392" s="4" t="s">
        <v>1552</v>
      </c>
      <c r="B392" s="4" t="s">
        <v>1553</v>
      </c>
      <c r="C392" s="4" t="s">
        <v>313</v>
      </c>
      <c r="D392" s="4" t="s">
        <v>145</v>
      </c>
      <c r="E392" s="4" t="s">
        <v>146</v>
      </c>
      <c r="F392" s="4" t="s">
        <v>314</v>
      </c>
      <c r="G392" s="4" t="s">
        <v>315</v>
      </c>
      <c r="H392" s="4" t="s">
        <v>316</v>
      </c>
      <c r="I392" s="4" t="s">
        <v>226</v>
      </c>
      <c r="J392" s="4" t="s">
        <v>265</v>
      </c>
      <c r="K392" s="4" t="s">
        <v>113</v>
      </c>
      <c r="L392" s="4" t="s">
        <v>317</v>
      </c>
      <c r="M392" s="24" t="s">
        <v>164</v>
      </c>
      <c r="N392" s="4" t="s">
        <v>116</v>
      </c>
      <c r="O392" s="4" t="s">
        <v>165</v>
      </c>
      <c r="P392" s="4" t="s">
        <v>118</v>
      </c>
      <c r="Q392" s="25" t="n">
        <v>169.99</v>
      </c>
      <c r="R392" s="25" t="n">
        <v>169.99</v>
      </c>
      <c r="S392" s="25" t="n">
        <v>86.49</v>
      </c>
      <c r="T392" s="26" t="n">
        <v>2</v>
      </c>
      <c r="U392" s="26" t="n">
        <v>1</v>
      </c>
      <c r="V392" s="26" t="n">
        <v>8</v>
      </c>
      <c r="W392" s="26"/>
      <c r="X392" s="27" t="n">
        <f aca="false">SUM(T392:W392)</f>
        <v>11</v>
      </c>
      <c r="Y392" s="28" t="n">
        <f aca="false">COUNT(T392:W392)</f>
        <v>3</v>
      </c>
      <c r="Z392" s="29" t="n">
        <f aca="false">R392*X392</f>
        <v>1869.89</v>
      </c>
      <c r="AA392" s="30" t="n">
        <v>46203</v>
      </c>
    </row>
    <row r="393" customFormat="false" ht="15" hidden="false" customHeight="true" outlineLevel="0" collapsed="false">
      <c r="A393" s="4" t="s">
        <v>1554</v>
      </c>
      <c r="B393" s="4" t="s">
        <v>1555</v>
      </c>
      <c r="C393" s="4" t="s">
        <v>677</v>
      </c>
      <c r="D393" s="4" t="s">
        <v>122</v>
      </c>
      <c r="E393" s="4" t="s">
        <v>285</v>
      </c>
      <c r="F393" s="4" t="s">
        <v>678</v>
      </c>
      <c r="G393" s="4" t="s">
        <v>679</v>
      </c>
      <c r="H393" s="4" t="s">
        <v>680</v>
      </c>
      <c r="I393" s="4" t="s">
        <v>161</v>
      </c>
      <c r="J393" s="4" t="s">
        <v>289</v>
      </c>
      <c r="K393" s="4" t="s">
        <v>113</v>
      </c>
      <c r="L393" s="4" t="s">
        <v>681</v>
      </c>
      <c r="M393" s="24" t="s">
        <v>356</v>
      </c>
      <c r="N393" s="4" t="s">
        <v>116</v>
      </c>
      <c r="O393" s="4" t="s">
        <v>131</v>
      </c>
      <c r="P393" s="4" t="s">
        <v>118</v>
      </c>
      <c r="Q393" s="25" t="n">
        <v>224.99</v>
      </c>
      <c r="R393" s="25" t="n">
        <v>224.99</v>
      </c>
      <c r="S393" s="25" t="n">
        <v>120.83</v>
      </c>
      <c r="T393" s="26" t="n">
        <v>2</v>
      </c>
      <c r="U393" s="26" t="n">
        <v>2</v>
      </c>
      <c r="V393" s="26" t="n">
        <v>1</v>
      </c>
      <c r="W393" s="26"/>
      <c r="X393" s="27" t="n">
        <f aca="false">SUM(T393:W393)</f>
        <v>5</v>
      </c>
      <c r="Y393" s="28" t="n">
        <f aca="false">COUNT(T393:W393)</f>
        <v>3</v>
      </c>
      <c r="Z393" s="29" t="n">
        <f aca="false">R393*X393</f>
        <v>1124.95</v>
      </c>
      <c r="AA393" s="30" t="n">
        <v>46220</v>
      </c>
    </row>
    <row r="394" customFormat="false" ht="15" hidden="false" customHeight="true" outlineLevel="0" collapsed="false">
      <c r="A394" s="4" t="s">
        <v>1556</v>
      </c>
      <c r="B394" s="4" t="s">
        <v>1557</v>
      </c>
      <c r="C394" s="4" t="s">
        <v>1103</v>
      </c>
      <c r="D394" s="4" t="s">
        <v>122</v>
      </c>
      <c r="E394" s="4" t="s">
        <v>285</v>
      </c>
      <c r="F394" s="4" t="s">
        <v>1104</v>
      </c>
      <c r="G394" s="4" t="s">
        <v>1105</v>
      </c>
      <c r="H394" s="4" t="s">
        <v>1106</v>
      </c>
      <c r="I394" s="4" t="s">
        <v>226</v>
      </c>
      <c r="J394" s="4" t="s">
        <v>265</v>
      </c>
      <c r="K394" s="4" t="s">
        <v>113</v>
      </c>
      <c r="L394" s="4" t="s">
        <v>1107</v>
      </c>
      <c r="M394" s="24" t="s">
        <v>327</v>
      </c>
      <c r="N394" s="4" t="s">
        <v>116</v>
      </c>
      <c r="O394" s="4" t="s">
        <v>165</v>
      </c>
      <c r="P394" s="4" t="s">
        <v>118</v>
      </c>
      <c r="Q394" s="25" t="n">
        <v>119.99</v>
      </c>
      <c r="R394" s="25" t="n">
        <v>119.99</v>
      </c>
      <c r="S394" s="25" t="n">
        <v>66.9</v>
      </c>
      <c r="T394" s="26" t="n">
        <v>3</v>
      </c>
      <c r="U394" s="26" t="n">
        <v>1</v>
      </c>
      <c r="V394" s="26" t="n">
        <v>6</v>
      </c>
      <c r="W394" s="26"/>
      <c r="X394" s="27" t="n">
        <f aca="false">SUM(T394:W394)</f>
        <v>10</v>
      </c>
      <c r="Y394" s="28" t="n">
        <f aca="false">COUNT(T394:W394)</f>
        <v>3</v>
      </c>
      <c r="Z394" s="29" t="n">
        <f aca="false">R394*X394</f>
        <v>1199.9</v>
      </c>
      <c r="AA394" s="30" t="n">
        <v>46043</v>
      </c>
    </row>
    <row r="395" customFormat="false" ht="15" hidden="false" customHeight="true" outlineLevel="0" collapsed="false">
      <c r="A395" s="4" t="s">
        <v>1558</v>
      </c>
      <c r="B395" s="4" t="s">
        <v>1559</v>
      </c>
      <c r="C395" s="4" t="s">
        <v>1074</v>
      </c>
      <c r="D395" s="4" t="s">
        <v>122</v>
      </c>
      <c r="E395" s="4" t="s">
        <v>123</v>
      </c>
      <c r="F395" s="4" t="s">
        <v>1075</v>
      </c>
      <c r="G395" s="4" t="s">
        <v>1076</v>
      </c>
      <c r="H395" s="4" t="s">
        <v>1077</v>
      </c>
      <c r="I395" s="4" t="s">
        <v>161</v>
      </c>
      <c r="J395" s="4" t="s">
        <v>246</v>
      </c>
      <c r="K395" s="4" t="s">
        <v>113</v>
      </c>
      <c r="L395" s="4" t="s">
        <v>1078</v>
      </c>
      <c r="M395" s="24" t="s">
        <v>258</v>
      </c>
      <c r="N395" s="4" t="s">
        <v>116</v>
      </c>
      <c r="O395" s="4" t="s">
        <v>165</v>
      </c>
      <c r="P395" s="4" t="s">
        <v>118</v>
      </c>
      <c r="Q395" s="25" t="n">
        <v>159.99</v>
      </c>
      <c r="R395" s="25" t="n">
        <v>159.99</v>
      </c>
      <c r="S395" s="25" t="n">
        <v>87.97</v>
      </c>
      <c r="T395" s="26" t="n">
        <v>3</v>
      </c>
      <c r="U395" s="26" t="n">
        <v>3</v>
      </c>
      <c r="V395" s="26" t="n">
        <v>4</v>
      </c>
      <c r="W395" s="26" t="n">
        <v>2</v>
      </c>
      <c r="X395" s="27" t="n">
        <f aca="false">SUM(T395:W395)</f>
        <v>12</v>
      </c>
      <c r="Y395" s="28" t="n">
        <f aca="false">COUNT(T395:W395)</f>
        <v>4</v>
      </c>
      <c r="Z395" s="29" t="n">
        <f aca="false">R395*X395</f>
        <v>1919.88</v>
      </c>
      <c r="AA395" s="30" t="n">
        <v>46025</v>
      </c>
    </row>
    <row r="396" customFormat="false" ht="15" hidden="false" customHeight="true" outlineLevel="0" collapsed="false">
      <c r="A396" s="4" t="s">
        <v>1560</v>
      </c>
      <c r="B396" s="4" t="s">
        <v>1561</v>
      </c>
      <c r="C396" s="4" t="s">
        <v>684</v>
      </c>
      <c r="D396" s="4" t="s">
        <v>251</v>
      </c>
      <c r="E396" s="4" t="s">
        <v>252</v>
      </c>
      <c r="F396" s="4" t="s">
        <v>685</v>
      </c>
      <c r="G396" s="4" t="s">
        <v>686</v>
      </c>
      <c r="H396" s="4" t="s">
        <v>687</v>
      </c>
      <c r="I396" s="4" t="s">
        <v>161</v>
      </c>
      <c r="J396" s="4" t="s">
        <v>235</v>
      </c>
      <c r="K396" s="4" t="s">
        <v>113</v>
      </c>
      <c r="L396" s="4" t="s">
        <v>348</v>
      </c>
      <c r="M396" s="24" t="s">
        <v>130</v>
      </c>
      <c r="N396" s="4" t="s">
        <v>116</v>
      </c>
      <c r="O396" s="4" t="s">
        <v>117</v>
      </c>
      <c r="P396" s="4" t="s">
        <v>118</v>
      </c>
      <c r="Q396" s="25" t="n">
        <v>79.99</v>
      </c>
      <c r="R396" s="25" t="n">
        <v>79.99</v>
      </c>
      <c r="S396" s="25" t="n">
        <v>44.53</v>
      </c>
      <c r="T396" s="26" t="n">
        <v>6</v>
      </c>
      <c r="U396" s="26" t="n">
        <v>1</v>
      </c>
      <c r="V396" s="26" t="n">
        <v>3</v>
      </c>
      <c r="W396" s="26" t="n">
        <v>0</v>
      </c>
      <c r="X396" s="27" t="n">
        <f aca="false">SUM(T396:W396)</f>
        <v>10</v>
      </c>
      <c r="Y396" s="28" t="n">
        <f aca="false">COUNT(T396:W396)</f>
        <v>4</v>
      </c>
      <c r="Z396" s="29" t="n">
        <f aca="false">R396*X396</f>
        <v>799.9</v>
      </c>
      <c r="AA396" s="30" t="n">
        <v>46085</v>
      </c>
    </row>
    <row r="397" customFormat="false" ht="15" hidden="false" customHeight="true" outlineLevel="0" collapsed="false">
      <c r="A397" s="4" t="s">
        <v>1562</v>
      </c>
      <c r="B397" s="4" t="s">
        <v>1563</v>
      </c>
      <c r="C397" s="4" t="s">
        <v>1119</v>
      </c>
      <c r="D397" s="4" t="s">
        <v>583</v>
      </c>
      <c r="E397" s="4" t="s">
        <v>584</v>
      </c>
      <c r="F397" s="4" t="s">
        <v>1120</v>
      </c>
      <c r="G397" s="4" t="s">
        <v>1121</v>
      </c>
      <c r="H397" s="4" t="s">
        <v>1122</v>
      </c>
      <c r="I397" s="4" t="s">
        <v>161</v>
      </c>
      <c r="J397" s="4" t="s">
        <v>246</v>
      </c>
      <c r="K397" s="4" t="s">
        <v>209</v>
      </c>
      <c r="L397" s="4" t="s">
        <v>1123</v>
      </c>
      <c r="M397" s="24" t="s">
        <v>338</v>
      </c>
      <c r="N397" s="4" t="s">
        <v>153</v>
      </c>
      <c r="O397" s="4" t="s">
        <v>131</v>
      </c>
      <c r="P397" s="4" t="s">
        <v>239</v>
      </c>
      <c r="Q397" s="25" t="n">
        <v>109.99</v>
      </c>
      <c r="R397" s="25" t="n">
        <v>70.99</v>
      </c>
      <c r="S397" s="25" t="n">
        <v>57.65</v>
      </c>
      <c r="T397" s="26" t="n">
        <v>6</v>
      </c>
      <c r="U397" s="26"/>
      <c r="V397" s="26" t="n">
        <v>3</v>
      </c>
      <c r="W397" s="26" t="n">
        <v>3</v>
      </c>
      <c r="X397" s="27" t="n">
        <f aca="false">SUM(T397:W397)</f>
        <v>12</v>
      </c>
      <c r="Y397" s="28" t="n">
        <f aca="false">COUNT(T397:W397)</f>
        <v>3</v>
      </c>
      <c r="Z397" s="29" t="n">
        <f aca="false">R397*X397</f>
        <v>851.88</v>
      </c>
      <c r="AA397" s="30" t="n">
        <v>46101</v>
      </c>
    </row>
    <row r="398" customFormat="false" ht="15" hidden="false" customHeight="true" outlineLevel="0" collapsed="false">
      <c r="A398" s="4" t="s">
        <v>1564</v>
      </c>
      <c r="B398" s="4" t="s">
        <v>1565</v>
      </c>
      <c r="C398" s="4" t="s">
        <v>180</v>
      </c>
      <c r="D398" s="4" t="s">
        <v>181</v>
      </c>
      <c r="E398" s="4" t="s">
        <v>182</v>
      </c>
      <c r="F398" s="4" t="s">
        <v>183</v>
      </c>
      <c r="G398" s="4" t="s">
        <v>184</v>
      </c>
      <c r="H398" s="4" t="s">
        <v>185</v>
      </c>
      <c r="I398" s="4" t="s">
        <v>161</v>
      </c>
      <c r="J398" s="4" t="s">
        <v>186</v>
      </c>
      <c r="K398" s="4" t="s">
        <v>187</v>
      </c>
      <c r="L398" s="4" t="s">
        <v>176</v>
      </c>
      <c r="M398" s="24" t="s">
        <v>356</v>
      </c>
      <c r="N398" s="4" t="s">
        <v>189</v>
      </c>
      <c r="O398" s="4" t="s">
        <v>131</v>
      </c>
      <c r="P398" s="4" t="s">
        <v>118</v>
      </c>
      <c r="Q398" s="25" t="n">
        <v>89.99</v>
      </c>
      <c r="R398" s="25" t="n">
        <v>89.99</v>
      </c>
      <c r="S398" s="25" t="n">
        <v>45.49</v>
      </c>
      <c r="T398" s="26" t="n">
        <v>5</v>
      </c>
      <c r="U398" s="26" t="n">
        <v>3</v>
      </c>
      <c r="V398" s="26" t="n">
        <v>6</v>
      </c>
      <c r="W398" s="26"/>
      <c r="X398" s="27" t="n">
        <f aca="false">SUM(T398:W398)</f>
        <v>14</v>
      </c>
      <c r="Y398" s="28" t="n">
        <f aca="false">COUNT(T398:W398)</f>
        <v>3</v>
      </c>
      <c r="Z398" s="29" t="n">
        <f aca="false">R398*X398</f>
        <v>1259.86</v>
      </c>
      <c r="AA398" s="30" t="n">
        <v>46177</v>
      </c>
    </row>
    <row r="399" customFormat="false" ht="15" hidden="false" customHeight="true" outlineLevel="0" collapsed="false">
      <c r="A399" s="4" t="s">
        <v>1566</v>
      </c>
      <c r="B399" s="4" t="s">
        <v>1567</v>
      </c>
      <c r="C399" s="4" t="s">
        <v>897</v>
      </c>
      <c r="D399" s="4" t="s">
        <v>475</v>
      </c>
      <c r="E399" s="4" t="s">
        <v>476</v>
      </c>
      <c r="F399" s="4" t="s">
        <v>898</v>
      </c>
      <c r="G399" s="4" t="s">
        <v>899</v>
      </c>
      <c r="H399" s="4" t="s">
        <v>900</v>
      </c>
      <c r="I399" s="4" t="s">
        <v>161</v>
      </c>
      <c r="J399" s="4" t="s">
        <v>186</v>
      </c>
      <c r="K399" s="4" t="s">
        <v>209</v>
      </c>
      <c r="L399" s="4" t="s">
        <v>901</v>
      </c>
      <c r="M399" s="24" t="s">
        <v>338</v>
      </c>
      <c r="N399" s="4" t="s">
        <v>153</v>
      </c>
      <c r="O399" s="4" t="s">
        <v>131</v>
      </c>
      <c r="P399" s="4" t="s">
        <v>118</v>
      </c>
      <c r="Q399" s="25" t="n">
        <v>89.99</v>
      </c>
      <c r="R399" s="25" t="n">
        <v>89.99</v>
      </c>
      <c r="S399" s="25" t="n">
        <v>44.27</v>
      </c>
      <c r="T399" s="26" t="n">
        <v>0</v>
      </c>
      <c r="U399" s="26" t="n">
        <v>0</v>
      </c>
      <c r="V399" s="26" t="n">
        <v>1</v>
      </c>
      <c r="W399" s="26" t="n">
        <v>0</v>
      </c>
      <c r="X399" s="27" t="n">
        <f aca="false">SUM(T399:W399)</f>
        <v>1</v>
      </c>
      <c r="Y399" s="28" t="n">
        <f aca="false">COUNT(T399:W399)</f>
        <v>4</v>
      </c>
      <c r="Z399" s="29" t="n">
        <f aca="false">R399*X399</f>
        <v>89.99</v>
      </c>
      <c r="AA399" s="30" t="n">
        <v>46046</v>
      </c>
    </row>
    <row r="400" customFormat="false" ht="15" hidden="false" customHeight="true" outlineLevel="0" collapsed="false">
      <c r="A400" s="4" t="s">
        <v>1568</v>
      </c>
      <c r="B400" s="4" t="s">
        <v>1569</v>
      </c>
      <c r="C400" s="4" t="s">
        <v>853</v>
      </c>
      <c r="D400" s="4" t="s">
        <v>122</v>
      </c>
      <c r="E400" s="4" t="s">
        <v>123</v>
      </c>
      <c r="F400" s="4" t="s">
        <v>854</v>
      </c>
      <c r="G400" s="4" t="s">
        <v>855</v>
      </c>
      <c r="H400" s="4" t="s">
        <v>856</v>
      </c>
      <c r="I400" s="4" t="s">
        <v>161</v>
      </c>
      <c r="J400" s="4" t="s">
        <v>246</v>
      </c>
      <c r="K400" s="4" t="s">
        <v>187</v>
      </c>
      <c r="L400" s="4" t="s">
        <v>348</v>
      </c>
      <c r="M400" s="24" t="s">
        <v>177</v>
      </c>
      <c r="N400" s="4" t="s">
        <v>189</v>
      </c>
      <c r="O400" s="4" t="s">
        <v>131</v>
      </c>
      <c r="P400" s="4" t="s">
        <v>118</v>
      </c>
      <c r="Q400" s="25" t="n">
        <v>169.99</v>
      </c>
      <c r="R400" s="25" t="n">
        <v>169.99</v>
      </c>
      <c r="S400" s="25" t="n">
        <v>85.29</v>
      </c>
      <c r="T400" s="26" t="n">
        <v>6</v>
      </c>
      <c r="U400" s="26" t="n">
        <v>4</v>
      </c>
      <c r="V400" s="26" t="n">
        <v>4</v>
      </c>
      <c r="W400" s="26"/>
      <c r="X400" s="27" t="n">
        <f aca="false">SUM(T400:W400)</f>
        <v>14</v>
      </c>
      <c r="Y400" s="28" t="n">
        <f aca="false">COUNT(T400:W400)</f>
        <v>3</v>
      </c>
      <c r="Z400" s="29" t="n">
        <f aca="false">R400*X400</f>
        <v>2379.86</v>
      </c>
      <c r="AA400" s="30" t="n">
        <v>46080</v>
      </c>
    </row>
    <row r="401" customFormat="false" ht="15" hidden="false" customHeight="true" outlineLevel="0" collapsed="false">
      <c r="A401" s="4" t="s">
        <v>1570</v>
      </c>
      <c r="B401" s="4" t="s">
        <v>1571</v>
      </c>
      <c r="C401" s="4" t="s">
        <v>684</v>
      </c>
      <c r="D401" s="4" t="s">
        <v>251</v>
      </c>
      <c r="E401" s="4" t="s">
        <v>252</v>
      </c>
      <c r="F401" s="4" t="s">
        <v>685</v>
      </c>
      <c r="G401" s="4" t="s">
        <v>686</v>
      </c>
      <c r="H401" s="4" t="s">
        <v>687</v>
      </c>
      <c r="I401" s="4" t="s">
        <v>161</v>
      </c>
      <c r="J401" s="4" t="s">
        <v>235</v>
      </c>
      <c r="K401" s="4" t="s">
        <v>113</v>
      </c>
      <c r="L401" s="4" t="s">
        <v>348</v>
      </c>
      <c r="M401" s="24" t="s">
        <v>177</v>
      </c>
      <c r="N401" s="4" t="s">
        <v>116</v>
      </c>
      <c r="O401" s="4" t="s">
        <v>117</v>
      </c>
      <c r="P401" s="4" t="s">
        <v>118</v>
      </c>
      <c r="Q401" s="25" t="n">
        <v>79.99</v>
      </c>
      <c r="R401" s="25" t="n">
        <v>79.99</v>
      </c>
      <c r="S401" s="25" t="n">
        <v>44.53</v>
      </c>
      <c r="T401" s="26" t="n">
        <v>5</v>
      </c>
      <c r="U401" s="26" t="n">
        <v>2</v>
      </c>
      <c r="V401" s="26" t="n">
        <v>4</v>
      </c>
      <c r="W401" s="26" t="n">
        <v>0</v>
      </c>
      <c r="X401" s="27" t="n">
        <f aca="false">SUM(T401:W401)</f>
        <v>11</v>
      </c>
      <c r="Y401" s="28" t="n">
        <f aca="false">COUNT(T401:W401)</f>
        <v>4</v>
      </c>
      <c r="Z401" s="29" t="n">
        <f aca="false">R401*X401</f>
        <v>879.89</v>
      </c>
      <c r="AA401" s="30" t="n">
        <v>46157</v>
      </c>
    </row>
    <row r="402" customFormat="false" ht="15" hidden="false" customHeight="true" outlineLevel="0" collapsed="false">
      <c r="A402" s="4" t="s">
        <v>1572</v>
      </c>
      <c r="B402" s="4" t="s">
        <v>1573</v>
      </c>
      <c r="C402" s="4" t="s">
        <v>937</v>
      </c>
      <c r="D402" s="4" t="s">
        <v>122</v>
      </c>
      <c r="E402" s="4" t="s">
        <v>123</v>
      </c>
      <c r="F402" s="4" t="s">
        <v>938</v>
      </c>
      <c r="G402" s="4" t="s">
        <v>939</v>
      </c>
      <c r="H402" s="4" t="s">
        <v>940</v>
      </c>
      <c r="I402" s="4" t="s">
        <v>226</v>
      </c>
      <c r="J402" s="4" t="s">
        <v>790</v>
      </c>
      <c r="K402" s="4" t="s">
        <v>113</v>
      </c>
      <c r="L402" s="4" t="s">
        <v>941</v>
      </c>
      <c r="M402" s="24" t="s">
        <v>327</v>
      </c>
      <c r="N402" s="4" t="s">
        <v>116</v>
      </c>
      <c r="O402" s="4" t="s">
        <v>165</v>
      </c>
      <c r="P402" s="4" t="s">
        <v>239</v>
      </c>
      <c r="Q402" s="25" t="n">
        <v>109.99</v>
      </c>
      <c r="R402" s="25" t="n">
        <v>81.99</v>
      </c>
      <c r="S402" s="25" t="n">
        <v>52.89</v>
      </c>
      <c r="T402" s="26"/>
      <c r="U402" s="26" t="n">
        <v>4</v>
      </c>
      <c r="V402" s="26" t="n">
        <v>4</v>
      </c>
      <c r="W402" s="26"/>
      <c r="X402" s="27" t="n">
        <f aca="false">SUM(T402:W402)</f>
        <v>8</v>
      </c>
      <c r="Y402" s="28" t="n">
        <f aca="false">COUNT(T402:W402)</f>
        <v>2</v>
      </c>
      <c r="Z402" s="29" t="n">
        <f aca="false">R402*X402</f>
        <v>655.92</v>
      </c>
      <c r="AA402" s="30" t="n">
        <v>46177</v>
      </c>
    </row>
    <row r="403" customFormat="false" ht="15" hidden="false" customHeight="true" outlineLevel="0" collapsed="false">
      <c r="A403" s="4" t="s">
        <v>1574</v>
      </c>
      <c r="B403" s="4" t="s">
        <v>1575</v>
      </c>
      <c r="C403" s="4" t="s">
        <v>366</v>
      </c>
      <c r="D403" s="4" t="s">
        <v>251</v>
      </c>
      <c r="E403" s="4" t="s">
        <v>252</v>
      </c>
      <c r="F403" s="4" t="s">
        <v>367</v>
      </c>
      <c r="G403" s="4" t="s">
        <v>368</v>
      </c>
      <c r="H403" s="4" t="s">
        <v>369</v>
      </c>
      <c r="I403" s="4" t="s">
        <v>161</v>
      </c>
      <c r="J403" s="4" t="s">
        <v>162</v>
      </c>
      <c r="K403" s="4" t="s">
        <v>187</v>
      </c>
      <c r="L403" s="4" t="s">
        <v>370</v>
      </c>
      <c r="M403" s="24" t="s">
        <v>188</v>
      </c>
      <c r="N403" s="4" t="s">
        <v>189</v>
      </c>
      <c r="O403" s="4" t="s">
        <v>117</v>
      </c>
      <c r="P403" s="4" t="s">
        <v>118</v>
      </c>
      <c r="Q403" s="25" t="n">
        <v>89.99</v>
      </c>
      <c r="R403" s="25" t="n">
        <v>89.99</v>
      </c>
      <c r="S403" s="25" t="n">
        <v>45.15</v>
      </c>
      <c r="T403" s="26" t="n">
        <v>3</v>
      </c>
      <c r="U403" s="26"/>
      <c r="V403" s="26" t="n">
        <v>4</v>
      </c>
      <c r="W403" s="26" t="n">
        <v>1</v>
      </c>
      <c r="X403" s="27" t="n">
        <f aca="false">SUM(T403:W403)</f>
        <v>8</v>
      </c>
      <c r="Y403" s="28" t="n">
        <f aca="false">COUNT(T403:W403)</f>
        <v>3</v>
      </c>
      <c r="Z403" s="29" t="n">
        <f aca="false">R403*X403</f>
        <v>719.92</v>
      </c>
      <c r="AA403" s="30" t="n">
        <v>46161</v>
      </c>
    </row>
    <row r="404" customFormat="false" ht="15" hidden="false" customHeight="true" outlineLevel="0" collapsed="false">
      <c r="A404" s="4" t="s">
        <v>1576</v>
      </c>
      <c r="B404" s="4" t="s">
        <v>1577</v>
      </c>
      <c r="C404" s="4" t="s">
        <v>180</v>
      </c>
      <c r="D404" s="4" t="s">
        <v>181</v>
      </c>
      <c r="E404" s="4" t="s">
        <v>182</v>
      </c>
      <c r="F404" s="4" t="s">
        <v>183</v>
      </c>
      <c r="G404" s="4" t="s">
        <v>184</v>
      </c>
      <c r="H404" s="4" t="s">
        <v>185</v>
      </c>
      <c r="I404" s="4" t="s">
        <v>161</v>
      </c>
      <c r="J404" s="4" t="s">
        <v>186</v>
      </c>
      <c r="K404" s="4" t="s">
        <v>187</v>
      </c>
      <c r="L404" s="4" t="s">
        <v>176</v>
      </c>
      <c r="M404" s="24" t="s">
        <v>338</v>
      </c>
      <c r="N404" s="4" t="s">
        <v>189</v>
      </c>
      <c r="O404" s="4" t="s">
        <v>131</v>
      </c>
      <c r="P404" s="4" t="s">
        <v>118</v>
      </c>
      <c r="Q404" s="25" t="n">
        <v>89.99</v>
      </c>
      <c r="R404" s="25" t="n">
        <v>89.99</v>
      </c>
      <c r="S404" s="25" t="n">
        <v>45.49</v>
      </c>
      <c r="T404" s="26" t="n">
        <v>2</v>
      </c>
      <c r="U404" s="26" t="n">
        <v>4</v>
      </c>
      <c r="V404" s="26" t="n">
        <v>3</v>
      </c>
      <c r="W404" s="26"/>
      <c r="X404" s="27" t="n">
        <f aca="false">SUM(T404:W404)</f>
        <v>9</v>
      </c>
      <c r="Y404" s="28" t="n">
        <f aca="false">COUNT(T404:W404)</f>
        <v>3</v>
      </c>
      <c r="Z404" s="29" t="n">
        <f aca="false">R404*X404</f>
        <v>809.91</v>
      </c>
      <c r="AA404" s="30" t="n">
        <v>46203</v>
      </c>
    </row>
    <row r="405" customFormat="false" ht="15" hidden="false" customHeight="true" outlineLevel="0" collapsed="false">
      <c r="A405" s="4" t="s">
        <v>1578</v>
      </c>
      <c r="B405" s="4" t="s">
        <v>1579</v>
      </c>
      <c r="C405" s="4" t="s">
        <v>1021</v>
      </c>
      <c r="D405" s="4" t="s">
        <v>106</v>
      </c>
      <c r="E405" s="4" t="s">
        <v>157</v>
      </c>
      <c r="F405" s="4" t="s">
        <v>1022</v>
      </c>
      <c r="G405" s="4" t="s">
        <v>1023</v>
      </c>
      <c r="H405" s="4" t="s">
        <v>1024</v>
      </c>
      <c r="I405" s="4" t="s">
        <v>161</v>
      </c>
      <c r="J405" s="4" t="s">
        <v>235</v>
      </c>
      <c r="K405" s="4" t="s">
        <v>187</v>
      </c>
      <c r="L405" s="4" t="s">
        <v>379</v>
      </c>
      <c r="M405" s="24" t="s">
        <v>291</v>
      </c>
      <c r="N405" s="4" t="s">
        <v>189</v>
      </c>
      <c r="O405" s="4" t="s">
        <v>238</v>
      </c>
      <c r="P405" s="4" t="s">
        <v>118</v>
      </c>
      <c r="Q405" s="25" t="n">
        <v>99.99</v>
      </c>
      <c r="R405" s="25" t="n">
        <v>99.99</v>
      </c>
      <c r="S405" s="25" t="n">
        <v>50.01</v>
      </c>
      <c r="T405" s="26" t="n">
        <v>3</v>
      </c>
      <c r="U405" s="26" t="n">
        <v>0</v>
      </c>
      <c r="V405" s="26" t="n">
        <v>4</v>
      </c>
      <c r="W405" s="26"/>
      <c r="X405" s="27" t="n">
        <f aca="false">SUM(T405:W405)</f>
        <v>7</v>
      </c>
      <c r="Y405" s="28" t="n">
        <f aca="false">COUNT(T405:W405)</f>
        <v>3</v>
      </c>
      <c r="Z405" s="29" t="n">
        <f aca="false">R405*X405</f>
        <v>699.93</v>
      </c>
      <c r="AA405" s="30" t="n">
        <v>46049</v>
      </c>
    </row>
    <row r="406" customFormat="false" ht="15" hidden="false" customHeight="true" outlineLevel="0" collapsed="false">
      <c r="A406" s="4" t="s">
        <v>1580</v>
      </c>
      <c r="B406" s="4" t="s">
        <v>1581</v>
      </c>
      <c r="C406" s="4" t="s">
        <v>453</v>
      </c>
      <c r="D406" s="4" t="s">
        <v>251</v>
      </c>
      <c r="E406" s="4" t="s">
        <v>252</v>
      </c>
      <c r="F406" s="4" t="s">
        <v>454</v>
      </c>
      <c r="G406" s="4" t="s">
        <v>455</v>
      </c>
      <c r="H406" s="4" t="s">
        <v>456</v>
      </c>
      <c r="I406" s="4" t="s">
        <v>161</v>
      </c>
      <c r="J406" s="4" t="s">
        <v>235</v>
      </c>
      <c r="K406" s="4" t="s">
        <v>199</v>
      </c>
      <c r="L406" s="4" t="s">
        <v>457</v>
      </c>
      <c r="M406" s="24" t="s">
        <v>1145</v>
      </c>
      <c r="N406" s="4" t="s">
        <v>153</v>
      </c>
      <c r="O406" s="4" t="s">
        <v>380</v>
      </c>
      <c r="P406" s="4" t="s">
        <v>239</v>
      </c>
      <c r="Q406" s="25" t="n">
        <v>44.99</v>
      </c>
      <c r="R406" s="25" t="n">
        <v>33.99</v>
      </c>
      <c r="S406" s="25" t="n">
        <v>24.11</v>
      </c>
      <c r="T406" s="26"/>
      <c r="U406" s="26"/>
      <c r="V406" s="26" t="n">
        <v>5</v>
      </c>
      <c r="W406" s="26"/>
      <c r="X406" s="27" t="n">
        <f aca="false">SUM(T406:W406)</f>
        <v>5</v>
      </c>
      <c r="Y406" s="28" t="n">
        <f aca="false">COUNT(T406:W406)</f>
        <v>1</v>
      </c>
      <c r="Z406" s="29" t="n">
        <f aca="false">R406*X406</f>
        <v>169.95</v>
      </c>
      <c r="AA406" s="30" t="n">
        <v>46114</v>
      </c>
    </row>
    <row r="407" customFormat="false" ht="15" hidden="false" customHeight="true" outlineLevel="0" collapsed="false">
      <c r="A407" s="4" t="s">
        <v>1582</v>
      </c>
      <c r="B407" s="4" t="s">
        <v>1583</v>
      </c>
      <c r="C407" s="4" t="s">
        <v>1584</v>
      </c>
      <c r="D407" s="4" t="s">
        <v>484</v>
      </c>
      <c r="E407" s="4" t="s">
        <v>485</v>
      </c>
      <c r="F407" s="4" t="s">
        <v>1585</v>
      </c>
      <c r="G407" s="4" t="s">
        <v>1586</v>
      </c>
      <c r="H407" s="4" t="s">
        <v>1587</v>
      </c>
      <c r="I407" s="4" t="s">
        <v>161</v>
      </c>
      <c r="J407" s="4" t="s">
        <v>246</v>
      </c>
      <c r="K407" s="4" t="s">
        <v>209</v>
      </c>
      <c r="L407" s="4" t="s">
        <v>1588</v>
      </c>
      <c r="M407" s="24" t="s">
        <v>538</v>
      </c>
      <c r="N407" s="4" t="s">
        <v>153</v>
      </c>
      <c r="O407" s="4" t="s">
        <v>117</v>
      </c>
      <c r="P407" s="4" t="s">
        <v>118</v>
      </c>
      <c r="Q407" s="25" t="n">
        <v>109.99</v>
      </c>
      <c r="R407" s="25" t="n">
        <v>109.99</v>
      </c>
      <c r="S407" s="25" t="n">
        <v>57.68</v>
      </c>
      <c r="T407" s="26" t="n">
        <v>2</v>
      </c>
      <c r="U407" s="26" t="n">
        <v>2</v>
      </c>
      <c r="V407" s="26" t="n">
        <v>2</v>
      </c>
      <c r="W407" s="26" t="n">
        <v>0</v>
      </c>
      <c r="X407" s="27" t="n">
        <f aca="false">SUM(T407:W407)</f>
        <v>6</v>
      </c>
      <c r="Y407" s="28" t="n">
        <f aca="false">COUNT(T407:W407)</f>
        <v>4</v>
      </c>
      <c r="Z407" s="29" t="n">
        <f aca="false">R407*X407</f>
        <v>659.94</v>
      </c>
      <c r="AA407" s="30" t="n">
        <v>46149</v>
      </c>
    </row>
    <row r="408" customFormat="false" ht="15" hidden="false" customHeight="true" outlineLevel="0" collapsed="false">
      <c r="A408" s="4" t="s">
        <v>1589</v>
      </c>
      <c r="B408" s="4" t="s">
        <v>1590</v>
      </c>
      <c r="C408" s="4" t="s">
        <v>568</v>
      </c>
      <c r="D408" s="4" t="s">
        <v>122</v>
      </c>
      <c r="E408" s="4" t="s">
        <v>123</v>
      </c>
      <c r="F408" s="4" t="s">
        <v>569</v>
      </c>
      <c r="G408" s="4" t="s">
        <v>570</v>
      </c>
      <c r="H408" s="4" t="s">
        <v>571</v>
      </c>
      <c r="I408" s="4" t="s">
        <v>226</v>
      </c>
      <c r="J408" s="4" t="s">
        <v>265</v>
      </c>
      <c r="K408" s="4" t="s">
        <v>113</v>
      </c>
      <c r="L408" s="4" t="s">
        <v>572</v>
      </c>
      <c r="M408" s="24" t="s">
        <v>164</v>
      </c>
      <c r="N408" s="4" t="s">
        <v>116</v>
      </c>
      <c r="O408" s="4" t="s">
        <v>165</v>
      </c>
      <c r="P408" s="4" t="s">
        <v>118</v>
      </c>
      <c r="Q408" s="25" t="n">
        <v>159.99</v>
      </c>
      <c r="R408" s="25" t="n">
        <v>159.99</v>
      </c>
      <c r="S408" s="25" t="n">
        <v>86.99</v>
      </c>
      <c r="T408" s="26" t="n">
        <v>3</v>
      </c>
      <c r="U408" s="26" t="n">
        <v>5</v>
      </c>
      <c r="V408" s="26" t="n">
        <v>0</v>
      </c>
      <c r="W408" s="26"/>
      <c r="X408" s="27" t="n">
        <f aca="false">SUM(T408:W408)</f>
        <v>8</v>
      </c>
      <c r="Y408" s="28" t="n">
        <f aca="false">COUNT(T408:W408)</f>
        <v>3</v>
      </c>
      <c r="Z408" s="29" t="n">
        <f aca="false">R408*X408</f>
        <v>1279.92</v>
      </c>
      <c r="AA408" s="30" t="n">
        <v>46180</v>
      </c>
    </row>
    <row r="409" customFormat="false" ht="15" hidden="false" customHeight="true" outlineLevel="0" collapsed="false">
      <c r="A409" s="4" t="s">
        <v>1591</v>
      </c>
      <c r="B409" s="4" t="s">
        <v>1592</v>
      </c>
      <c r="C409" s="4" t="s">
        <v>1342</v>
      </c>
      <c r="D409" s="4" t="s">
        <v>145</v>
      </c>
      <c r="E409" s="4" t="s">
        <v>146</v>
      </c>
      <c r="F409" s="4" t="s">
        <v>1343</v>
      </c>
      <c r="G409" s="4" t="s">
        <v>1344</v>
      </c>
      <c r="H409" s="4" t="s">
        <v>1345</v>
      </c>
      <c r="I409" s="4" t="s">
        <v>127</v>
      </c>
      <c r="J409" s="4" t="s">
        <v>347</v>
      </c>
      <c r="K409" s="4" t="s">
        <v>113</v>
      </c>
      <c r="L409" s="4" t="s">
        <v>1346</v>
      </c>
      <c r="M409" s="24" t="s">
        <v>130</v>
      </c>
      <c r="N409" s="4" t="s">
        <v>116</v>
      </c>
      <c r="O409" s="4" t="s">
        <v>165</v>
      </c>
      <c r="P409" s="4" t="s">
        <v>118</v>
      </c>
      <c r="Q409" s="25" t="n">
        <v>159.99</v>
      </c>
      <c r="R409" s="25" t="n">
        <v>159.99</v>
      </c>
      <c r="S409" s="25" t="n">
        <v>85.81</v>
      </c>
      <c r="T409" s="26" t="n">
        <v>0</v>
      </c>
      <c r="U409" s="26"/>
      <c r="V409" s="26" t="n">
        <v>4</v>
      </c>
      <c r="W409" s="26" t="n">
        <v>1</v>
      </c>
      <c r="X409" s="27" t="n">
        <f aca="false">SUM(T409:W409)</f>
        <v>5</v>
      </c>
      <c r="Y409" s="28" t="n">
        <f aca="false">COUNT(T409:W409)</f>
        <v>3</v>
      </c>
      <c r="Z409" s="29" t="n">
        <f aca="false">R409*X409</f>
        <v>799.95</v>
      </c>
      <c r="AA409" s="30" t="n">
        <v>46073</v>
      </c>
    </row>
    <row r="410" customFormat="false" ht="15" hidden="false" customHeight="true" outlineLevel="0" collapsed="false">
      <c r="A410" s="4" t="s">
        <v>1593</v>
      </c>
      <c r="B410" s="4" t="s">
        <v>1594</v>
      </c>
      <c r="C410" s="4" t="s">
        <v>1052</v>
      </c>
      <c r="D410" s="4" t="s">
        <v>583</v>
      </c>
      <c r="E410" s="4" t="s">
        <v>584</v>
      </c>
      <c r="F410" s="4" t="s">
        <v>1053</v>
      </c>
      <c r="G410" s="4" t="s">
        <v>1054</v>
      </c>
      <c r="H410" s="4" t="s">
        <v>1055</v>
      </c>
      <c r="I410" s="4" t="s">
        <v>127</v>
      </c>
      <c r="J410" s="4" t="s">
        <v>128</v>
      </c>
      <c r="K410" s="4" t="s">
        <v>113</v>
      </c>
      <c r="L410" s="4" t="s">
        <v>1056</v>
      </c>
      <c r="M410" s="24" t="s">
        <v>177</v>
      </c>
      <c r="N410" s="4" t="s">
        <v>116</v>
      </c>
      <c r="O410" s="4" t="s">
        <v>131</v>
      </c>
      <c r="P410" s="4" t="s">
        <v>118</v>
      </c>
      <c r="Q410" s="25" t="n">
        <v>79.99</v>
      </c>
      <c r="R410" s="25" t="n">
        <v>79.99</v>
      </c>
      <c r="S410" s="25" t="n">
        <v>40.55</v>
      </c>
      <c r="T410" s="26" t="n">
        <v>5</v>
      </c>
      <c r="U410" s="26" t="n">
        <v>0</v>
      </c>
      <c r="V410" s="26" t="n">
        <v>3</v>
      </c>
      <c r="W410" s="26"/>
      <c r="X410" s="27" t="n">
        <f aca="false">SUM(T410:W410)</f>
        <v>8</v>
      </c>
      <c r="Y410" s="28" t="n">
        <f aca="false">COUNT(T410:W410)</f>
        <v>3</v>
      </c>
      <c r="Z410" s="29" t="n">
        <f aca="false">R410*X410</f>
        <v>639.92</v>
      </c>
      <c r="AA410" s="30" t="n">
        <v>46178</v>
      </c>
    </row>
    <row r="411" customFormat="false" ht="15" hidden="false" customHeight="true" outlineLevel="0" collapsed="false">
      <c r="A411" s="4" t="s">
        <v>1595</v>
      </c>
      <c r="B411" s="4" t="s">
        <v>1596</v>
      </c>
      <c r="C411" s="4" t="s">
        <v>412</v>
      </c>
      <c r="D411" s="4" t="s">
        <v>135</v>
      </c>
      <c r="E411" s="4" t="s">
        <v>136</v>
      </c>
      <c r="F411" s="4" t="s">
        <v>413</v>
      </c>
      <c r="G411" s="4" t="s">
        <v>414</v>
      </c>
      <c r="H411" s="4" t="s">
        <v>415</v>
      </c>
      <c r="I411" s="4" t="s">
        <v>161</v>
      </c>
      <c r="J411" s="4" t="s">
        <v>246</v>
      </c>
      <c r="K411" s="4" t="s">
        <v>113</v>
      </c>
      <c r="L411" s="4" t="s">
        <v>416</v>
      </c>
      <c r="M411" s="24" t="s">
        <v>258</v>
      </c>
      <c r="N411" s="4" t="s">
        <v>116</v>
      </c>
      <c r="O411" s="4" t="s">
        <v>238</v>
      </c>
      <c r="P411" s="4" t="s">
        <v>239</v>
      </c>
      <c r="Q411" s="25" t="n">
        <v>89.99</v>
      </c>
      <c r="R411" s="25" t="n">
        <v>53.99</v>
      </c>
      <c r="S411" s="25" t="n">
        <v>46.24</v>
      </c>
      <c r="T411" s="26" t="n">
        <v>0</v>
      </c>
      <c r="U411" s="26" t="n">
        <v>0</v>
      </c>
      <c r="V411" s="26" t="n">
        <v>4</v>
      </c>
      <c r="W411" s="26" t="n">
        <v>2</v>
      </c>
      <c r="X411" s="27" t="n">
        <f aca="false">SUM(T411:W411)</f>
        <v>6</v>
      </c>
      <c r="Y411" s="28" t="n">
        <f aca="false">COUNT(T411:W411)</f>
        <v>4</v>
      </c>
      <c r="Z411" s="29" t="n">
        <f aca="false">R411*X411</f>
        <v>323.94</v>
      </c>
      <c r="AA411" s="30" t="n">
        <v>46097</v>
      </c>
    </row>
    <row r="412" customFormat="false" ht="15" hidden="false" customHeight="true" outlineLevel="0" collapsed="false">
      <c r="A412" s="4" t="s">
        <v>1597</v>
      </c>
      <c r="B412" s="4" t="s">
        <v>1598</v>
      </c>
      <c r="C412" s="4" t="s">
        <v>1052</v>
      </c>
      <c r="D412" s="4" t="s">
        <v>583</v>
      </c>
      <c r="E412" s="4" t="s">
        <v>584</v>
      </c>
      <c r="F412" s="4" t="s">
        <v>1053</v>
      </c>
      <c r="G412" s="4" t="s">
        <v>1054</v>
      </c>
      <c r="H412" s="4" t="s">
        <v>1055</v>
      </c>
      <c r="I412" s="4" t="s">
        <v>127</v>
      </c>
      <c r="J412" s="4" t="s">
        <v>128</v>
      </c>
      <c r="K412" s="4" t="s">
        <v>113</v>
      </c>
      <c r="L412" s="4" t="s">
        <v>1056</v>
      </c>
      <c r="M412" s="24" t="s">
        <v>258</v>
      </c>
      <c r="N412" s="4" t="s">
        <v>116</v>
      </c>
      <c r="O412" s="4" t="s">
        <v>131</v>
      </c>
      <c r="P412" s="4" t="s">
        <v>118</v>
      </c>
      <c r="Q412" s="25" t="n">
        <v>79.99</v>
      </c>
      <c r="R412" s="25" t="n">
        <v>79.99</v>
      </c>
      <c r="S412" s="25" t="n">
        <v>40.55</v>
      </c>
      <c r="T412" s="26" t="n">
        <v>2</v>
      </c>
      <c r="U412" s="26" t="n">
        <v>1</v>
      </c>
      <c r="V412" s="26" t="n">
        <v>5</v>
      </c>
      <c r="W412" s="26"/>
      <c r="X412" s="27" t="n">
        <f aca="false">SUM(T412:W412)</f>
        <v>8</v>
      </c>
      <c r="Y412" s="28" t="n">
        <f aca="false">COUNT(T412:W412)</f>
        <v>3</v>
      </c>
      <c r="Z412" s="29" t="n">
        <f aca="false">R412*X412</f>
        <v>639.92</v>
      </c>
      <c r="AA412" s="30" t="n">
        <v>46045</v>
      </c>
    </row>
    <row r="413" customFormat="false" ht="15" hidden="false" customHeight="true" outlineLevel="0" collapsed="false">
      <c r="A413" s="4" t="s">
        <v>1599</v>
      </c>
      <c r="B413" s="4" t="s">
        <v>1600</v>
      </c>
      <c r="C413" s="4" t="s">
        <v>1191</v>
      </c>
      <c r="D413" s="4" t="s">
        <v>106</v>
      </c>
      <c r="E413" s="4" t="s">
        <v>107</v>
      </c>
      <c r="F413" s="4" t="s">
        <v>1192</v>
      </c>
      <c r="G413" s="4" t="s">
        <v>1193</v>
      </c>
      <c r="H413" s="4" t="s">
        <v>1194</v>
      </c>
      <c r="I413" s="4" t="s">
        <v>771</v>
      </c>
      <c r="J413" s="4" t="s">
        <v>772</v>
      </c>
      <c r="K413" s="4" t="s">
        <v>113</v>
      </c>
      <c r="L413" s="4" t="s">
        <v>1195</v>
      </c>
      <c r="M413" s="24" t="s">
        <v>177</v>
      </c>
      <c r="N413" s="4" t="s">
        <v>116</v>
      </c>
      <c r="O413" s="4" t="s">
        <v>131</v>
      </c>
      <c r="P413" s="4" t="s">
        <v>118</v>
      </c>
      <c r="Q413" s="25" t="n">
        <v>119.99</v>
      </c>
      <c r="R413" s="25" t="n">
        <v>119.99</v>
      </c>
      <c r="S413" s="25" t="n">
        <v>66.66</v>
      </c>
      <c r="T413" s="26" t="n">
        <v>3</v>
      </c>
      <c r="U413" s="26" t="n">
        <v>2</v>
      </c>
      <c r="V413" s="26" t="n">
        <v>2</v>
      </c>
      <c r="W413" s="26"/>
      <c r="X413" s="27" t="n">
        <f aca="false">SUM(T413:W413)</f>
        <v>7</v>
      </c>
      <c r="Y413" s="28" t="n">
        <f aca="false">COUNT(T413:W413)</f>
        <v>3</v>
      </c>
      <c r="Z413" s="29" t="n">
        <f aca="false">R413*X413</f>
        <v>839.93</v>
      </c>
      <c r="AA413" s="30" t="n">
        <v>46051</v>
      </c>
    </row>
    <row r="414" customFormat="false" ht="15" hidden="false" customHeight="true" outlineLevel="0" collapsed="false">
      <c r="A414" s="4" t="s">
        <v>1601</v>
      </c>
      <c r="B414" s="4" t="s">
        <v>1602</v>
      </c>
      <c r="C414" s="4" t="s">
        <v>1103</v>
      </c>
      <c r="D414" s="4" t="s">
        <v>122</v>
      </c>
      <c r="E414" s="4" t="s">
        <v>285</v>
      </c>
      <c r="F414" s="4" t="s">
        <v>1104</v>
      </c>
      <c r="G414" s="4" t="s">
        <v>1105</v>
      </c>
      <c r="H414" s="4" t="s">
        <v>1106</v>
      </c>
      <c r="I414" s="4" t="s">
        <v>226</v>
      </c>
      <c r="J414" s="4" t="s">
        <v>265</v>
      </c>
      <c r="K414" s="4" t="s">
        <v>113</v>
      </c>
      <c r="L414" s="4" t="s">
        <v>1107</v>
      </c>
      <c r="M414" s="24" t="s">
        <v>141</v>
      </c>
      <c r="N414" s="4" t="s">
        <v>116</v>
      </c>
      <c r="O414" s="4" t="s">
        <v>165</v>
      </c>
      <c r="P414" s="4" t="s">
        <v>118</v>
      </c>
      <c r="Q414" s="25" t="n">
        <v>119.99</v>
      </c>
      <c r="R414" s="25" t="n">
        <v>119.99</v>
      </c>
      <c r="S414" s="25" t="n">
        <v>66.9</v>
      </c>
      <c r="T414" s="26" t="n">
        <v>4</v>
      </c>
      <c r="U414" s="26" t="n">
        <v>1</v>
      </c>
      <c r="V414" s="26" t="n">
        <v>5</v>
      </c>
      <c r="W414" s="26"/>
      <c r="X414" s="27" t="n">
        <f aca="false">SUM(T414:W414)</f>
        <v>10</v>
      </c>
      <c r="Y414" s="28" t="n">
        <f aca="false">COUNT(T414:W414)</f>
        <v>3</v>
      </c>
      <c r="Z414" s="29" t="n">
        <f aca="false">R414*X414</f>
        <v>1199.9</v>
      </c>
      <c r="AA414" s="30" t="n">
        <v>46052</v>
      </c>
    </row>
    <row r="415" customFormat="false" ht="15" hidden="false" customHeight="true" outlineLevel="0" collapsed="false">
      <c r="A415" s="4" t="s">
        <v>1603</v>
      </c>
      <c r="B415" s="4" t="s">
        <v>1604</v>
      </c>
      <c r="C415" s="4" t="s">
        <v>701</v>
      </c>
      <c r="D415" s="4" t="s">
        <v>475</v>
      </c>
      <c r="E415" s="4" t="s">
        <v>476</v>
      </c>
      <c r="F415" s="4" t="s">
        <v>702</v>
      </c>
      <c r="G415" s="4" t="s">
        <v>703</v>
      </c>
      <c r="H415" s="4" t="s">
        <v>704</v>
      </c>
      <c r="I415" s="4" t="s">
        <v>161</v>
      </c>
      <c r="J415" s="4" t="s">
        <v>186</v>
      </c>
      <c r="K415" s="4" t="s">
        <v>209</v>
      </c>
      <c r="L415" s="4" t="s">
        <v>705</v>
      </c>
      <c r="M415" s="24" t="s">
        <v>356</v>
      </c>
      <c r="N415" s="4" t="s">
        <v>153</v>
      </c>
      <c r="O415" s="4" t="s">
        <v>131</v>
      </c>
      <c r="P415" s="4" t="s">
        <v>118</v>
      </c>
      <c r="Q415" s="25" t="n">
        <v>64.99</v>
      </c>
      <c r="R415" s="25" t="n">
        <v>64.99</v>
      </c>
      <c r="S415" s="25" t="n">
        <v>34.43</v>
      </c>
      <c r="T415" s="26"/>
      <c r="U415" s="26"/>
      <c r="V415" s="26" t="n">
        <v>0</v>
      </c>
      <c r="W415" s="26"/>
      <c r="X415" s="27" t="n">
        <f aca="false">SUM(T415:W415)</f>
        <v>0</v>
      </c>
      <c r="Y415" s="28" t="n">
        <f aca="false">COUNT(T415:W415)</f>
        <v>1</v>
      </c>
      <c r="Z415" s="29" t="n">
        <f aca="false">R415*X415</f>
        <v>0</v>
      </c>
      <c r="AA415" s="30" t="n">
        <v>46136</v>
      </c>
    </row>
    <row r="416" customFormat="false" ht="15" hidden="false" customHeight="true" outlineLevel="0" collapsed="false">
      <c r="A416" s="4" t="s">
        <v>1605</v>
      </c>
      <c r="B416" s="4" t="s">
        <v>1606</v>
      </c>
      <c r="C416" s="4" t="s">
        <v>330</v>
      </c>
      <c r="D416" s="4" t="s">
        <v>331</v>
      </c>
      <c r="E416" s="4" t="s">
        <v>332</v>
      </c>
      <c r="F416" s="4" t="s">
        <v>333</v>
      </c>
      <c r="G416" s="4" t="s">
        <v>334</v>
      </c>
      <c r="H416" s="4" t="s">
        <v>335</v>
      </c>
      <c r="I416" s="4" t="s">
        <v>161</v>
      </c>
      <c r="J416" s="4" t="s">
        <v>336</v>
      </c>
      <c r="K416" s="4" t="s">
        <v>187</v>
      </c>
      <c r="L416" s="4" t="s">
        <v>337</v>
      </c>
      <c r="M416" s="24" t="s">
        <v>291</v>
      </c>
      <c r="N416" s="4" t="s">
        <v>189</v>
      </c>
      <c r="O416" s="4" t="s">
        <v>165</v>
      </c>
      <c r="P416" s="4" t="s">
        <v>118</v>
      </c>
      <c r="Q416" s="25" t="n">
        <v>159.99</v>
      </c>
      <c r="R416" s="25" t="n">
        <v>159.99</v>
      </c>
      <c r="S416" s="25" t="n">
        <v>87.47</v>
      </c>
      <c r="T416" s="26" t="n">
        <v>2</v>
      </c>
      <c r="U416" s="26" t="n">
        <v>2</v>
      </c>
      <c r="V416" s="26" t="n">
        <v>3</v>
      </c>
      <c r="W416" s="26"/>
      <c r="X416" s="27" t="n">
        <f aca="false">SUM(T416:W416)</f>
        <v>7</v>
      </c>
      <c r="Y416" s="28" t="n">
        <f aca="false">COUNT(T416:W416)</f>
        <v>3</v>
      </c>
      <c r="Z416" s="29" t="n">
        <f aca="false">R416*X416</f>
        <v>1119.93</v>
      </c>
      <c r="AA416" s="30" t="n">
        <v>46085</v>
      </c>
    </row>
    <row r="417" customFormat="false" ht="15" hidden="false" customHeight="true" outlineLevel="0" collapsed="false">
      <c r="A417" s="4" t="s">
        <v>1607</v>
      </c>
      <c r="B417" s="4" t="s">
        <v>1608</v>
      </c>
      <c r="C417" s="4" t="s">
        <v>269</v>
      </c>
      <c r="D417" s="4" t="s">
        <v>122</v>
      </c>
      <c r="E417" s="4" t="s">
        <v>123</v>
      </c>
      <c r="F417" s="4" t="s">
        <v>270</v>
      </c>
      <c r="G417" s="4" t="s">
        <v>271</v>
      </c>
      <c r="H417" s="4" t="s">
        <v>272</v>
      </c>
      <c r="I417" s="4" t="s">
        <v>161</v>
      </c>
      <c r="J417" s="4" t="s">
        <v>235</v>
      </c>
      <c r="K417" s="4" t="s">
        <v>113</v>
      </c>
      <c r="L417" s="4" t="s">
        <v>273</v>
      </c>
      <c r="M417" s="24" t="s">
        <v>211</v>
      </c>
      <c r="N417" s="4" t="s">
        <v>116</v>
      </c>
      <c r="O417" s="4" t="s">
        <v>165</v>
      </c>
      <c r="P417" s="4" t="s">
        <v>118</v>
      </c>
      <c r="Q417" s="25" t="n">
        <v>79.99</v>
      </c>
      <c r="R417" s="25" t="n">
        <v>79.99</v>
      </c>
      <c r="S417" s="25" t="n">
        <v>42.84</v>
      </c>
      <c r="T417" s="26" t="n">
        <v>1</v>
      </c>
      <c r="U417" s="26" t="n">
        <v>1</v>
      </c>
      <c r="V417" s="26" t="n">
        <v>2</v>
      </c>
      <c r="W417" s="26" t="n">
        <v>2</v>
      </c>
      <c r="X417" s="27" t="n">
        <f aca="false">SUM(T417:W417)</f>
        <v>6</v>
      </c>
      <c r="Y417" s="28" t="n">
        <f aca="false">COUNT(T417:W417)</f>
        <v>4</v>
      </c>
      <c r="Z417" s="29" t="n">
        <f aca="false">R417*X417</f>
        <v>479.94</v>
      </c>
      <c r="AA417" s="30" t="n">
        <v>46214</v>
      </c>
    </row>
    <row r="418" customFormat="false" ht="15" hidden="false" customHeight="true" outlineLevel="0" collapsed="false">
      <c r="A418" s="4" t="s">
        <v>1609</v>
      </c>
      <c r="B418" s="4" t="s">
        <v>1610</v>
      </c>
      <c r="C418" s="4" t="s">
        <v>294</v>
      </c>
      <c r="D418" s="4" t="s">
        <v>251</v>
      </c>
      <c r="E418" s="4" t="s">
        <v>252</v>
      </c>
      <c r="F418" s="4" t="s">
        <v>295</v>
      </c>
      <c r="G418" s="4" t="s">
        <v>296</v>
      </c>
      <c r="H418" s="4" t="s">
        <v>297</v>
      </c>
      <c r="I418" s="4" t="s">
        <v>127</v>
      </c>
      <c r="J418" s="4" t="s">
        <v>298</v>
      </c>
      <c r="K418" s="4" t="s">
        <v>113</v>
      </c>
      <c r="L418" s="4" t="s">
        <v>299</v>
      </c>
      <c r="M418" s="24" t="s">
        <v>177</v>
      </c>
      <c r="N418" s="4" t="s">
        <v>116</v>
      </c>
      <c r="O418" s="4" t="s">
        <v>165</v>
      </c>
      <c r="P418" s="4" t="s">
        <v>118</v>
      </c>
      <c r="Q418" s="25" t="n">
        <v>79.99</v>
      </c>
      <c r="R418" s="25" t="n">
        <v>79.99</v>
      </c>
      <c r="S418" s="25" t="n">
        <v>41.96</v>
      </c>
      <c r="T418" s="26" t="n">
        <v>3</v>
      </c>
      <c r="U418" s="26"/>
      <c r="V418" s="26" t="n">
        <v>5</v>
      </c>
      <c r="W418" s="26" t="n">
        <v>3</v>
      </c>
      <c r="X418" s="27" t="n">
        <f aca="false">SUM(T418:W418)</f>
        <v>11</v>
      </c>
      <c r="Y418" s="28" t="n">
        <f aca="false">COUNT(T418:W418)</f>
        <v>3</v>
      </c>
      <c r="Z418" s="29" t="n">
        <f aca="false">R418*X418</f>
        <v>879.89</v>
      </c>
      <c r="AA418" s="30" t="n">
        <v>46151</v>
      </c>
    </row>
    <row r="419" customFormat="false" ht="15" hidden="false" customHeight="true" outlineLevel="0" collapsed="false">
      <c r="A419" s="4" t="s">
        <v>1611</v>
      </c>
      <c r="B419" s="4" t="s">
        <v>1612</v>
      </c>
      <c r="C419" s="4" t="s">
        <v>396</v>
      </c>
      <c r="D419" s="4" t="s">
        <v>106</v>
      </c>
      <c r="E419" s="4" t="s">
        <v>107</v>
      </c>
      <c r="F419" s="4" t="s">
        <v>397</v>
      </c>
      <c r="G419" s="4" t="s">
        <v>398</v>
      </c>
      <c r="H419" s="4" t="s">
        <v>399</v>
      </c>
      <c r="I419" s="4" t="s">
        <v>161</v>
      </c>
      <c r="J419" s="4" t="s">
        <v>235</v>
      </c>
      <c r="K419" s="4" t="s">
        <v>199</v>
      </c>
      <c r="L419" s="4" t="s">
        <v>400</v>
      </c>
      <c r="M419" s="24" t="s">
        <v>1145</v>
      </c>
      <c r="N419" s="4" t="s">
        <v>153</v>
      </c>
      <c r="O419" s="4" t="s">
        <v>165</v>
      </c>
      <c r="P419" s="4" t="s">
        <v>118</v>
      </c>
      <c r="Q419" s="25" t="n">
        <v>49.99</v>
      </c>
      <c r="R419" s="25" t="n">
        <v>49.99</v>
      </c>
      <c r="S419" s="25" t="n">
        <v>24.93</v>
      </c>
      <c r="T419" s="26" t="n">
        <v>4</v>
      </c>
      <c r="U419" s="26" t="n">
        <v>5</v>
      </c>
      <c r="V419" s="26" t="n">
        <v>4</v>
      </c>
      <c r="W419" s="26" t="n">
        <v>2</v>
      </c>
      <c r="X419" s="27" t="n">
        <f aca="false">SUM(T419:W419)</f>
        <v>15</v>
      </c>
      <c r="Y419" s="28" t="n">
        <f aca="false">COUNT(T419:W419)</f>
        <v>4</v>
      </c>
      <c r="Z419" s="29" t="n">
        <f aca="false">R419*X419</f>
        <v>749.85</v>
      </c>
      <c r="AA419" s="30" t="n">
        <v>46031</v>
      </c>
    </row>
    <row r="420" customFormat="false" ht="15" hidden="false" customHeight="true" outlineLevel="0" collapsed="false">
      <c r="A420" s="4" t="s">
        <v>1613</v>
      </c>
      <c r="B420" s="4" t="s">
        <v>1614</v>
      </c>
      <c r="C420" s="4" t="s">
        <v>1320</v>
      </c>
      <c r="D420" s="4" t="s">
        <v>106</v>
      </c>
      <c r="E420" s="4" t="s">
        <v>157</v>
      </c>
      <c r="F420" s="4" t="s">
        <v>495</v>
      </c>
      <c r="G420" s="4" t="s">
        <v>1321</v>
      </c>
      <c r="H420" s="4" t="s">
        <v>1322</v>
      </c>
      <c r="I420" s="4" t="s">
        <v>161</v>
      </c>
      <c r="J420" s="4" t="s">
        <v>162</v>
      </c>
      <c r="K420" s="4" t="s">
        <v>187</v>
      </c>
      <c r="L420" s="4" t="s">
        <v>1323</v>
      </c>
      <c r="M420" s="24" t="s">
        <v>356</v>
      </c>
      <c r="N420" s="4" t="s">
        <v>189</v>
      </c>
      <c r="O420" s="4" t="s">
        <v>165</v>
      </c>
      <c r="P420" s="4" t="s">
        <v>118</v>
      </c>
      <c r="Q420" s="25" t="n">
        <v>109.99</v>
      </c>
      <c r="R420" s="25" t="n">
        <v>109.99</v>
      </c>
      <c r="S420" s="25" t="n">
        <v>55.13</v>
      </c>
      <c r="T420" s="26" t="n">
        <v>4</v>
      </c>
      <c r="U420" s="26"/>
      <c r="V420" s="26" t="n">
        <v>6</v>
      </c>
      <c r="W420" s="26"/>
      <c r="X420" s="27" t="n">
        <f aca="false">SUM(T420:W420)</f>
        <v>10</v>
      </c>
      <c r="Y420" s="28" t="n">
        <f aca="false">COUNT(T420:W420)</f>
        <v>2</v>
      </c>
      <c r="Z420" s="29" t="n">
        <f aca="false">R420*X420</f>
        <v>1099.9</v>
      </c>
      <c r="AA420" s="30" t="n">
        <v>46153</v>
      </c>
    </row>
    <row r="421" customFormat="false" ht="15" hidden="false" customHeight="true" outlineLevel="0" collapsed="false">
      <c r="A421" s="4" t="s">
        <v>1615</v>
      </c>
      <c r="B421" s="4" t="s">
        <v>1616</v>
      </c>
      <c r="C421" s="4" t="s">
        <v>562</v>
      </c>
      <c r="D421" s="4" t="s">
        <v>145</v>
      </c>
      <c r="E421" s="4" t="s">
        <v>146</v>
      </c>
      <c r="F421" s="4" t="s">
        <v>563</v>
      </c>
      <c r="G421" s="4" t="s">
        <v>564</v>
      </c>
      <c r="H421" s="4" t="s">
        <v>565</v>
      </c>
      <c r="I421" s="4" t="s">
        <v>127</v>
      </c>
      <c r="J421" s="4" t="s">
        <v>128</v>
      </c>
      <c r="K421" s="4" t="s">
        <v>113</v>
      </c>
      <c r="L421" s="4" t="s">
        <v>464</v>
      </c>
      <c r="M421" s="24" t="s">
        <v>188</v>
      </c>
      <c r="N421" s="4" t="s">
        <v>116</v>
      </c>
      <c r="O421" s="4" t="s">
        <v>131</v>
      </c>
      <c r="P421" s="4" t="s">
        <v>239</v>
      </c>
      <c r="Q421" s="25" t="n">
        <v>84.99</v>
      </c>
      <c r="R421" s="25" t="n">
        <v>54.99</v>
      </c>
      <c r="S421" s="25" t="n">
        <v>45.86</v>
      </c>
      <c r="T421" s="26" t="n">
        <v>2</v>
      </c>
      <c r="U421" s="26" t="n">
        <v>0</v>
      </c>
      <c r="V421" s="26" t="n">
        <v>0</v>
      </c>
      <c r="W421" s="26" t="n">
        <v>2</v>
      </c>
      <c r="X421" s="27" t="n">
        <f aca="false">SUM(T421:W421)</f>
        <v>4</v>
      </c>
      <c r="Y421" s="28" t="n">
        <f aca="false">COUNT(T421:W421)</f>
        <v>4</v>
      </c>
      <c r="Z421" s="29" t="n">
        <f aca="false">R421*X421</f>
        <v>219.96</v>
      </c>
      <c r="AA421" s="30" t="n">
        <v>46153</v>
      </c>
    </row>
    <row r="422" customFormat="false" ht="15" hidden="false" customHeight="true" outlineLevel="0" collapsed="false">
      <c r="A422" s="4" t="s">
        <v>1617</v>
      </c>
      <c r="B422" s="4" t="s">
        <v>1618</v>
      </c>
      <c r="C422" s="4" t="s">
        <v>568</v>
      </c>
      <c r="D422" s="4" t="s">
        <v>122</v>
      </c>
      <c r="E422" s="4" t="s">
        <v>123</v>
      </c>
      <c r="F422" s="4" t="s">
        <v>569</v>
      </c>
      <c r="G422" s="4" t="s">
        <v>570</v>
      </c>
      <c r="H422" s="4" t="s">
        <v>571</v>
      </c>
      <c r="I422" s="4" t="s">
        <v>226</v>
      </c>
      <c r="J422" s="4" t="s">
        <v>265</v>
      </c>
      <c r="K422" s="4" t="s">
        <v>113</v>
      </c>
      <c r="L422" s="4" t="s">
        <v>572</v>
      </c>
      <c r="M422" s="24" t="s">
        <v>258</v>
      </c>
      <c r="N422" s="4" t="s">
        <v>116</v>
      </c>
      <c r="O422" s="4" t="s">
        <v>165</v>
      </c>
      <c r="P422" s="4" t="s">
        <v>118</v>
      </c>
      <c r="Q422" s="25" t="n">
        <v>159.99</v>
      </c>
      <c r="R422" s="25" t="n">
        <v>159.99</v>
      </c>
      <c r="S422" s="25" t="n">
        <v>86.99</v>
      </c>
      <c r="T422" s="26" t="n">
        <v>5</v>
      </c>
      <c r="U422" s="26" t="n">
        <v>0</v>
      </c>
      <c r="V422" s="26" t="n">
        <v>5</v>
      </c>
      <c r="W422" s="26"/>
      <c r="X422" s="27" t="n">
        <f aca="false">SUM(T422:W422)</f>
        <v>10</v>
      </c>
      <c r="Y422" s="28" t="n">
        <f aca="false">COUNT(T422:W422)</f>
        <v>3</v>
      </c>
      <c r="Z422" s="29" t="n">
        <f aca="false">R422*X422</f>
        <v>1599.9</v>
      </c>
      <c r="AA422" s="30" t="n">
        <v>46158</v>
      </c>
    </row>
    <row r="423" customFormat="false" ht="15" hidden="false" customHeight="true" outlineLevel="0" collapsed="false">
      <c r="A423" s="4" t="s">
        <v>1619</v>
      </c>
      <c r="B423" s="4" t="s">
        <v>1620</v>
      </c>
      <c r="C423" s="4" t="s">
        <v>302</v>
      </c>
      <c r="D423" s="4" t="s">
        <v>122</v>
      </c>
      <c r="E423" s="4" t="s">
        <v>123</v>
      </c>
      <c r="F423" s="4" t="s">
        <v>303</v>
      </c>
      <c r="G423" s="4" t="s">
        <v>304</v>
      </c>
      <c r="H423" s="4" t="s">
        <v>305</v>
      </c>
      <c r="I423" s="4" t="s">
        <v>127</v>
      </c>
      <c r="J423" s="4" t="s">
        <v>306</v>
      </c>
      <c r="K423" s="4" t="s">
        <v>187</v>
      </c>
      <c r="L423" s="4" t="s">
        <v>307</v>
      </c>
      <c r="M423" s="24" t="s">
        <v>338</v>
      </c>
      <c r="N423" s="4" t="s">
        <v>189</v>
      </c>
      <c r="O423" s="4" t="s">
        <v>165</v>
      </c>
      <c r="P423" s="4" t="s">
        <v>118</v>
      </c>
      <c r="Q423" s="25" t="n">
        <v>164.99</v>
      </c>
      <c r="R423" s="25" t="n">
        <v>164.99</v>
      </c>
      <c r="S423" s="25" t="n">
        <v>89.57</v>
      </c>
      <c r="T423" s="26" t="n">
        <v>4</v>
      </c>
      <c r="U423" s="26" t="n">
        <v>3</v>
      </c>
      <c r="V423" s="26" t="n">
        <v>5</v>
      </c>
      <c r="W423" s="26" t="n">
        <v>0</v>
      </c>
      <c r="X423" s="27" t="n">
        <f aca="false">SUM(T423:W423)</f>
        <v>12</v>
      </c>
      <c r="Y423" s="28" t="n">
        <f aca="false">COUNT(T423:W423)</f>
        <v>4</v>
      </c>
      <c r="Z423" s="29" t="n">
        <f aca="false">R423*X423</f>
        <v>1979.88</v>
      </c>
      <c r="AA423" s="30" t="n">
        <v>46226</v>
      </c>
    </row>
    <row r="424" customFormat="false" ht="15" hidden="false" customHeight="true" outlineLevel="0" collapsed="false">
      <c r="A424" s="4" t="s">
        <v>1621</v>
      </c>
      <c r="B424" s="4" t="s">
        <v>1622</v>
      </c>
      <c r="C424" s="4" t="s">
        <v>883</v>
      </c>
      <c r="D424" s="4" t="s">
        <v>122</v>
      </c>
      <c r="E424" s="4" t="s">
        <v>123</v>
      </c>
      <c r="F424" s="4" t="s">
        <v>884</v>
      </c>
      <c r="G424" s="4" t="s">
        <v>885</v>
      </c>
      <c r="H424" s="4" t="s">
        <v>886</v>
      </c>
      <c r="I424" s="4" t="s">
        <v>127</v>
      </c>
      <c r="J424" s="4" t="s">
        <v>218</v>
      </c>
      <c r="K424" s="4" t="s">
        <v>113</v>
      </c>
      <c r="L424" s="4" t="s">
        <v>579</v>
      </c>
      <c r="M424" s="24" t="s">
        <v>211</v>
      </c>
      <c r="N424" s="4" t="s">
        <v>116</v>
      </c>
      <c r="O424" s="4" t="s">
        <v>380</v>
      </c>
      <c r="P424" s="4" t="s">
        <v>239</v>
      </c>
      <c r="Q424" s="25" t="n">
        <v>154.99</v>
      </c>
      <c r="R424" s="25" t="n">
        <v>115.99</v>
      </c>
      <c r="S424" s="25" t="n">
        <v>75.44</v>
      </c>
      <c r="T424" s="26" t="n">
        <v>3</v>
      </c>
      <c r="U424" s="26" t="n">
        <v>3</v>
      </c>
      <c r="V424" s="26" t="n">
        <v>6</v>
      </c>
      <c r="W424" s="26" t="n">
        <v>0</v>
      </c>
      <c r="X424" s="27" t="n">
        <f aca="false">SUM(T424:W424)</f>
        <v>12</v>
      </c>
      <c r="Y424" s="28" t="n">
        <f aca="false">COUNT(T424:W424)</f>
        <v>4</v>
      </c>
      <c r="Z424" s="29" t="n">
        <f aca="false">R424*X424</f>
        <v>1391.88</v>
      </c>
      <c r="AA424" s="30" t="n">
        <v>46193</v>
      </c>
    </row>
    <row r="425" customFormat="false" ht="15" hidden="false" customHeight="true" outlineLevel="0" collapsed="false">
      <c r="A425" s="4" t="s">
        <v>1623</v>
      </c>
      <c r="B425" s="4" t="s">
        <v>1624</v>
      </c>
      <c r="C425" s="4" t="s">
        <v>390</v>
      </c>
      <c r="D425" s="4" t="s">
        <v>135</v>
      </c>
      <c r="E425" s="4" t="s">
        <v>136</v>
      </c>
      <c r="F425" s="4" t="s">
        <v>391</v>
      </c>
      <c r="G425" s="4" t="s">
        <v>392</v>
      </c>
      <c r="H425" s="4" t="s">
        <v>393</v>
      </c>
      <c r="I425" s="4" t="s">
        <v>161</v>
      </c>
      <c r="J425" s="4" t="s">
        <v>235</v>
      </c>
      <c r="K425" s="4" t="s">
        <v>150</v>
      </c>
      <c r="L425" s="4" t="s">
        <v>273</v>
      </c>
      <c r="M425" s="24" t="s">
        <v>152</v>
      </c>
      <c r="N425" s="4" t="s">
        <v>153</v>
      </c>
      <c r="O425" s="4" t="s">
        <v>165</v>
      </c>
      <c r="P425" s="4" t="s">
        <v>118</v>
      </c>
      <c r="Q425" s="25" t="n">
        <v>69.99</v>
      </c>
      <c r="R425" s="25" t="n">
        <v>69.99</v>
      </c>
      <c r="S425" s="25" t="n">
        <v>39.11</v>
      </c>
      <c r="T425" s="26" t="n">
        <v>6</v>
      </c>
      <c r="U425" s="26"/>
      <c r="V425" s="26" t="n">
        <v>4</v>
      </c>
      <c r="W425" s="26"/>
      <c r="X425" s="27" t="n">
        <f aca="false">SUM(T425:W425)</f>
        <v>10</v>
      </c>
      <c r="Y425" s="28" t="n">
        <f aca="false">COUNT(T425:W425)</f>
        <v>2</v>
      </c>
      <c r="Z425" s="29" t="n">
        <f aca="false">R425*X425</f>
        <v>699.9</v>
      </c>
      <c r="AA425" s="30" t="n">
        <v>46167</v>
      </c>
    </row>
    <row r="426" customFormat="false" ht="15" hidden="false" customHeight="true" outlineLevel="0" collapsed="false">
      <c r="A426" s="4" t="s">
        <v>1625</v>
      </c>
      <c r="B426" s="4" t="s">
        <v>1626</v>
      </c>
      <c r="C426" s="4" t="s">
        <v>651</v>
      </c>
      <c r="D426" s="4" t="s">
        <v>122</v>
      </c>
      <c r="E426" s="4" t="s">
        <v>123</v>
      </c>
      <c r="F426" s="4" t="s">
        <v>652</v>
      </c>
      <c r="G426" s="4" t="s">
        <v>653</v>
      </c>
      <c r="H426" s="4" t="s">
        <v>654</v>
      </c>
      <c r="I426" s="4" t="s">
        <v>161</v>
      </c>
      <c r="J426" s="4" t="s">
        <v>246</v>
      </c>
      <c r="K426" s="4" t="s">
        <v>113</v>
      </c>
      <c r="L426" s="4" t="s">
        <v>655</v>
      </c>
      <c r="M426" s="24" t="s">
        <v>188</v>
      </c>
      <c r="N426" s="4" t="s">
        <v>116</v>
      </c>
      <c r="O426" s="4" t="s">
        <v>131</v>
      </c>
      <c r="P426" s="4" t="s">
        <v>118</v>
      </c>
      <c r="Q426" s="25" t="n">
        <v>189.99</v>
      </c>
      <c r="R426" s="25" t="n">
        <v>189.99</v>
      </c>
      <c r="S426" s="25" t="n">
        <v>101.4</v>
      </c>
      <c r="T426" s="26" t="n">
        <v>6</v>
      </c>
      <c r="U426" s="26"/>
      <c r="V426" s="26" t="n">
        <v>5</v>
      </c>
      <c r="W426" s="26"/>
      <c r="X426" s="27" t="n">
        <f aca="false">SUM(T426:W426)</f>
        <v>11</v>
      </c>
      <c r="Y426" s="28" t="n">
        <f aca="false">COUNT(T426:W426)</f>
        <v>2</v>
      </c>
      <c r="Z426" s="29" t="n">
        <f aca="false">R426*X426</f>
        <v>2089.89</v>
      </c>
      <c r="AA426" s="30" t="n">
        <v>46195</v>
      </c>
    </row>
    <row r="427" customFormat="false" ht="15" hidden="false" customHeight="true" outlineLevel="0" collapsed="false">
      <c r="A427" s="4" t="s">
        <v>1627</v>
      </c>
      <c r="B427" s="4" t="s">
        <v>1628</v>
      </c>
      <c r="C427" s="4" t="s">
        <v>1087</v>
      </c>
      <c r="D427" s="4" t="s">
        <v>135</v>
      </c>
      <c r="E427" s="4" t="s">
        <v>136</v>
      </c>
      <c r="F427" s="4" t="s">
        <v>1088</v>
      </c>
      <c r="G427" s="4" t="s">
        <v>1089</v>
      </c>
      <c r="H427" s="4" t="s">
        <v>1090</v>
      </c>
      <c r="I427" s="4" t="s">
        <v>161</v>
      </c>
      <c r="J427" s="4" t="s">
        <v>246</v>
      </c>
      <c r="K427" s="4" t="s">
        <v>113</v>
      </c>
      <c r="L427" s="4" t="s">
        <v>1091</v>
      </c>
      <c r="M427" s="24" t="s">
        <v>211</v>
      </c>
      <c r="N427" s="4" t="s">
        <v>116</v>
      </c>
      <c r="O427" s="4" t="s">
        <v>238</v>
      </c>
      <c r="P427" s="4" t="s">
        <v>239</v>
      </c>
      <c r="Q427" s="25" t="n">
        <v>149.99</v>
      </c>
      <c r="R427" s="25" t="n">
        <v>111.99</v>
      </c>
      <c r="S427" s="25" t="n">
        <v>79.73</v>
      </c>
      <c r="T427" s="26" t="n">
        <v>0</v>
      </c>
      <c r="U427" s="26" t="n">
        <v>1</v>
      </c>
      <c r="V427" s="26" t="n">
        <v>5</v>
      </c>
      <c r="W427" s="26" t="n">
        <v>0</v>
      </c>
      <c r="X427" s="27" t="n">
        <f aca="false">SUM(T427:W427)</f>
        <v>6</v>
      </c>
      <c r="Y427" s="28" t="n">
        <f aca="false">COUNT(T427:W427)</f>
        <v>4</v>
      </c>
      <c r="Z427" s="29" t="n">
        <f aca="false">R427*X427</f>
        <v>671.94</v>
      </c>
      <c r="AA427" s="30" t="n">
        <v>46176</v>
      </c>
    </row>
    <row r="428" customFormat="false" ht="15" hidden="false" customHeight="true" outlineLevel="0" collapsed="false">
      <c r="A428" s="4" t="s">
        <v>1629</v>
      </c>
      <c r="B428" s="4" t="s">
        <v>1630</v>
      </c>
      <c r="C428" s="4" t="s">
        <v>205</v>
      </c>
      <c r="D428" s="4" t="s">
        <v>181</v>
      </c>
      <c r="E428" s="4" t="s">
        <v>182</v>
      </c>
      <c r="F428" s="4" t="s">
        <v>206</v>
      </c>
      <c r="G428" s="4" t="s">
        <v>207</v>
      </c>
      <c r="H428" s="4" t="s">
        <v>208</v>
      </c>
      <c r="I428" s="4" t="s">
        <v>161</v>
      </c>
      <c r="J428" s="4" t="s">
        <v>186</v>
      </c>
      <c r="K428" s="4" t="s">
        <v>209</v>
      </c>
      <c r="L428" s="4" t="s">
        <v>210</v>
      </c>
      <c r="M428" s="24" t="s">
        <v>164</v>
      </c>
      <c r="N428" s="4" t="s">
        <v>153</v>
      </c>
      <c r="O428" s="4" t="s">
        <v>131</v>
      </c>
      <c r="P428" s="4" t="s">
        <v>118</v>
      </c>
      <c r="Q428" s="25" t="n">
        <v>69.99</v>
      </c>
      <c r="R428" s="25" t="n">
        <v>69.99</v>
      </c>
      <c r="S428" s="25" t="n">
        <v>37.84</v>
      </c>
      <c r="T428" s="26" t="n">
        <v>2</v>
      </c>
      <c r="U428" s="26" t="n">
        <v>4</v>
      </c>
      <c r="V428" s="26" t="n">
        <v>4</v>
      </c>
      <c r="W428" s="26" t="n">
        <v>0</v>
      </c>
      <c r="X428" s="27" t="n">
        <f aca="false">SUM(T428:W428)</f>
        <v>10</v>
      </c>
      <c r="Y428" s="28" t="n">
        <f aca="false">COUNT(T428:W428)</f>
        <v>4</v>
      </c>
      <c r="Z428" s="29" t="n">
        <f aca="false">R428*X428</f>
        <v>699.9</v>
      </c>
      <c r="AA428" s="30" t="n">
        <v>46224</v>
      </c>
    </row>
    <row r="429" customFormat="false" ht="15" hidden="false" customHeight="true" outlineLevel="0" collapsed="false">
      <c r="A429" s="4" t="s">
        <v>1631</v>
      </c>
      <c r="B429" s="4" t="s">
        <v>1632</v>
      </c>
      <c r="C429" s="4" t="s">
        <v>562</v>
      </c>
      <c r="D429" s="4" t="s">
        <v>145</v>
      </c>
      <c r="E429" s="4" t="s">
        <v>146</v>
      </c>
      <c r="F429" s="4" t="s">
        <v>563</v>
      </c>
      <c r="G429" s="4" t="s">
        <v>564</v>
      </c>
      <c r="H429" s="4" t="s">
        <v>565</v>
      </c>
      <c r="I429" s="4" t="s">
        <v>127</v>
      </c>
      <c r="J429" s="4" t="s">
        <v>128</v>
      </c>
      <c r="K429" s="4" t="s">
        <v>113</v>
      </c>
      <c r="L429" s="4" t="s">
        <v>464</v>
      </c>
      <c r="M429" s="24" t="s">
        <v>356</v>
      </c>
      <c r="N429" s="4" t="s">
        <v>116</v>
      </c>
      <c r="O429" s="4" t="s">
        <v>131</v>
      </c>
      <c r="P429" s="4" t="s">
        <v>239</v>
      </c>
      <c r="Q429" s="25" t="n">
        <v>84.99</v>
      </c>
      <c r="R429" s="25" t="n">
        <v>54.99</v>
      </c>
      <c r="S429" s="25" t="n">
        <v>45.86</v>
      </c>
      <c r="T429" s="26" t="n">
        <v>6</v>
      </c>
      <c r="U429" s="26" t="n">
        <v>0</v>
      </c>
      <c r="V429" s="26" t="n">
        <v>5</v>
      </c>
      <c r="W429" s="26" t="n">
        <v>1</v>
      </c>
      <c r="X429" s="27" t="n">
        <f aca="false">SUM(T429:W429)</f>
        <v>12</v>
      </c>
      <c r="Y429" s="28" t="n">
        <f aca="false">COUNT(T429:W429)</f>
        <v>4</v>
      </c>
      <c r="Z429" s="29" t="n">
        <f aca="false">R429*X429</f>
        <v>659.88</v>
      </c>
      <c r="AA429" s="30" t="n">
        <v>46184</v>
      </c>
    </row>
    <row r="430" customFormat="false" ht="15" hidden="false" customHeight="true" outlineLevel="0" collapsed="false">
      <c r="A430" s="4" t="s">
        <v>1633</v>
      </c>
      <c r="B430" s="4" t="s">
        <v>1634</v>
      </c>
      <c r="C430" s="4" t="s">
        <v>284</v>
      </c>
      <c r="D430" s="4" t="s">
        <v>122</v>
      </c>
      <c r="E430" s="4" t="s">
        <v>285</v>
      </c>
      <c r="F430" s="4" t="s">
        <v>286</v>
      </c>
      <c r="G430" s="4" t="s">
        <v>287</v>
      </c>
      <c r="H430" s="4" t="s">
        <v>288</v>
      </c>
      <c r="I430" s="4" t="s">
        <v>161</v>
      </c>
      <c r="J430" s="4" t="s">
        <v>289</v>
      </c>
      <c r="K430" s="4" t="s">
        <v>187</v>
      </c>
      <c r="L430" s="4" t="s">
        <v>290</v>
      </c>
      <c r="M430" s="24" t="s">
        <v>338</v>
      </c>
      <c r="N430" s="4" t="s">
        <v>189</v>
      </c>
      <c r="O430" s="4" t="s">
        <v>165</v>
      </c>
      <c r="P430" s="4" t="s">
        <v>239</v>
      </c>
      <c r="Q430" s="25" t="n">
        <v>129.99</v>
      </c>
      <c r="R430" s="25" t="n">
        <v>77.99</v>
      </c>
      <c r="S430" s="25" t="n">
        <v>70.91</v>
      </c>
      <c r="T430" s="26"/>
      <c r="U430" s="26"/>
      <c r="V430" s="26" t="n">
        <v>7</v>
      </c>
      <c r="W430" s="26"/>
      <c r="X430" s="27" t="n">
        <f aca="false">SUM(T430:W430)</f>
        <v>7</v>
      </c>
      <c r="Y430" s="28" t="n">
        <f aca="false">COUNT(T430:W430)</f>
        <v>1</v>
      </c>
      <c r="Z430" s="29" t="n">
        <f aca="false">R430*X430</f>
        <v>545.93</v>
      </c>
      <c r="AA430" s="30" t="n">
        <v>46167</v>
      </c>
    </row>
    <row r="431" customFormat="false" ht="15" hidden="false" customHeight="true" outlineLevel="0" collapsed="false">
      <c r="A431" s="4" t="s">
        <v>1635</v>
      </c>
      <c r="B431" s="4" t="s">
        <v>1636</v>
      </c>
      <c r="C431" s="4" t="s">
        <v>636</v>
      </c>
      <c r="D431" s="4" t="s">
        <v>122</v>
      </c>
      <c r="E431" s="4" t="s">
        <v>123</v>
      </c>
      <c r="F431" s="4" t="s">
        <v>598</v>
      </c>
      <c r="G431" s="4" t="s">
        <v>637</v>
      </c>
      <c r="H431" s="4" t="s">
        <v>638</v>
      </c>
      <c r="I431" s="4" t="s">
        <v>127</v>
      </c>
      <c r="J431" s="4" t="s">
        <v>280</v>
      </c>
      <c r="K431" s="4" t="s">
        <v>113</v>
      </c>
      <c r="L431" s="4" t="s">
        <v>639</v>
      </c>
      <c r="M431" s="24" t="s">
        <v>211</v>
      </c>
      <c r="N431" s="4" t="s">
        <v>116</v>
      </c>
      <c r="O431" s="4" t="s">
        <v>117</v>
      </c>
      <c r="P431" s="4" t="s">
        <v>118</v>
      </c>
      <c r="Q431" s="25" t="n">
        <v>139.99</v>
      </c>
      <c r="R431" s="25" t="n">
        <v>139.99</v>
      </c>
      <c r="S431" s="25" t="n">
        <v>75.33</v>
      </c>
      <c r="T431" s="26"/>
      <c r="U431" s="26"/>
      <c r="V431" s="26" t="n">
        <v>3</v>
      </c>
      <c r="W431" s="26" t="n">
        <v>0</v>
      </c>
      <c r="X431" s="27" t="n">
        <f aca="false">SUM(T431:W431)</f>
        <v>3</v>
      </c>
      <c r="Y431" s="28" t="n">
        <f aca="false">COUNT(T431:W431)</f>
        <v>2</v>
      </c>
      <c r="Z431" s="29" t="n">
        <f aca="false">R431*X431</f>
        <v>419.97</v>
      </c>
      <c r="AA431" s="30" t="n">
        <v>46062</v>
      </c>
    </row>
    <row r="432" customFormat="false" ht="15" hidden="false" customHeight="true" outlineLevel="0" collapsed="false">
      <c r="A432" s="4" t="s">
        <v>1637</v>
      </c>
      <c r="B432" s="4" t="s">
        <v>1638</v>
      </c>
      <c r="C432" s="4" t="s">
        <v>662</v>
      </c>
      <c r="D432" s="4" t="s">
        <v>106</v>
      </c>
      <c r="E432" s="4" t="s">
        <v>157</v>
      </c>
      <c r="F432" s="4" t="s">
        <v>663</v>
      </c>
      <c r="G432" s="4" t="s">
        <v>664</v>
      </c>
      <c r="H432" s="4" t="s">
        <v>665</v>
      </c>
      <c r="I432" s="4" t="s">
        <v>161</v>
      </c>
      <c r="J432" s="4" t="s">
        <v>162</v>
      </c>
      <c r="K432" s="4" t="s">
        <v>187</v>
      </c>
      <c r="L432" s="4" t="s">
        <v>666</v>
      </c>
      <c r="M432" s="24" t="s">
        <v>538</v>
      </c>
      <c r="N432" s="4" t="s">
        <v>189</v>
      </c>
      <c r="O432" s="4" t="s">
        <v>380</v>
      </c>
      <c r="P432" s="4" t="s">
        <v>118</v>
      </c>
      <c r="Q432" s="25" t="n">
        <v>99.99</v>
      </c>
      <c r="R432" s="25" t="n">
        <v>99.99</v>
      </c>
      <c r="S432" s="25" t="n">
        <v>54.14</v>
      </c>
      <c r="T432" s="26" t="n">
        <v>2</v>
      </c>
      <c r="U432" s="26" t="n">
        <v>2</v>
      </c>
      <c r="V432" s="26" t="n">
        <v>4</v>
      </c>
      <c r="W432" s="26" t="n">
        <v>0</v>
      </c>
      <c r="X432" s="27" t="n">
        <f aca="false">SUM(T432:W432)</f>
        <v>8</v>
      </c>
      <c r="Y432" s="28" t="n">
        <f aca="false">COUNT(T432:W432)</f>
        <v>4</v>
      </c>
      <c r="Z432" s="29" t="n">
        <f aca="false">R432*X432</f>
        <v>799.92</v>
      </c>
      <c r="AA432" s="30" t="n">
        <v>46141</v>
      </c>
    </row>
    <row r="433" customFormat="false" ht="15" hidden="false" customHeight="true" outlineLevel="0" collapsed="false">
      <c r="A433" s="4" t="s">
        <v>1639</v>
      </c>
      <c r="B433" s="4" t="s">
        <v>1640</v>
      </c>
      <c r="C433" s="4" t="s">
        <v>214</v>
      </c>
      <c r="D433" s="4" t="s">
        <v>122</v>
      </c>
      <c r="E433" s="4" t="s">
        <v>123</v>
      </c>
      <c r="F433" s="4" t="s">
        <v>215</v>
      </c>
      <c r="G433" s="4" t="s">
        <v>216</v>
      </c>
      <c r="H433" s="4" t="s">
        <v>217</v>
      </c>
      <c r="I433" s="4" t="s">
        <v>161</v>
      </c>
      <c r="J433" s="4" t="s">
        <v>218</v>
      </c>
      <c r="K433" s="4" t="s">
        <v>113</v>
      </c>
      <c r="L433" s="4" t="s">
        <v>219</v>
      </c>
      <c r="M433" s="24" t="s">
        <v>211</v>
      </c>
      <c r="N433" s="4" t="s">
        <v>116</v>
      </c>
      <c r="O433" s="4" t="s">
        <v>165</v>
      </c>
      <c r="P433" s="4" t="s">
        <v>118</v>
      </c>
      <c r="Q433" s="25" t="n">
        <v>169.99</v>
      </c>
      <c r="R433" s="25" t="n">
        <v>169.99</v>
      </c>
      <c r="S433" s="25" t="n">
        <v>82.49</v>
      </c>
      <c r="T433" s="26"/>
      <c r="U433" s="26"/>
      <c r="V433" s="26" t="n">
        <v>3</v>
      </c>
      <c r="W433" s="26"/>
      <c r="X433" s="27" t="n">
        <f aca="false">SUM(T433:W433)</f>
        <v>3</v>
      </c>
      <c r="Y433" s="28" t="n">
        <f aca="false">COUNT(T433:W433)</f>
        <v>1</v>
      </c>
      <c r="Z433" s="29" t="n">
        <f aca="false">R433*X433</f>
        <v>509.97</v>
      </c>
      <c r="AA433" s="30" t="n">
        <v>46149</v>
      </c>
    </row>
    <row r="434" customFormat="false" ht="15" hidden="false" customHeight="true" outlineLevel="0" collapsed="false">
      <c r="A434" s="4" t="s">
        <v>1641</v>
      </c>
      <c r="B434" s="4" t="s">
        <v>1642</v>
      </c>
      <c r="C434" s="4" t="s">
        <v>611</v>
      </c>
      <c r="D434" s="4" t="s">
        <v>145</v>
      </c>
      <c r="E434" s="4" t="s">
        <v>146</v>
      </c>
      <c r="F434" s="4" t="s">
        <v>612</v>
      </c>
      <c r="G434" s="4" t="s">
        <v>613</v>
      </c>
      <c r="H434" s="4" t="s">
        <v>614</v>
      </c>
      <c r="I434" s="4" t="s">
        <v>127</v>
      </c>
      <c r="J434" s="4" t="s">
        <v>280</v>
      </c>
      <c r="K434" s="4" t="s">
        <v>113</v>
      </c>
      <c r="L434" s="4" t="s">
        <v>615</v>
      </c>
      <c r="M434" s="24" t="s">
        <v>177</v>
      </c>
      <c r="N434" s="4" t="s">
        <v>116</v>
      </c>
      <c r="O434" s="4" t="s">
        <v>165</v>
      </c>
      <c r="P434" s="4" t="s">
        <v>118</v>
      </c>
      <c r="Q434" s="25" t="n">
        <v>99.99</v>
      </c>
      <c r="R434" s="25" t="n">
        <v>99.99</v>
      </c>
      <c r="S434" s="25" t="n">
        <v>51.72</v>
      </c>
      <c r="T434" s="26" t="n">
        <v>2</v>
      </c>
      <c r="U434" s="26" t="n">
        <v>4</v>
      </c>
      <c r="V434" s="26"/>
      <c r="W434" s="26" t="n">
        <v>5</v>
      </c>
      <c r="X434" s="27" t="n">
        <f aca="false">SUM(T434:W434)</f>
        <v>11</v>
      </c>
      <c r="Y434" s="28" t="n">
        <f aca="false">COUNT(T434:W434)</f>
        <v>3</v>
      </c>
      <c r="Z434" s="29" t="n">
        <f aca="false">R434*X434</f>
        <v>1099.89</v>
      </c>
      <c r="AA434" s="30" t="n">
        <v>46142</v>
      </c>
    </row>
    <row r="435" customFormat="false" ht="15" hidden="false" customHeight="true" outlineLevel="0" collapsed="false">
      <c r="A435" s="4" t="s">
        <v>1643</v>
      </c>
      <c r="B435" s="4" t="s">
        <v>1644</v>
      </c>
      <c r="C435" s="4" t="s">
        <v>483</v>
      </c>
      <c r="D435" s="4" t="s">
        <v>484</v>
      </c>
      <c r="E435" s="4" t="s">
        <v>485</v>
      </c>
      <c r="F435" s="4" t="s">
        <v>486</v>
      </c>
      <c r="G435" s="4" t="s">
        <v>487</v>
      </c>
      <c r="H435" s="4" t="s">
        <v>488</v>
      </c>
      <c r="I435" s="4" t="s">
        <v>127</v>
      </c>
      <c r="J435" s="4" t="s">
        <v>280</v>
      </c>
      <c r="K435" s="4" t="s">
        <v>113</v>
      </c>
      <c r="L435" s="4" t="s">
        <v>489</v>
      </c>
      <c r="M435" s="24" t="s">
        <v>327</v>
      </c>
      <c r="N435" s="4" t="s">
        <v>116</v>
      </c>
      <c r="O435" s="4" t="s">
        <v>131</v>
      </c>
      <c r="P435" s="4" t="s">
        <v>239</v>
      </c>
      <c r="Q435" s="25" t="n">
        <v>144.99</v>
      </c>
      <c r="R435" s="25" t="n">
        <v>93.99</v>
      </c>
      <c r="S435" s="25" t="n">
        <v>77.83</v>
      </c>
      <c r="T435" s="26" t="n">
        <v>2</v>
      </c>
      <c r="U435" s="26" t="n">
        <v>1</v>
      </c>
      <c r="V435" s="26" t="n">
        <v>2</v>
      </c>
      <c r="W435" s="26" t="n">
        <v>2</v>
      </c>
      <c r="X435" s="27" t="n">
        <f aca="false">SUM(T435:W435)</f>
        <v>7</v>
      </c>
      <c r="Y435" s="28" t="n">
        <f aca="false">COUNT(T435:W435)</f>
        <v>4</v>
      </c>
      <c r="Z435" s="29" t="n">
        <f aca="false">R435*X435</f>
        <v>657.93</v>
      </c>
      <c r="AA435" s="30" t="n">
        <v>46098</v>
      </c>
    </row>
    <row r="436" customFormat="false" ht="15" hidden="false" customHeight="true" outlineLevel="0" collapsed="false">
      <c r="A436" s="4" t="s">
        <v>1645</v>
      </c>
      <c r="B436" s="4" t="s">
        <v>1646</v>
      </c>
      <c r="C436" s="4" t="s">
        <v>474</v>
      </c>
      <c r="D436" s="4" t="s">
        <v>475</v>
      </c>
      <c r="E436" s="4" t="s">
        <v>476</v>
      </c>
      <c r="F436" s="4" t="s">
        <v>477</v>
      </c>
      <c r="G436" s="4" t="s">
        <v>478</v>
      </c>
      <c r="H436" s="4" t="s">
        <v>479</v>
      </c>
      <c r="I436" s="4" t="s">
        <v>161</v>
      </c>
      <c r="J436" s="4" t="s">
        <v>186</v>
      </c>
      <c r="K436" s="4" t="s">
        <v>187</v>
      </c>
      <c r="L436" s="4" t="s">
        <v>480</v>
      </c>
      <c r="M436" s="24" t="s">
        <v>338</v>
      </c>
      <c r="N436" s="4" t="s">
        <v>189</v>
      </c>
      <c r="O436" s="4" t="s">
        <v>380</v>
      </c>
      <c r="P436" s="4" t="s">
        <v>239</v>
      </c>
      <c r="Q436" s="25" t="n">
        <v>114.99</v>
      </c>
      <c r="R436" s="25" t="n">
        <v>85.99</v>
      </c>
      <c r="S436" s="25" t="n">
        <v>61.43</v>
      </c>
      <c r="T436" s="26" t="n">
        <v>2</v>
      </c>
      <c r="U436" s="26" t="n">
        <v>0</v>
      </c>
      <c r="V436" s="26" t="n">
        <v>1</v>
      </c>
      <c r="W436" s="26"/>
      <c r="X436" s="27" t="n">
        <f aca="false">SUM(T436:W436)</f>
        <v>3</v>
      </c>
      <c r="Y436" s="28" t="n">
        <f aca="false">COUNT(T436:W436)</f>
        <v>3</v>
      </c>
      <c r="Z436" s="29" t="n">
        <f aca="false">R436*X436</f>
        <v>257.97</v>
      </c>
      <c r="AA436" s="30" t="n">
        <v>46138</v>
      </c>
    </row>
    <row r="437" customFormat="false" ht="15" hidden="false" customHeight="true" outlineLevel="0" collapsed="false">
      <c r="A437" s="4" t="s">
        <v>1647</v>
      </c>
      <c r="B437" s="4" t="s">
        <v>1648</v>
      </c>
      <c r="C437" s="4" t="s">
        <v>1065</v>
      </c>
      <c r="D437" s="4" t="s">
        <v>643</v>
      </c>
      <c r="E437" s="4" t="s">
        <v>644</v>
      </c>
      <c r="F437" s="4" t="s">
        <v>1066</v>
      </c>
      <c r="G437" s="4" t="s">
        <v>1067</v>
      </c>
      <c r="H437" s="4" t="s">
        <v>1068</v>
      </c>
      <c r="I437" s="4" t="s">
        <v>127</v>
      </c>
      <c r="J437" s="4" t="s">
        <v>306</v>
      </c>
      <c r="K437" s="4" t="s">
        <v>187</v>
      </c>
      <c r="L437" s="4" t="s">
        <v>1069</v>
      </c>
      <c r="M437" s="24" t="s">
        <v>188</v>
      </c>
      <c r="N437" s="4" t="s">
        <v>189</v>
      </c>
      <c r="O437" s="4" t="s">
        <v>131</v>
      </c>
      <c r="P437" s="4" t="s">
        <v>118</v>
      </c>
      <c r="Q437" s="25" t="n">
        <v>149.99</v>
      </c>
      <c r="R437" s="25" t="n">
        <v>149.99</v>
      </c>
      <c r="S437" s="25" t="n">
        <v>72.34</v>
      </c>
      <c r="T437" s="26" t="n">
        <v>0</v>
      </c>
      <c r="U437" s="26" t="n">
        <v>2</v>
      </c>
      <c r="V437" s="26" t="n">
        <v>0</v>
      </c>
      <c r="W437" s="26" t="n">
        <v>3</v>
      </c>
      <c r="X437" s="27" t="n">
        <f aca="false">SUM(T437:W437)</f>
        <v>5</v>
      </c>
      <c r="Y437" s="28" t="n">
        <f aca="false">COUNT(T437:W437)</f>
        <v>4</v>
      </c>
      <c r="Z437" s="29" t="n">
        <f aca="false">R437*X437</f>
        <v>749.95</v>
      </c>
      <c r="AA437" s="30" t="n">
        <v>46118</v>
      </c>
    </row>
    <row r="438" customFormat="false" ht="15" hidden="false" customHeight="true" outlineLevel="0" collapsed="false">
      <c r="A438" s="4" t="s">
        <v>1649</v>
      </c>
      <c r="B438" s="4" t="s">
        <v>1650</v>
      </c>
      <c r="C438" s="4" t="s">
        <v>737</v>
      </c>
      <c r="D438" s="4" t="s">
        <v>122</v>
      </c>
      <c r="E438" s="4" t="s">
        <v>123</v>
      </c>
      <c r="F438" s="4" t="s">
        <v>420</v>
      </c>
      <c r="G438" s="4" t="s">
        <v>738</v>
      </c>
      <c r="H438" s="4" t="s">
        <v>739</v>
      </c>
      <c r="I438" s="4" t="s">
        <v>161</v>
      </c>
      <c r="J438" s="4" t="s">
        <v>235</v>
      </c>
      <c r="K438" s="4" t="s">
        <v>187</v>
      </c>
      <c r="L438" s="4" t="s">
        <v>273</v>
      </c>
      <c r="M438" s="24" t="s">
        <v>356</v>
      </c>
      <c r="N438" s="4" t="s">
        <v>189</v>
      </c>
      <c r="O438" s="4" t="s">
        <v>117</v>
      </c>
      <c r="P438" s="4" t="s">
        <v>118</v>
      </c>
      <c r="Q438" s="25" t="n">
        <v>124.99</v>
      </c>
      <c r="R438" s="25" t="n">
        <v>124.99</v>
      </c>
      <c r="S438" s="25" t="n">
        <v>66.91</v>
      </c>
      <c r="T438" s="26" t="n">
        <v>3</v>
      </c>
      <c r="U438" s="26" t="n">
        <v>4</v>
      </c>
      <c r="V438" s="26" t="n">
        <v>6</v>
      </c>
      <c r="W438" s="26" t="n">
        <v>0</v>
      </c>
      <c r="X438" s="27" t="n">
        <f aca="false">SUM(T438:W438)</f>
        <v>13</v>
      </c>
      <c r="Y438" s="28" t="n">
        <f aca="false">COUNT(T438:W438)</f>
        <v>4</v>
      </c>
      <c r="Z438" s="29" t="n">
        <f aca="false">R438*X438</f>
        <v>1624.87</v>
      </c>
      <c r="AA438" s="30" t="n">
        <v>46222</v>
      </c>
    </row>
    <row r="439" customFormat="false" ht="15" hidden="false" customHeight="true" outlineLevel="0" collapsed="false">
      <c r="A439" s="4" t="s">
        <v>1651</v>
      </c>
      <c r="B439" s="4" t="s">
        <v>1652</v>
      </c>
      <c r="C439" s="4" t="s">
        <v>795</v>
      </c>
      <c r="D439" s="4" t="s">
        <v>145</v>
      </c>
      <c r="E439" s="4" t="s">
        <v>146</v>
      </c>
      <c r="F439" s="4" t="s">
        <v>563</v>
      </c>
      <c r="G439" s="4" t="s">
        <v>796</v>
      </c>
      <c r="H439" s="4" t="s">
        <v>797</v>
      </c>
      <c r="I439" s="4" t="s">
        <v>127</v>
      </c>
      <c r="J439" s="4" t="s">
        <v>128</v>
      </c>
      <c r="K439" s="4" t="s">
        <v>187</v>
      </c>
      <c r="L439" s="4" t="s">
        <v>798</v>
      </c>
      <c r="M439" s="24" t="s">
        <v>356</v>
      </c>
      <c r="N439" s="4" t="s">
        <v>189</v>
      </c>
      <c r="O439" s="4" t="s">
        <v>131</v>
      </c>
      <c r="P439" s="4" t="s">
        <v>118</v>
      </c>
      <c r="Q439" s="25" t="n">
        <v>84.99</v>
      </c>
      <c r="R439" s="25" t="n">
        <v>84.99</v>
      </c>
      <c r="S439" s="25" t="n">
        <v>45.28</v>
      </c>
      <c r="T439" s="26"/>
      <c r="U439" s="26" t="n">
        <v>4</v>
      </c>
      <c r="V439" s="26" t="n">
        <v>0</v>
      </c>
      <c r="W439" s="26"/>
      <c r="X439" s="27" t="n">
        <f aca="false">SUM(T439:W439)</f>
        <v>4</v>
      </c>
      <c r="Y439" s="28" t="n">
        <f aca="false">COUNT(T439:W439)</f>
        <v>2</v>
      </c>
      <c r="Z439" s="29" t="n">
        <f aca="false">R439*X439</f>
        <v>339.96</v>
      </c>
      <c r="AA439" s="30" t="n">
        <v>46062</v>
      </c>
    </row>
    <row r="440" customFormat="false" ht="15" hidden="false" customHeight="true" outlineLevel="0" collapsed="false">
      <c r="A440" s="4" t="s">
        <v>1653</v>
      </c>
      <c r="B440" s="4" t="s">
        <v>1654</v>
      </c>
      <c r="C440" s="4" t="s">
        <v>867</v>
      </c>
      <c r="D440" s="4" t="s">
        <v>122</v>
      </c>
      <c r="E440" s="4" t="s">
        <v>123</v>
      </c>
      <c r="F440" s="4" t="s">
        <v>868</v>
      </c>
      <c r="G440" s="4" t="s">
        <v>869</v>
      </c>
      <c r="H440" s="4" t="s">
        <v>870</v>
      </c>
      <c r="I440" s="4" t="s">
        <v>771</v>
      </c>
      <c r="J440" s="4" t="s">
        <v>772</v>
      </c>
      <c r="K440" s="4" t="s">
        <v>113</v>
      </c>
      <c r="L440" s="4" t="s">
        <v>871</v>
      </c>
      <c r="M440" s="24" t="s">
        <v>211</v>
      </c>
      <c r="N440" s="4" t="s">
        <v>116</v>
      </c>
      <c r="O440" s="4" t="s">
        <v>380</v>
      </c>
      <c r="P440" s="4" t="s">
        <v>118</v>
      </c>
      <c r="Q440" s="25" t="n">
        <v>129.99</v>
      </c>
      <c r="R440" s="25" t="n">
        <v>129.99</v>
      </c>
      <c r="S440" s="25" t="n">
        <v>63.59</v>
      </c>
      <c r="T440" s="26" t="n">
        <v>1</v>
      </c>
      <c r="U440" s="26"/>
      <c r="V440" s="26" t="n">
        <v>3</v>
      </c>
      <c r="W440" s="26"/>
      <c r="X440" s="27" t="n">
        <f aca="false">SUM(T440:W440)</f>
        <v>4</v>
      </c>
      <c r="Y440" s="28" t="n">
        <f aca="false">COUNT(T440:W440)</f>
        <v>2</v>
      </c>
      <c r="Z440" s="29" t="n">
        <f aca="false">R440*X440</f>
        <v>519.96</v>
      </c>
      <c r="AA440" s="30" t="n">
        <v>46153</v>
      </c>
    </row>
    <row r="441" customFormat="false" ht="15" hidden="false" customHeight="true" outlineLevel="0" collapsed="false">
      <c r="A441" s="4" t="s">
        <v>1655</v>
      </c>
      <c r="B441" s="4" t="s">
        <v>1656</v>
      </c>
      <c r="C441" s="4" t="s">
        <v>1320</v>
      </c>
      <c r="D441" s="4" t="s">
        <v>106</v>
      </c>
      <c r="E441" s="4" t="s">
        <v>157</v>
      </c>
      <c r="F441" s="4" t="s">
        <v>495</v>
      </c>
      <c r="G441" s="4" t="s">
        <v>1321</v>
      </c>
      <c r="H441" s="4" t="s">
        <v>1322</v>
      </c>
      <c r="I441" s="4" t="s">
        <v>161</v>
      </c>
      <c r="J441" s="4" t="s">
        <v>162</v>
      </c>
      <c r="K441" s="4" t="s">
        <v>187</v>
      </c>
      <c r="L441" s="4" t="s">
        <v>1323</v>
      </c>
      <c r="M441" s="24" t="s">
        <v>308</v>
      </c>
      <c r="N441" s="4" t="s">
        <v>189</v>
      </c>
      <c r="O441" s="4" t="s">
        <v>165</v>
      </c>
      <c r="P441" s="4" t="s">
        <v>118</v>
      </c>
      <c r="Q441" s="25" t="n">
        <v>109.99</v>
      </c>
      <c r="R441" s="25" t="n">
        <v>109.99</v>
      </c>
      <c r="S441" s="25" t="n">
        <v>55.13</v>
      </c>
      <c r="T441" s="26" t="n">
        <v>5</v>
      </c>
      <c r="U441" s="26"/>
      <c r="V441" s="26" t="n">
        <v>6</v>
      </c>
      <c r="W441" s="26"/>
      <c r="X441" s="27" t="n">
        <f aca="false">SUM(T441:W441)</f>
        <v>11</v>
      </c>
      <c r="Y441" s="28" t="n">
        <f aca="false">COUNT(T441:W441)</f>
        <v>2</v>
      </c>
      <c r="Z441" s="29" t="n">
        <f aca="false">R441*X441</f>
        <v>1209.89</v>
      </c>
      <c r="AA441" s="30" t="n">
        <v>46102</v>
      </c>
    </row>
    <row r="442" customFormat="false" ht="15" hidden="false" customHeight="true" outlineLevel="0" collapsed="false">
      <c r="A442" s="4" t="s">
        <v>1657</v>
      </c>
      <c r="B442" s="4" t="s">
        <v>1658</v>
      </c>
      <c r="C442" s="4" t="s">
        <v>744</v>
      </c>
      <c r="D442" s="4" t="s">
        <v>106</v>
      </c>
      <c r="E442" s="4" t="s">
        <v>157</v>
      </c>
      <c r="F442" s="4" t="s">
        <v>745</v>
      </c>
      <c r="G442" s="4" t="s">
        <v>746</v>
      </c>
      <c r="H442" s="4" t="s">
        <v>747</v>
      </c>
      <c r="I442" s="4" t="s">
        <v>161</v>
      </c>
      <c r="J442" s="4" t="s">
        <v>235</v>
      </c>
      <c r="K442" s="4" t="s">
        <v>150</v>
      </c>
      <c r="L442" s="4" t="s">
        <v>748</v>
      </c>
      <c r="M442" s="24" t="s">
        <v>363</v>
      </c>
      <c r="N442" s="4" t="s">
        <v>153</v>
      </c>
      <c r="O442" s="4" t="s">
        <v>117</v>
      </c>
      <c r="P442" s="4" t="s">
        <v>118</v>
      </c>
      <c r="Q442" s="25" t="n">
        <v>74.99</v>
      </c>
      <c r="R442" s="25" t="n">
        <v>74.99</v>
      </c>
      <c r="S442" s="25" t="n">
        <v>39.21</v>
      </c>
      <c r="T442" s="26" t="n">
        <v>5</v>
      </c>
      <c r="U442" s="26" t="n">
        <v>0</v>
      </c>
      <c r="V442" s="26" t="n">
        <v>5</v>
      </c>
      <c r="W442" s="26" t="n">
        <v>6</v>
      </c>
      <c r="X442" s="27" t="n">
        <f aca="false">SUM(T442:W442)</f>
        <v>16</v>
      </c>
      <c r="Y442" s="28" t="n">
        <f aca="false">COUNT(T442:W442)</f>
        <v>4</v>
      </c>
      <c r="Z442" s="29" t="n">
        <f aca="false">R442*X442</f>
        <v>1199.84</v>
      </c>
      <c r="AA442" s="30" t="n">
        <v>46127</v>
      </c>
    </row>
    <row r="443" customFormat="false" ht="15" hidden="false" customHeight="true" outlineLevel="0" collapsed="false">
      <c r="A443" s="4" t="s">
        <v>1659</v>
      </c>
      <c r="B443" s="4" t="s">
        <v>1660</v>
      </c>
      <c r="C443" s="4" t="s">
        <v>242</v>
      </c>
      <c r="D443" s="4" t="s">
        <v>135</v>
      </c>
      <c r="E443" s="4" t="s">
        <v>136</v>
      </c>
      <c r="F443" s="4" t="s">
        <v>243</v>
      </c>
      <c r="G443" s="4" t="s">
        <v>244</v>
      </c>
      <c r="H443" s="4" t="s">
        <v>245</v>
      </c>
      <c r="I443" s="4" t="s">
        <v>161</v>
      </c>
      <c r="J443" s="4" t="s">
        <v>246</v>
      </c>
      <c r="K443" s="4" t="s">
        <v>113</v>
      </c>
      <c r="L443" s="4" t="s">
        <v>247</v>
      </c>
      <c r="M443" s="24" t="s">
        <v>177</v>
      </c>
      <c r="N443" s="4" t="s">
        <v>116</v>
      </c>
      <c r="O443" s="4" t="s">
        <v>238</v>
      </c>
      <c r="P443" s="4" t="s">
        <v>239</v>
      </c>
      <c r="Q443" s="25" t="n">
        <v>149.99</v>
      </c>
      <c r="R443" s="25" t="n">
        <v>89.99</v>
      </c>
      <c r="S443" s="25" t="n">
        <v>74.84</v>
      </c>
      <c r="T443" s="26"/>
      <c r="U443" s="26" t="n">
        <v>0</v>
      </c>
      <c r="V443" s="26" t="n">
        <v>4</v>
      </c>
      <c r="W443" s="26"/>
      <c r="X443" s="27" t="n">
        <f aca="false">SUM(T443:W443)</f>
        <v>4</v>
      </c>
      <c r="Y443" s="28" t="n">
        <f aca="false">COUNT(T443:W443)</f>
        <v>2</v>
      </c>
      <c r="Z443" s="29" t="n">
        <f aca="false">R443*X443</f>
        <v>359.96</v>
      </c>
      <c r="AA443" s="30" t="n">
        <v>46230</v>
      </c>
    </row>
    <row r="444" customFormat="false" ht="15" hidden="false" customHeight="true" outlineLevel="0" collapsed="false">
      <c r="A444" s="4" t="s">
        <v>1661</v>
      </c>
      <c r="B444" s="4" t="s">
        <v>1662</v>
      </c>
      <c r="C444" s="4" t="s">
        <v>494</v>
      </c>
      <c r="D444" s="4" t="s">
        <v>106</v>
      </c>
      <c r="E444" s="4" t="s">
        <v>157</v>
      </c>
      <c r="F444" s="4" t="s">
        <v>495</v>
      </c>
      <c r="G444" s="4" t="s">
        <v>496</v>
      </c>
      <c r="H444" s="4" t="s">
        <v>497</v>
      </c>
      <c r="I444" s="4" t="s">
        <v>161</v>
      </c>
      <c r="J444" s="4" t="s">
        <v>162</v>
      </c>
      <c r="K444" s="4" t="s">
        <v>113</v>
      </c>
      <c r="L444" s="4" t="s">
        <v>498</v>
      </c>
      <c r="M444" s="24" t="s">
        <v>188</v>
      </c>
      <c r="N444" s="4" t="s">
        <v>116</v>
      </c>
      <c r="O444" s="4" t="s">
        <v>238</v>
      </c>
      <c r="P444" s="4" t="s">
        <v>239</v>
      </c>
      <c r="Q444" s="25" t="n">
        <v>109.99</v>
      </c>
      <c r="R444" s="25" t="n">
        <v>65.99</v>
      </c>
      <c r="S444" s="25" t="n">
        <v>60.5</v>
      </c>
      <c r="T444" s="26" t="n">
        <v>2</v>
      </c>
      <c r="U444" s="26" t="n">
        <v>1</v>
      </c>
      <c r="V444" s="26" t="n">
        <v>6</v>
      </c>
      <c r="W444" s="26" t="n">
        <v>0</v>
      </c>
      <c r="X444" s="27" t="n">
        <f aca="false">SUM(T444:W444)</f>
        <v>9</v>
      </c>
      <c r="Y444" s="28" t="n">
        <f aca="false">COUNT(T444:W444)</f>
        <v>4</v>
      </c>
      <c r="Z444" s="29" t="n">
        <f aca="false">R444*X444</f>
        <v>593.91</v>
      </c>
      <c r="AA444" s="30" t="n">
        <v>46205</v>
      </c>
    </row>
    <row r="445" customFormat="false" ht="15" hidden="false" customHeight="true" outlineLevel="0" collapsed="false">
      <c r="A445" s="4" t="s">
        <v>1663</v>
      </c>
      <c r="B445" s="4" t="s">
        <v>1664</v>
      </c>
      <c r="C445" s="4" t="s">
        <v>1291</v>
      </c>
      <c r="D445" s="4" t="s">
        <v>145</v>
      </c>
      <c r="E445" s="4" t="s">
        <v>146</v>
      </c>
      <c r="F445" s="4" t="s">
        <v>1292</v>
      </c>
      <c r="G445" s="4" t="s">
        <v>1293</v>
      </c>
      <c r="H445" s="4" t="s">
        <v>1294</v>
      </c>
      <c r="I445" s="4" t="s">
        <v>771</v>
      </c>
      <c r="J445" s="4" t="s">
        <v>772</v>
      </c>
      <c r="K445" s="4" t="s">
        <v>113</v>
      </c>
      <c r="L445" s="4" t="s">
        <v>1295</v>
      </c>
      <c r="M445" s="24" t="s">
        <v>327</v>
      </c>
      <c r="N445" s="4" t="s">
        <v>116</v>
      </c>
      <c r="O445" s="4" t="s">
        <v>238</v>
      </c>
      <c r="P445" s="4" t="s">
        <v>118</v>
      </c>
      <c r="Q445" s="25" t="n">
        <v>139.99</v>
      </c>
      <c r="R445" s="25" t="n">
        <v>139.99</v>
      </c>
      <c r="S445" s="25" t="n">
        <v>70.17</v>
      </c>
      <c r="T445" s="26" t="n">
        <v>0</v>
      </c>
      <c r="U445" s="26" t="n">
        <v>4</v>
      </c>
      <c r="V445" s="26" t="n">
        <v>3</v>
      </c>
      <c r="W445" s="26" t="n">
        <v>2</v>
      </c>
      <c r="X445" s="27" t="n">
        <f aca="false">SUM(T445:W445)</f>
        <v>9</v>
      </c>
      <c r="Y445" s="28" t="n">
        <f aca="false">COUNT(T445:W445)</f>
        <v>4</v>
      </c>
      <c r="Z445" s="29" t="n">
        <f aca="false">R445*X445</f>
        <v>1259.91</v>
      </c>
      <c r="AA445" s="30" t="n">
        <v>46169</v>
      </c>
    </row>
    <row r="446" customFormat="false" ht="15" hidden="false" customHeight="true" outlineLevel="0" collapsed="false">
      <c r="A446" s="4" t="s">
        <v>1665</v>
      </c>
      <c r="B446" s="4" t="s">
        <v>1666</v>
      </c>
      <c r="C446" s="4" t="s">
        <v>1014</v>
      </c>
      <c r="D446" s="4" t="s">
        <v>122</v>
      </c>
      <c r="E446" s="4" t="s">
        <v>285</v>
      </c>
      <c r="F446" s="4" t="s">
        <v>1015</v>
      </c>
      <c r="G446" s="4" t="s">
        <v>1016</v>
      </c>
      <c r="H446" s="4" t="s">
        <v>1017</v>
      </c>
      <c r="I446" s="4" t="s">
        <v>161</v>
      </c>
      <c r="J446" s="4" t="s">
        <v>289</v>
      </c>
      <c r="K446" s="4" t="s">
        <v>113</v>
      </c>
      <c r="L446" s="4" t="s">
        <v>1018</v>
      </c>
      <c r="M446" s="24" t="s">
        <v>211</v>
      </c>
      <c r="N446" s="4" t="s">
        <v>116</v>
      </c>
      <c r="O446" s="4" t="s">
        <v>117</v>
      </c>
      <c r="P446" s="4" t="s">
        <v>202</v>
      </c>
      <c r="Q446" s="25" t="n">
        <v>234.99</v>
      </c>
      <c r="R446" s="25" t="n">
        <v>234.99</v>
      </c>
      <c r="S446" s="25" t="n">
        <v>116.5</v>
      </c>
      <c r="T446" s="26" t="n">
        <v>5</v>
      </c>
      <c r="U446" s="26"/>
      <c r="V446" s="26" t="n">
        <v>3</v>
      </c>
      <c r="W446" s="26" t="n">
        <v>2</v>
      </c>
      <c r="X446" s="27" t="n">
        <f aca="false">SUM(T446:W446)</f>
        <v>10</v>
      </c>
      <c r="Y446" s="28" t="n">
        <f aca="false">COUNT(T446:W446)</f>
        <v>3</v>
      </c>
      <c r="Z446" s="29" t="n">
        <f aca="false">R446*X446</f>
        <v>2349.9</v>
      </c>
      <c r="AA446" s="30" t="n">
        <v>46165</v>
      </c>
    </row>
    <row r="447" customFormat="false" ht="15" hidden="false" customHeight="true" outlineLevel="0" collapsed="false">
      <c r="A447" s="4" t="s">
        <v>1667</v>
      </c>
      <c r="B447" s="4" t="s">
        <v>1668</v>
      </c>
      <c r="C447" s="4" t="s">
        <v>276</v>
      </c>
      <c r="D447" s="4" t="s">
        <v>106</v>
      </c>
      <c r="E447" s="4" t="s">
        <v>107</v>
      </c>
      <c r="F447" s="4" t="s">
        <v>277</v>
      </c>
      <c r="G447" s="4" t="s">
        <v>278</v>
      </c>
      <c r="H447" s="4" t="s">
        <v>279</v>
      </c>
      <c r="I447" s="4" t="s">
        <v>127</v>
      </c>
      <c r="J447" s="4" t="s">
        <v>280</v>
      </c>
      <c r="K447" s="4" t="s">
        <v>113</v>
      </c>
      <c r="L447" s="4" t="s">
        <v>281</v>
      </c>
      <c r="M447" s="24" t="s">
        <v>141</v>
      </c>
      <c r="N447" s="4" t="s">
        <v>116</v>
      </c>
      <c r="O447" s="4" t="s">
        <v>165</v>
      </c>
      <c r="P447" s="4" t="s">
        <v>118</v>
      </c>
      <c r="Q447" s="25" t="n">
        <v>189.99</v>
      </c>
      <c r="R447" s="25" t="n">
        <v>189.99</v>
      </c>
      <c r="S447" s="25" t="n">
        <v>103.72</v>
      </c>
      <c r="T447" s="26" t="n">
        <v>2</v>
      </c>
      <c r="U447" s="26" t="n">
        <v>5</v>
      </c>
      <c r="V447" s="26" t="n">
        <v>3</v>
      </c>
      <c r="W447" s="26"/>
      <c r="X447" s="27" t="n">
        <f aca="false">SUM(T447:W447)</f>
        <v>10</v>
      </c>
      <c r="Y447" s="28" t="n">
        <f aca="false">COUNT(T447:W447)</f>
        <v>3</v>
      </c>
      <c r="Z447" s="29" t="n">
        <f aca="false">R447*X447</f>
        <v>1899.9</v>
      </c>
      <c r="AA447" s="30" t="n">
        <v>46223</v>
      </c>
    </row>
    <row r="448" customFormat="false" ht="15" hidden="false" customHeight="true" outlineLevel="0" collapsed="false">
      <c r="A448" s="4" t="s">
        <v>1669</v>
      </c>
      <c r="B448" s="4" t="s">
        <v>1670</v>
      </c>
      <c r="C448" s="4" t="s">
        <v>1074</v>
      </c>
      <c r="D448" s="4" t="s">
        <v>122</v>
      </c>
      <c r="E448" s="4" t="s">
        <v>123</v>
      </c>
      <c r="F448" s="4" t="s">
        <v>1075</v>
      </c>
      <c r="G448" s="4" t="s">
        <v>1076</v>
      </c>
      <c r="H448" s="4" t="s">
        <v>1077</v>
      </c>
      <c r="I448" s="4" t="s">
        <v>161</v>
      </c>
      <c r="J448" s="4" t="s">
        <v>246</v>
      </c>
      <c r="K448" s="4" t="s">
        <v>113</v>
      </c>
      <c r="L448" s="4" t="s">
        <v>1078</v>
      </c>
      <c r="M448" s="24" t="s">
        <v>141</v>
      </c>
      <c r="N448" s="4" t="s">
        <v>116</v>
      </c>
      <c r="O448" s="4" t="s">
        <v>165</v>
      </c>
      <c r="P448" s="4" t="s">
        <v>118</v>
      </c>
      <c r="Q448" s="25" t="n">
        <v>159.99</v>
      </c>
      <c r="R448" s="25" t="n">
        <v>159.99</v>
      </c>
      <c r="S448" s="25" t="n">
        <v>87.97</v>
      </c>
      <c r="T448" s="26" t="n">
        <v>6</v>
      </c>
      <c r="U448" s="26" t="n">
        <v>1</v>
      </c>
      <c r="V448" s="26" t="n">
        <v>3</v>
      </c>
      <c r="W448" s="26" t="n">
        <v>0</v>
      </c>
      <c r="X448" s="27" t="n">
        <f aca="false">SUM(T448:W448)</f>
        <v>10</v>
      </c>
      <c r="Y448" s="28" t="n">
        <f aca="false">COUNT(T448:W448)</f>
        <v>4</v>
      </c>
      <c r="Z448" s="29" t="n">
        <f aca="false">R448*X448</f>
        <v>1599.9</v>
      </c>
      <c r="AA448" s="30" t="n">
        <v>46211</v>
      </c>
    </row>
    <row r="449" customFormat="false" ht="15" hidden="false" customHeight="true" outlineLevel="0" collapsed="false">
      <c r="A449" s="4" t="s">
        <v>1671</v>
      </c>
      <c r="B449" s="4" t="s">
        <v>1672</v>
      </c>
      <c r="C449" s="4" t="s">
        <v>1074</v>
      </c>
      <c r="D449" s="4" t="s">
        <v>122</v>
      </c>
      <c r="E449" s="4" t="s">
        <v>123</v>
      </c>
      <c r="F449" s="4" t="s">
        <v>1075</v>
      </c>
      <c r="G449" s="4" t="s">
        <v>1076</v>
      </c>
      <c r="H449" s="4" t="s">
        <v>1077</v>
      </c>
      <c r="I449" s="4" t="s">
        <v>161</v>
      </c>
      <c r="J449" s="4" t="s">
        <v>246</v>
      </c>
      <c r="K449" s="4" t="s">
        <v>113</v>
      </c>
      <c r="L449" s="4" t="s">
        <v>1078</v>
      </c>
      <c r="M449" s="24" t="s">
        <v>177</v>
      </c>
      <c r="N449" s="4" t="s">
        <v>116</v>
      </c>
      <c r="O449" s="4" t="s">
        <v>165</v>
      </c>
      <c r="P449" s="4" t="s">
        <v>118</v>
      </c>
      <c r="Q449" s="25" t="n">
        <v>159.99</v>
      </c>
      <c r="R449" s="25" t="n">
        <v>159.99</v>
      </c>
      <c r="S449" s="25" t="n">
        <v>87.97</v>
      </c>
      <c r="T449" s="26" t="n">
        <v>6</v>
      </c>
      <c r="U449" s="26" t="n">
        <v>2</v>
      </c>
      <c r="V449" s="26" t="n">
        <v>8</v>
      </c>
      <c r="W449" s="26" t="n">
        <v>0</v>
      </c>
      <c r="X449" s="27" t="n">
        <f aca="false">SUM(T449:W449)</f>
        <v>16</v>
      </c>
      <c r="Y449" s="28" t="n">
        <f aca="false">COUNT(T449:W449)</f>
        <v>4</v>
      </c>
      <c r="Z449" s="29" t="n">
        <f aca="false">R449*X449</f>
        <v>2559.84</v>
      </c>
      <c r="AA449" s="30" t="n">
        <v>46159</v>
      </c>
    </row>
    <row r="450" customFormat="false" ht="15" hidden="false" customHeight="true" outlineLevel="0" collapsed="false">
      <c r="A450" s="4" t="s">
        <v>1673</v>
      </c>
      <c r="B450" s="4" t="s">
        <v>1674</v>
      </c>
      <c r="C450" s="4" t="s">
        <v>341</v>
      </c>
      <c r="D450" s="4" t="s">
        <v>342</v>
      </c>
      <c r="E450" s="4" t="s">
        <v>343</v>
      </c>
      <c r="F450" s="4" t="s">
        <v>344</v>
      </c>
      <c r="G450" s="4" t="s">
        <v>345</v>
      </c>
      <c r="H450" s="4" t="s">
        <v>346</v>
      </c>
      <c r="I450" s="4" t="s">
        <v>127</v>
      </c>
      <c r="J450" s="4" t="s">
        <v>347</v>
      </c>
      <c r="K450" s="4" t="s">
        <v>113</v>
      </c>
      <c r="L450" s="4" t="s">
        <v>348</v>
      </c>
      <c r="M450" s="24" t="s">
        <v>177</v>
      </c>
      <c r="N450" s="4" t="s">
        <v>116</v>
      </c>
      <c r="O450" s="4" t="s">
        <v>131</v>
      </c>
      <c r="P450" s="4" t="s">
        <v>118</v>
      </c>
      <c r="Q450" s="25" t="n">
        <v>154.99</v>
      </c>
      <c r="R450" s="25" t="n">
        <v>154.99</v>
      </c>
      <c r="S450" s="25" t="n">
        <v>78.28</v>
      </c>
      <c r="T450" s="26" t="n">
        <v>0</v>
      </c>
      <c r="U450" s="26" t="n">
        <v>4</v>
      </c>
      <c r="V450" s="26" t="n">
        <v>5</v>
      </c>
      <c r="W450" s="26" t="n">
        <v>4</v>
      </c>
      <c r="X450" s="27" t="n">
        <f aca="false">SUM(T450:W450)</f>
        <v>13</v>
      </c>
      <c r="Y450" s="28" t="n">
        <f aca="false">COUNT(T450:W450)</f>
        <v>4</v>
      </c>
      <c r="Z450" s="29" t="n">
        <f aca="false">R450*X450</f>
        <v>2014.87</v>
      </c>
      <c r="AA450" s="30" t="n">
        <v>46101</v>
      </c>
    </row>
    <row r="451" customFormat="false" ht="15" hidden="false" customHeight="true" outlineLevel="0" collapsed="false">
      <c r="A451" s="4" t="s">
        <v>1675</v>
      </c>
      <c r="B451" s="4" t="s">
        <v>1676</v>
      </c>
      <c r="C451" s="4" t="s">
        <v>861</v>
      </c>
      <c r="D451" s="4" t="s">
        <v>475</v>
      </c>
      <c r="E451" s="4" t="s">
        <v>476</v>
      </c>
      <c r="F451" s="4" t="s">
        <v>862</v>
      </c>
      <c r="G451" s="4" t="s">
        <v>863</v>
      </c>
      <c r="H451" s="4" t="s">
        <v>864</v>
      </c>
      <c r="I451" s="4" t="s">
        <v>161</v>
      </c>
      <c r="J451" s="4" t="s">
        <v>186</v>
      </c>
      <c r="K451" s="4" t="s">
        <v>209</v>
      </c>
      <c r="L451" s="4" t="s">
        <v>348</v>
      </c>
      <c r="M451" s="24" t="s">
        <v>258</v>
      </c>
      <c r="N451" s="4" t="s">
        <v>153</v>
      </c>
      <c r="O451" s="4" t="s">
        <v>131</v>
      </c>
      <c r="P451" s="4" t="s">
        <v>118</v>
      </c>
      <c r="Q451" s="25" t="n">
        <v>69.99</v>
      </c>
      <c r="R451" s="25" t="n">
        <v>69.99</v>
      </c>
      <c r="S451" s="25" t="n">
        <v>36.17</v>
      </c>
      <c r="T451" s="26" t="n">
        <v>4</v>
      </c>
      <c r="U451" s="26"/>
      <c r="V451" s="26" t="n">
        <v>5</v>
      </c>
      <c r="W451" s="26"/>
      <c r="X451" s="27" t="n">
        <f aca="false">SUM(T451:W451)</f>
        <v>9</v>
      </c>
      <c r="Y451" s="28" t="n">
        <f aca="false">COUNT(T451:W451)</f>
        <v>2</v>
      </c>
      <c r="Z451" s="29" t="n">
        <f aca="false">R451*X451</f>
        <v>629.91</v>
      </c>
      <c r="AA451" s="30" t="n">
        <v>46125</v>
      </c>
    </row>
    <row r="452" customFormat="false" ht="15" hidden="false" customHeight="true" outlineLevel="0" collapsed="false">
      <c r="A452" s="4" t="s">
        <v>1677</v>
      </c>
      <c r="B452" s="4" t="s">
        <v>1678</v>
      </c>
      <c r="C452" s="4" t="s">
        <v>1312</v>
      </c>
      <c r="D452" s="4" t="s">
        <v>122</v>
      </c>
      <c r="E452" s="4" t="s">
        <v>123</v>
      </c>
      <c r="F452" s="4" t="s">
        <v>1313</v>
      </c>
      <c r="G452" s="4" t="s">
        <v>1314</v>
      </c>
      <c r="H452" s="4" t="s">
        <v>1315</v>
      </c>
      <c r="I452" s="4" t="s">
        <v>161</v>
      </c>
      <c r="J452" s="4" t="s">
        <v>235</v>
      </c>
      <c r="K452" s="4" t="s">
        <v>150</v>
      </c>
      <c r="L452" s="4" t="s">
        <v>1316</v>
      </c>
      <c r="M452" s="24" t="s">
        <v>749</v>
      </c>
      <c r="N452" s="4" t="s">
        <v>153</v>
      </c>
      <c r="O452" s="4" t="s">
        <v>165</v>
      </c>
      <c r="P452" s="4" t="s">
        <v>118</v>
      </c>
      <c r="Q452" s="25" t="n">
        <v>94.99</v>
      </c>
      <c r="R452" s="25" t="n">
        <v>94.99</v>
      </c>
      <c r="S452" s="25" t="n">
        <v>47.91</v>
      </c>
      <c r="T452" s="26" t="n">
        <v>0</v>
      </c>
      <c r="U452" s="26" t="n">
        <v>2</v>
      </c>
      <c r="V452" s="26" t="n">
        <v>5</v>
      </c>
      <c r="W452" s="26" t="n">
        <v>0</v>
      </c>
      <c r="X452" s="27" t="n">
        <f aca="false">SUM(T452:W452)</f>
        <v>7</v>
      </c>
      <c r="Y452" s="28" t="n">
        <f aca="false">COUNT(T452:W452)</f>
        <v>4</v>
      </c>
      <c r="Z452" s="29" t="n">
        <f aca="false">R452*X452</f>
        <v>664.93</v>
      </c>
      <c r="AA452" s="30" t="n">
        <v>46118</v>
      </c>
    </row>
    <row r="453" customFormat="false" ht="15" hidden="false" customHeight="true" outlineLevel="0" collapsed="false">
      <c r="A453" s="4" t="s">
        <v>1679</v>
      </c>
      <c r="B453" s="4" t="s">
        <v>1680</v>
      </c>
      <c r="C453" s="4" t="s">
        <v>483</v>
      </c>
      <c r="D453" s="4" t="s">
        <v>484</v>
      </c>
      <c r="E453" s="4" t="s">
        <v>485</v>
      </c>
      <c r="F453" s="4" t="s">
        <v>486</v>
      </c>
      <c r="G453" s="4" t="s">
        <v>487</v>
      </c>
      <c r="H453" s="4" t="s">
        <v>488</v>
      </c>
      <c r="I453" s="4" t="s">
        <v>127</v>
      </c>
      <c r="J453" s="4" t="s">
        <v>280</v>
      </c>
      <c r="K453" s="4" t="s">
        <v>113</v>
      </c>
      <c r="L453" s="4" t="s">
        <v>489</v>
      </c>
      <c r="M453" s="24" t="s">
        <v>177</v>
      </c>
      <c r="N453" s="4" t="s">
        <v>116</v>
      </c>
      <c r="O453" s="4" t="s">
        <v>131</v>
      </c>
      <c r="P453" s="4" t="s">
        <v>239</v>
      </c>
      <c r="Q453" s="25" t="n">
        <v>144.99</v>
      </c>
      <c r="R453" s="25" t="n">
        <v>93.99</v>
      </c>
      <c r="S453" s="25" t="n">
        <v>77.83</v>
      </c>
      <c r="T453" s="26" t="n">
        <v>2</v>
      </c>
      <c r="U453" s="26" t="n">
        <v>0</v>
      </c>
      <c r="V453" s="26" t="n">
        <v>3</v>
      </c>
      <c r="W453" s="26" t="n">
        <v>1</v>
      </c>
      <c r="X453" s="27" t="n">
        <f aca="false">SUM(T453:W453)</f>
        <v>6</v>
      </c>
      <c r="Y453" s="28" t="n">
        <f aca="false">COUNT(T453:W453)</f>
        <v>4</v>
      </c>
      <c r="Z453" s="29" t="n">
        <f aca="false">R453*X453</f>
        <v>563.94</v>
      </c>
      <c r="AA453" s="30" t="n">
        <v>46056</v>
      </c>
    </row>
    <row r="454" customFormat="false" ht="15" hidden="false" customHeight="true" outlineLevel="0" collapsed="false">
      <c r="A454" s="4" t="s">
        <v>1681</v>
      </c>
      <c r="B454" s="4" t="s">
        <v>1682</v>
      </c>
      <c r="C454" s="4" t="s">
        <v>445</v>
      </c>
      <c r="D454" s="4" t="s">
        <v>122</v>
      </c>
      <c r="E454" s="4" t="s">
        <v>285</v>
      </c>
      <c r="F454" s="4" t="s">
        <v>446</v>
      </c>
      <c r="G454" s="4" t="s">
        <v>447</v>
      </c>
      <c r="H454" s="4" t="s">
        <v>448</v>
      </c>
      <c r="I454" s="4" t="s">
        <v>161</v>
      </c>
      <c r="J454" s="4" t="s">
        <v>289</v>
      </c>
      <c r="K454" s="4" t="s">
        <v>150</v>
      </c>
      <c r="L454" s="4" t="s">
        <v>449</v>
      </c>
      <c r="M454" s="24" t="s">
        <v>1317</v>
      </c>
      <c r="N454" s="4" t="s">
        <v>153</v>
      </c>
      <c r="O454" s="4" t="s">
        <v>117</v>
      </c>
      <c r="P454" s="4" t="s">
        <v>118</v>
      </c>
      <c r="Q454" s="25" t="n">
        <v>154.99</v>
      </c>
      <c r="R454" s="25" t="n">
        <v>154.99</v>
      </c>
      <c r="S454" s="25" t="n">
        <v>85.71</v>
      </c>
      <c r="T454" s="26" t="n">
        <v>0</v>
      </c>
      <c r="U454" s="26"/>
      <c r="V454" s="26" t="n">
        <v>3</v>
      </c>
      <c r="W454" s="26" t="n">
        <v>1</v>
      </c>
      <c r="X454" s="27" t="n">
        <f aca="false">SUM(T454:W454)</f>
        <v>4</v>
      </c>
      <c r="Y454" s="28" t="n">
        <f aca="false">COUNT(T454:W454)</f>
        <v>3</v>
      </c>
      <c r="Z454" s="29" t="n">
        <f aca="false">R454*X454</f>
        <v>619.96</v>
      </c>
      <c r="AA454" s="30" t="n">
        <v>46070</v>
      </c>
    </row>
    <row r="455" customFormat="false" ht="15" hidden="false" customHeight="true" outlineLevel="0" collapsed="false">
      <c r="A455" s="4" t="s">
        <v>1683</v>
      </c>
      <c r="B455" s="4" t="s">
        <v>1684</v>
      </c>
      <c r="C455" s="4" t="s">
        <v>555</v>
      </c>
      <c r="D455" s="4" t="s">
        <v>122</v>
      </c>
      <c r="E455" s="4" t="s">
        <v>123</v>
      </c>
      <c r="F455" s="4" t="s">
        <v>556</v>
      </c>
      <c r="G455" s="4" t="s">
        <v>557</v>
      </c>
      <c r="H455" s="4" t="s">
        <v>558</v>
      </c>
      <c r="I455" s="4" t="s">
        <v>161</v>
      </c>
      <c r="J455" s="4" t="s">
        <v>246</v>
      </c>
      <c r="K455" s="4" t="s">
        <v>187</v>
      </c>
      <c r="L455" s="4" t="s">
        <v>559</v>
      </c>
      <c r="M455" s="24" t="s">
        <v>188</v>
      </c>
      <c r="N455" s="4" t="s">
        <v>189</v>
      </c>
      <c r="O455" s="4" t="s">
        <v>117</v>
      </c>
      <c r="P455" s="4" t="s">
        <v>202</v>
      </c>
      <c r="Q455" s="25" t="n">
        <v>119.99</v>
      </c>
      <c r="R455" s="25" t="n">
        <v>119.99</v>
      </c>
      <c r="S455" s="25" t="n">
        <v>62.97</v>
      </c>
      <c r="T455" s="26" t="n">
        <v>3</v>
      </c>
      <c r="U455" s="26"/>
      <c r="V455" s="26" t="n">
        <v>3</v>
      </c>
      <c r="W455" s="26" t="n">
        <v>0</v>
      </c>
      <c r="X455" s="27" t="n">
        <f aca="false">SUM(T455:W455)</f>
        <v>6</v>
      </c>
      <c r="Y455" s="28" t="n">
        <f aca="false">COUNT(T455:W455)</f>
        <v>3</v>
      </c>
      <c r="Z455" s="29" t="n">
        <f aca="false">R455*X455</f>
        <v>719.94</v>
      </c>
      <c r="AA455" s="30" t="n">
        <v>46074</v>
      </c>
    </row>
    <row r="456" customFormat="false" ht="15" hidden="false" customHeight="true" outlineLevel="0" collapsed="false">
      <c r="A456" s="4" t="s">
        <v>1685</v>
      </c>
      <c r="B456" s="4" t="s">
        <v>1686</v>
      </c>
      <c r="C456" s="4" t="s">
        <v>383</v>
      </c>
      <c r="D456" s="4" t="s">
        <v>135</v>
      </c>
      <c r="E456" s="4" t="s">
        <v>136</v>
      </c>
      <c r="F456" s="4" t="s">
        <v>384</v>
      </c>
      <c r="G456" s="4" t="s">
        <v>385</v>
      </c>
      <c r="H456" s="4" t="s">
        <v>386</v>
      </c>
      <c r="I456" s="4" t="s">
        <v>127</v>
      </c>
      <c r="J456" s="4" t="s">
        <v>280</v>
      </c>
      <c r="K456" s="4" t="s">
        <v>113</v>
      </c>
      <c r="L456" s="4" t="s">
        <v>387</v>
      </c>
      <c r="M456" s="24" t="s">
        <v>258</v>
      </c>
      <c r="N456" s="4" t="s">
        <v>116</v>
      </c>
      <c r="O456" s="4" t="s">
        <v>117</v>
      </c>
      <c r="P456" s="4" t="s">
        <v>202</v>
      </c>
      <c r="Q456" s="25" t="n">
        <v>149.99</v>
      </c>
      <c r="R456" s="25" t="n">
        <v>149.99</v>
      </c>
      <c r="S456" s="25" t="n">
        <v>72.91</v>
      </c>
      <c r="T456" s="26" t="n">
        <v>7</v>
      </c>
      <c r="U456" s="26" t="n">
        <v>4</v>
      </c>
      <c r="V456" s="26" t="n">
        <v>1</v>
      </c>
      <c r="W456" s="26"/>
      <c r="X456" s="27" t="n">
        <f aca="false">SUM(T456:W456)</f>
        <v>12</v>
      </c>
      <c r="Y456" s="28" t="n">
        <f aca="false">COUNT(T456:W456)</f>
        <v>3</v>
      </c>
      <c r="Z456" s="29" t="n">
        <f aca="false">R456*X456</f>
        <v>1799.88</v>
      </c>
      <c r="AA456" s="30" t="n">
        <v>46089</v>
      </c>
    </row>
    <row r="457" customFormat="false" ht="15" hidden="false" customHeight="true" outlineLevel="0" collapsed="false">
      <c r="A457" s="4" t="s">
        <v>1687</v>
      </c>
      <c r="B457" s="4" t="s">
        <v>1688</v>
      </c>
      <c r="C457" s="4" t="s">
        <v>993</v>
      </c>
      <c r="D457" s="4" t="s">
        <v>583</v>
      </c>
      <c r="E457" s="4" t="s">
        <v>584</v>
      </c>
      <c r="F457" s="4" t="s">
        <v>994</v>
      </c>
      <c r="G457" s="4" t="s">
        <v>995</v>
      </c>
      <c r="H457" s="4" t="s">
        <v>996</v>
      </c>
      <c r="I457" s="4" t="s">
        <v>127</v>
      </c>
      <c r="J457" s="4" t="s">
        <v>347</v>
      </c>
      <c r="K457" s="4" t="s">
        <v>187</v>
      </c>
      <c r="L457" s="4" t="s">
        <v>997</v>
      </c>
      <c r="M457" s="24" t="s">
        <v>177</v>
      </c>
      <c r="N457" s="4" t="s">
        <v>189</v>
      </c>
      <c r="O457" s="4" t="s">
        <v>131</v>
      </c>
      <c r="P457" s="4" t="s">
        <v>118</v>
      </c>
      <c r="Q457" s="25" t="n">
        <v>179.99</v>
      </c>
      <c r="R457" s="25" t="n">
        <v>179.99</v>
      </c>
      <c r="S457" s="25" t="n">
        <v>97.26</v>
      </c>
      <c r="T457" s="26" t="n">
        <v>0</v>
      </c>
      <c r="U457" s="26" t="n">
        <v>1</v>
      </c>
      <c r="V457" s="26" t="n">
        <v>6</v>
      </c>
      <c r="W457" s="26"/>
      <c r="X457" s="27" t="n">
        <f aca="false">SUM(T457:W457)</f>
        <v>7</v>
      </c>
      <c r="Y457" s="28" t="n">
        <f aca="false">COUNT(T457:W457)</f>
        <v>3</v>
      </c>
      <c r="Z457" s="29" t="n">
        <f aca="false">R457*X457</f>
        <v>1259.93</v>
      </c>
      <c r="AA457" s="30" t="n">
        <v>46063</v>
      </c>
    </row>
    <row r="458" customFormat="false" ht="15" hidden="false" customHeight="true" outlineLevel="0" collapsed="false">
      <c r="A458" s="4" t="s">
        <v>1689</v>
      </c>
      <c r="B458" s="4" t="s">
        <v>1690</v>
      </c>
      <c r="C458" s="4" t="s">
        <v>924</v>
      </c>
      <c r="D458" s="4" t="s">
        <v>643</v>
      </c>
      <c r="E458" s="4" t="s">
        <v>644</v>
      </c>
      <c r="F458" s="4" t="s">
        <v>925</v>
      </c>
      <c r="G458" s="4" t="s">
        <v>926</v>
      </c>
      <c r="H458" s="4" t="s">
        <v>927</v>
      </c>
      <c r="I458" s="4" t="s">
        <v>127</v>
      </c>
      <c r="J458" s="4" t="s">
        <v>347</v>
      </c>
      <c r="K458" s="4" t="s">
        <v>113</v>
      </c>
      <c r="L458" s="4" t="s">
        <v>928</v>
      </c>
      <c r="M458" s="24" t="s">
        <v>188</v>
      </c>
      <c r="N458" s="4" t="s">
        <v>116</v>
      </c>
      <c r="O458" s="4" t="s">
        <v>165</v>
      </c>
      <c r="P458" s="4" t="s">
        <v>118</v>
      </c>
      <c r="Q458" s="25" t="n">
        <v>169.99</v>
      </c>
      <c r="R458" s="25" t="n">
        <v>169.99</v>
      </c>
      <c r="S458" s="25" t="n">
        <v>89.36</v>
      </c>
      <c r="T458" s="26" t="n">
        <v>2</v>
      </c>
      <c r="U458" s="26"/>
      <c r="V458" s="26" t="n">
        <v>7</v>
      </c>
      <c r="W458" s="26"/>
      <c r="X458" s="27" t="n">
        <f aca="false">SUM(T458:W458)</f>
        <v>9</v>
      </c>
      <c r="Y458" s="28" t="n">
        <f aca="false">COUNT(T458:W458)</f>
        <v>2</v>
      </c>
      <c r="Z458" s="29" t="n">
        <f aca="false">R458*X458</f>
        <v>1529.91</v>
      </c>
      <c r="AA458" s="30" t="n">
        <v>46162</v>
      </c>
    </row>
    <row r="459" customFormat="false" ht="15" hidden="false" customHeight="true" outlineLevel="0" collapsed="false">
      <c r="A459" s="4" t="s">
        <v>1691</v>
      </c>
      <c r="B459" s="4" t="s">
        <v>1692</v>
      </c>
      <c r="C459" s="4" t="s">
        <v>555</v>
      </c>
      <c r="D459" s="4" t="s">
        <v>122</v>
      </c>
      <c r="E459" s="4" t="s">
        <v>123</v>
      </c>
      <c r="F459" s="4" t="s">
        <v>556</v>
      </c>
      <c r="G459" s="4" t="s">
        <v>557</v>
      </c>
      <c r="H459" s="4" t="s">
        <v>558</v>
      </c>
      <c r="I459" s="4" t="s">
        <v>161</v>
      </c>
      <c r="J459" s="4" t="s">
        <v>246</v>
      </c>
      <c r="K459" s="4" t="s">
        <v>187</v>
      </c>
      <c r="L459" s="4" t="s">
        <v>559</v>
      </c>
      <c r="M459" s="24" t="s">
        <v>356</v>
      </c>
      <c r="N459" s="4" t="s">
        <v>189</v>
      </c>
      <c r="O459" s="4" t="s">
        <v>117</v>
      </c>
      <c r="P459" s="4" t="s">
        <v>202</v>
      </c>
      <c r="Q459" s="25" t="n">
        <v>119.99</v>
      </c>
      <c r="R459" s="25" t="n">
        <v>119.99</v>
      </c>
      <c r="S459" s="25" t="n">
        <v>62.97</v>
      </c>
      <c r="T459" s="26" t="n">
        <v>3</v>
      </c>
      <c r="U459" s="26"/>
      <c r="V459" s="26" t="n">
        <v>5</v>
      </c>
      <c r="W459" s="26" t="n">
        <v>2</v>
      </c>
      <c r="X459" s="27" t="n">
        <f aca="false">SUM(T459:W459)</f>
        <v>10</v>
      </c>
      <c r="Y459" s="28" t="n">
        <f aca="false">COUNT(T459:W459)</f>
        <v>3</v>
      </c>
      <c r="Z459" s="29" t="n">
        <f aca="false">R459*X459</f>
        <v>1199.9</v>
      </c>
      <c r="AA459" s="30" t="n">
        <v>46064</v>
      </c>
    </row>
    <row r="460" customFormat="false" ht="15" hidden="false" customHeight="true" outlineLevel="0" collapsed="false">
      <c r="A460" s="4" t="s">
        <v>1693</v>
      </c>
      <c r="B460" s="4" t="s">
        <v>1694</v>
      </c>
      <c r="C460" s="4" t="s">
        <v>883</v>
      </c>
      <c r="D460" s="4" t="s">
        <v>122</v>
      </c>
      <c r="E460" s="4" t="s">
        <v>123</v>
      </c>
      <c r="F460" s="4" t="s">
        <v>884</v>
      </c>
      <c r="G460" s="4" t="s">
        <v>885</v>
      </c>
      <c r="H460" s="4" t="s">
        <v>886</v>
      </c>
      <c r="I460" s="4" t="s">
        <v>127</v>
      </c>
      <c r="J460" s="4" t="s">
        <v>218</v>
      </c>
      <c r="K460" s="4" t="s">
        <v>113</v>
      </c>
      <c r="L460" s="4" t="s">
        <v>579</v>
      </c>
      <c r="M460" s="24" t="s">
        <v>327</v>
      </c>
      <c r="N460" s="4" t="s">
        <v>116</v>
      </c>
      <c r="O460" s="4" t="s">
        <v>380</v>
      </c>
      <c r="P460" s="4" t="s">
        <v>239</v>
      </c>
      <c r="Q460" s="25" t="n">
        <v>154.99</v>
      </c>
      <c r="R460" s="25" t="n">
        <v>115.99</v>
      </c>
      <c r="S460" s="25" t="n">
        <v>75.44</v>
      </c>
      <c r="T460" s="26" t="n">
        <v>0</v>
      </c>
      <c r="U460" s="26" t="n">
        <v>0</v>
      </c>
      <c r="V460" s="26" t="n">
        <v>0</v>
      </c>
      <c r="W460" s="26" t="n">
        <v>1</v>
      </c>
      <c r="X460" s="27" t="n">
        <f aca="false">SUM(T460:W460)</f>
        <v>1</v>
      </c>
      <c r="Y460" s="28" t="n">
        <f aca="false">COUNT(T460:W460)</f>
        <v>4</v>
      </c>
      <c r="Z460" s="29" t="n">
        <f aca="false">R460*X460</f>
        <v>115.99</v>
      </c>
      <c r="AA460" s="30" t="n">
        <v>46096</v>
      </c>
    </row>
    <row r="461" customFormat="false" ht="15" hidden="false" customHeight="true" outlineLevel="0" collapsed="false">
      <c r="A461" s="4" t="s">
        <v>1695</v>
      </c>
      <c r="B461" s="4" t="s">
        <v>1696</v>
      </c>
      <c r="C461" s="4" t="s">
        <v>144</v>
      </c>
      <c r="D461" s="4" t="s">
        <v>145</v>
      </c>
      <c r="E461" s="4" t="s">
        <v>146</v>
      </c>
      <c r="F461" s="4" t="s">
        <v>147</v>
      </c>
      <c r="G461" s="4" t="s">
        <v>148</v>
      </c>
      <c r="H461" s="4" t="s">
        <v>149</v>
      </c>
      <c r="I461" s="4" t="s">
        <v>127</v>
      </c>
      <c r="J461" s="4" t="s">
        <v>128</v>
      </c>
      <c r="K461" s="4" t="s">
        <v>150</v>
      </c>
      <c r="L461" s="4" t="s">
        <v>151</v>
      </c>
      <c r="M461" s="24" t="s">
        <v>237</v>
      </c>
      <c r="N461" s="4" t="s">
        <v>153</v>
      </c>
      <c r="O461" s="4" t="s">
        <v>131</v>
      </c>
      <c r="P461" s="4" t="s">
        <v>118</v>
      </c>
      <c r="Q461" s="25" t="n">
        <v>64.99</v>
      </c>
      <c r="R461" s="25" t="n">
        <v>64.99</v>
      </c>
      <c r="S461" s="25" t="n">
        <v>32.11</v>
      </c>
      <c r="T461" s="26"/>
      <c r="U461" s="26"/>
      <c r="V461" s="26" t="n">
        <v>6</v>
      </c>
      <c r="W461" s="26"/>
      <c r="X461" s="27" t="n">
        <f aca="false">SUM(T461:W461)</f>
        <v>6</v>
      </c>
      <c r="Y461" s="28" t="n">
        <f aca="false">COUNT(T461:W461)</f>
        <v>1</v>
      </c>
      <c r="Z461" s="29" t="n">
        <f aca="false">R461*X461</f>
        <v>389.94</v>
      </c>
      <c r="AA461" s="30" t="n">
        <v>46140</v>
      </c>
    </row>
    <row r="462" customFormat="false" ht="15" hidden="false" customHeight="true" outlineLevel="0" collapsed="false">
      <c r="A462" s="4" t="s">
        <v>1697</v>
      </c>
      <c r="B462" s="4" t="s">
        <v>1698</v>
      </c>
      <c r="C462" s="4" t="s">
        <v>671</v>
      </c>
      <c r="D462" s="4" t="s">
        <v>122</v>
      </c>
      <c r="E462" s="4" t="s">
        <v>123</v>
      </c>
      <c r="F462" s="4" t="s">
        <v>124</v>
      </c>
      <c r="G462" s="4" t="s">
        <v>672</v>
      </c>
      <c r="H462" s="4" t="s">
        <v>673</v>
      </c>
      <c r="I462" s="4" t="s">
        <v>127</v>
      </c>
      <c r="J462" s="4" t="s">
        <v>128</v>
      </c>
      <c r="K462" s="4" t="s">
        <v>150</v>
      </c>
      <c r="L462" s="4" t="s">
        <v>674</v>
      </c>
      <c r="M462" s="24" t="s">
        <v>749</v>
      </c>
      <c r="N462" s="4" t="s">
        <v>153</v>
      </c>
      <c r="O462" s="4" t="s">
        <v>165</v>
      </c>
      <c r="P462" s="4" t="s">
        <v>118</v>
      </c>
      <c r="Q462" s="25" t="n">
        <v>59.99</v>
      </c>
      <c r="R462" s="25" t="n">
        <v>59.99</v>
      </c>
      <c r="S462" s="25" t="n">
        <v>29.23</v>
      </c>
      <c r="T462" s="26" t="n">
        <v>0</v>
      </c>
      <c r="U462" s="26" t="n">
        <v>0</v>
      </c>
      <c r="V462" s="26" t="n">
        <v>4</v>
      </c>
      <c r="W462" s="26" t="n">
        <v>0</v>
      </c>
      <c r="X462" s="27" t="n">
        <f aca="false">SUM(T462:W462)</f>
        <v>4</v>
      </c>
      <c r="Y462" s="28" t="n">
        <f aca="false">COUNT(T462:W462)</f>
        <v>4</v>
      </c>
      <c r="Z462" s="29" t="n">
        <f aca="false">R462*X462</f>
        <v>239.96</v>
      </c>
      <c r="AA462" s="30" t="n">
        <v>46229</v>
      </c>
    </row>
    <row r="463" customFormat="false" ht="15" hidden="false" customHeight="true" outlineLevel="0" collapsed="false">
      <c r="A463" s="4" t="s">
        <v>1699</v>
      </c>
      <c r="B463" s="4" t="s">
        <v>1700</v>
      </c>
      <c r="C463" s="4" t="s">
        <v>121</v>
      </c>
      <c r="D463" s="4" t="s">
        <v>122</v>
      </c>
      <c r="E463" s="4" t="s">
        <v>123</v>
      </c>
      <c r="F463" s="4" t="s">
        <v>124</v>
      </c>
      <c r="G463" s="4" t="s">
        <v>125</v>
      </c>
      <c r="H463" s="4" t="s">
        <v>126</v>
      </c>
      <c r="I463" s="4" t="s">
        <v>127</v>
      </c>
      <c r="J463" s="4" t="s">
        <v>128</v>
      </c>
      <c r="K463" s="4" t="s">
        <v>113</v>
      </c>
      <c r="L463" s="4" t="s">
        <v>129</v>
      </c>
      <c r="M463" s="24" t="s">
        <v>141</v>
      </c>
      <c r="N463" s="4" t="s">
        <v>116</v>
      </c>
      <c r="O463" s="4" t="s">
        <v>131</v>
      </c>
      <c r="P463" s="4" t="s">
        <v>118</v>
      </c>
      <c r="Q463" s="25" t="n">
        <v>74.99</v>
      </c>
      <c r="R463" s="25" t="n">
        <v>74.99</v>
      </c>
      <c r="S463" s="25" t="n">
        <v>36.3</v>
      </c>
      <c r="T463" s="26" t="n">
        <v>0</v>
      </c>
      <c r="U463" s="26"/>
      <c r="V463" s="26" t="n">
        <v>2</v>
      </c>
      <c r="W463" s="26"/>
      <c r="X463" s="27" t="n">
        <f aca="false">SUM(T463:W463)</f>
        <v>2</v>
      </c>
      <c r="Y463" s="28" t="n">
        <f aca="false">COUNT(T463:W463)</f>
        <v>2</v>
      </c>
      <c r="Z463" s="29" t="n">
        <f aca="false">R463*X463</f>
        <v>149.98</v>
      </c>
      <c r="AA463" s="30" t="n">
        <v>46043</v>
      </c>
    </row>
    <row r="464" customFormat="false" ht="15" hidden="false" customHeight="true" outlineLevel="0" collapsed="false">
      <c r="A464" s="4" t="s">
        <v>1701</v>
      </c>
      <c r="B464" s="4" t="s">
        <v>1702</v>
      </c>
      <c r="C464" s="4" t="s">
        <v>937</v>
      </c>
      <c r="D464" s="4" t="s">
        <v>122</v>
      </c>
      <c r="E464" s="4" t="s">
        <v>123</v>
      </c>
      <c r="F464" s="4" t="s">
        <v>938</v>
      </c>
      <c r="G464" s="4" t="s">
        <v>939</v>
      </c>
      <c r="H464" s="4" t="s">
        <v>940</v>
      </c>
      <c r="I464" s="4" t="s">
        <v>226</v>
      </c>
      <c r="J464" s="4" t="s">
        <v>790</v>
      </c>
      <c r="K464" s="4" t="s">
        <v>113</v>
      </c>
      <c r="L464" s="4" t="s">
        <v>941</v>
      </c>
      <c r="M464" s="24" t="s">
        <v>177</v>
      </c>
      <c r="N464" s="4" t="s">
        <v>116</v>
      </c>
      <c r="O464" s="4" t="s">
        <v>165</v>
      </c>
      <c r="P464" s="4" t="s">
        <v>239</v>
      </c>
      <c r="Q464" s="25" t="n">
        <v>109.99</v>
      </c>
      <c r="R464" s="25" t="n">
        <v>81.99</v>
      </c>
      <c r="S464" s="25" t="n">
        <v>52.89</v>
      </c>
      <c r="T464" s="26"/>
      <c r="U464" s="26" t="n">
        <v>3</v>
      </c>
      <c r="V464" s="26" t="n">
        <v>3</v>
      </c>
      <c r="W464" s="26"/>
      <c r="X464" s="27" t="n">
        <f aca="false">SUM(T464:W464)</f>
        <v>6</v>
      </c>
      <c r="Y464" s="28" t="n">
        <f aca="false">COUNT(T464:W464)</f>
        <v>2</v>
      </c>
      <c r="Z464" s="29" t="n">
        <f aca="false">R464*X464</f>
        <v>491.94</v>
      </c>
      <c r="AA464" s="30" t="n">
        <v>46189</v>
      </c>
    </row>
    <row r="465" customFormat="false" ht="15" hidden="false" customHeight="true" outlineLevel="0" collapsed="false">
      <c r="A465" s="4" t="s">
        <v>1703</v>
      </c>
      <c r="B465" s="4" t="s">
        <v>1704</v>
      </c>
      <c r="C465" s="4" t="s">
        <v>604</v>
      </c>
      <c r="D465" s="4" t="s">
        <v>106</v>
      </c>
      <c r="E465" s="4" t="s">
        <v>157</v>
      </c>
      <c r="F465" s="4" t="s">
        <v>605</v>
      </c>
      <c r="G465" s="4" t="s">
        <v>606</v>
      </c>
      <c r="H465" s="4" t="s">
        <v>607</v>
      </c>
      <c r="I465" s="4" t="s">
        <v>161</v>
      </c>
      <c r="J465" s="4" t="s">
        <v>162</v>
      </c>
      <c r="K465" s="4" t="s">
        <v>113</v>
      </c>
      <c r="L465" s="4" t="s">
        <v>608</v>
      </c>
      <c r="M465" s="24" t="s">
        <v>141</v>
      </c>
      <c r="N465" s="4" t="s">
        <v>116</v>
      </c>
      <c r="O465" s="4" t="s">
        <v>238</v>
      </c>
      <c r="P465" s="4" t="s">
        <v>239</v>
      </c>
      <c r="Q465" s="25" t="n">
        <v>109.99</v>
      </c>
      <c r="R465" s="25" t="n">
        <v>76.99</v>
      </c>
      <c r="S465" s="25" t="n">
        <v>55.09</v>
      </c>
      <c r="T465" s="26" t="n">
        <v>0</v>
      </c>
      <c r="U465" s="26" t="n">
        <v>1</v>
      </c>
      <c r="V465" s="26" t="n">
        <v>3</v>
      </c>
      <c r="W465" s="26" t="n">
        <v>1</v>
      </c>
      <c r="X465" s="27" t="n">
        <f aca="false">SUM(T465:W465)</f>
        <v>5</v>
      </c>
      <c r="Y465" s="28" t="n">
        <f aca="false">COUNT(T465:W465)</f>
        <v>4</v>
      </c>
      <c r="Z465" s="29" t="n">
        <f aca="false">R465*X465</f>
        <v>384.95</v>
      </c>
      <c r="AA465" s="30" t="n">
        <v>46229</v>
      </c>
    </row>
    <row r="466" customFormat="false" ht="15" hidden="false" customHeight="true" outlineLevel="0" collapsed="false">
      <c r="A466" s="4" t="s">
        <v>1705</v>
      </c>
      <c r="B466" s="4" t="s">
        <v>1706</v>
      </c>
      <c r="C466" s="4" t="s">
        <v>568</v>
      </c>
      <c r="D466" s="4" t="s">
        <v>122</v>
      </c>
      <c r="E466" s="4" t="s">
        <v>123</v>
      </c>
      <c r="F466" s="4" t="s">
        <v>569</v>
      </c>
      <c r="G466" s="4" t="s">
        <v>570</v>
      </c>
      <c r="H466" s="4" t="s">
        <v>571</v>
      </c>
      <c r="I466" s="4" t="s">
        <v>226</v>
      </c>
      <c r="J466" s="4" t="s">
        <v>265</v>
      </c>
      <c r="K466" s="4" t="s">
        <v>113</v>
      </c>
      <c r="L466" s="4" t="s">
        <v>572</v>
      </c>
      <c r="M466" s="24" t="s">
        <v>141</v>
      </c>
      <c r="N466" s="4" t="s">
        <v>116</v>
      </c>
      <c r="O466" s="4" t="s">
        <v>165</v>
      </c>
      <c r="P466" s="4" t="s">
        <v>118</v>
      </c>
      <c r="Q466" s="25" t="n">
        <v>159.99</v>
      </c>
      <c r="R466" s="25" t="n">
        <v>159.99</v>
      </c>
      <c r="S466" s="25" t="n">
        <v>86.99</v>
      </c>
      <c r="T466" s="26" t="n">
        <v>1</v>
      </c>
      <c r="U466" s="26" t="n">
        <v>1</v>
      </c>
      <c r="V466" s="26" t="n">
        <v>3</v>
      </c>
      <c r="W466" s="26"/>
      <c r="X466" s="27" t="n">
        <f aca="false">SUM(T466:W466)</f>
        <v>5</v>
      </c>
      <c r="Y466" s="28" t="n">
        <f aca="false">COUNT(T466:W466)</f>
        <v>3</v>
      </c>
      <c r="Z466" s="29" t="n">
        <f aca="false">R466*X466</f>
        <v>799.95</v>
      </c>
      <c r="AA466" s="30" t="n">
        <v>46172</v>
      </c>
    </row>
    <row r="467" customFormat="false" ht="15" hidden="false" customHeight="true" outlineLevel="0" collapsed="false">
      <c r="A467" s="4" t="s">
        <v>1707</v>
      </c>
      <c r="B467" s="4" t="s">
        <v>1708</v>
      </c>
      <c r="C467" s="4" t="s">
        <v>445</v>
      </c>
      <c r="D467" s="4" t="s">
        <v>122</v>
      </c>
      <c r="E467" s="4" t="s">
        <v>285</v>
      </c>
      <c r="F467" s="4" t="s">
        <v>446</v>
      </c>
      <c r="G467" s="4" t="s">
        <v>447</v>
      </c>
      <c r="H467" s="4" t="s">
        <v>448</v>
      </c>
      <c r="I467" s="4" t="s">
        <v>161</v>
      </c>
      <c r="J467" s="4" t="s">
        <v>289</v>
      </c>
      <c r="K467" s="4" t="s">
        <v>150</v>
      </c>
      <c r="L467" s="4" t="s">
        <v>449</v>
      </c>
      <c r="M467" s="24" t="s">
        <v>152</v>
      </c>
      <c r="N467" s="4" t="s">
        <v>153</v>
      </c>
      <c r="O467" s="4" t="s">
        <v>117</v>
      </c>
      <c r="P467" s="4" t="s">
        <v>118</v>
      </c>
      <c r="Q467" s="25" t="n">
        <v>154.99</v>
      </c>
      <c r="R467" s="25" t="n">
        <v>154.99</v>
      </c>
      <c r="S467" s="25" t="n">
        <v>85.71</v>
      </c>
      <c r="T467" s="26" t="n">
        <v>0</v>
      </c>
      <c r="U467" s="26"/>
      <c r="V467" s="26" t="n">
        <v>4</v>
      </c>
      <c r="W467" s="26" t="n">
        <v>1</v>
      </c>
      <c r="X467" s="27" t="n">
        <f aca="false">SUM(T467:W467)</f>
        <v>5</v>
      </c>
      <c r="Y467" s="28" t="n">
        <f aca="false">COUNT(T467:W467)</f>
        <v>3</v>
      </c>
      <c r="Z467" s="29" t="n">
        <f aca="false">R467*X467</f>
        <v>774.95</v>
      </c>
      <c r="AA467" s="30" t="n">
        <v>46146</v>
      </c>
    </row>
    <row r="468" customFormat="false" ht="15" hidden="false" customHeight="true" outlineLevel="0" collapsed="false">
      <c r="A468" s="4" t="s">
        <v>1709</v>
      </c>
      <c r="B468" s="4" t="s">
        <v>1710</v>
      </c>
      <c r="C468" s="4" t="s">
        <v>744</v>
      </c>
      <c r="D468" s="4" t="s">
        <v>106</v>
      </c>
      <c r="E468" s="4" t="s">
        <v>157</v>
      </c>
      <c r="F468" s="4" t="s">
        <v>745</v>
      </c>
      <c r="G468" s="4" t="s">
        <v>746</v>
      </c>
      <c r="H468" s="4" t="s">
        <v>747</v>
      </c>
      <c r="I468" s="4" t="s">
        <v>161</v>
      </c>
      <c r="J468" s="4" t="s">
        <v>235</v>
      </c>
      <c r="K468" s="4" t="s">
        <v>150</v>
      </c>
      <c r="L468" s="4" t="s">
        <v>748</v>
      </c>
      <c r="M468" s="24" t="s">
        <v>915</v>
      </c>
      <c r="N468" s="4" t="s">
        <v>153</v>
      </c>
      <c r="O468" s="4" t="s">
        <v>117</v>
      </c>
      <c r="P468" s="4" t="s">
        <v>118</v>
      </c>
      <c r="Q468" s="25" t="n">
        <v>74.99</v>
      </c>
      <c r="R468" s="25" t="n">
        <v>74.99</v>
      </c>
      <c r="S468" s="25" t="n">
        <v>39.21</v>
      </c>
      <c r="T468" s="26" t="n">
        <v>2</v>
      </c>
      <c r="U468" s="26" t="n">
        <v>1</v>
      </c>
      <c r="V468" s="26" t="n">
        <v>4</v>
      </c>
      <c r="W468" s="26" t="n">
        <v>4</v>
      </c>
      <c r="X468" s="27" t="n">
        <f aca="false">SUM(T468:W468)</f>
        <v>11</v>
      </c>
      <c r="Y468" s="28" t="n">
        <f aca="false">COUNT(T468:W468)</f>
        <v>4</v>
      </c>
      <c r="Z468" s="29" t="n">
        <f aca="false">R468*X468</f>
        <v>824.89</v>
      </c>
      <c r="AA468" s="30" t="n">
        <v>46111</v>
      </c>
    </row>
    <row r="469" customFormat="false" ht="15" hidden="false" customHeight="true" outlineLevel="0" collapsed="false">
      <c r="A469" s="4" t="s">
        <v>1711</v>
      </c>
      <c r="B469" s="4" t="s">
        <v>1712</v>
      </c>
      <c r="C469" s="4" t="s">
        <v>662</v>
      </c>
      <c r="D469" s="4" t="s">
        <v>106</v>
      </c>
      <c r="E469" s="4" t="s">
        <v>157</v>
      </c>
      <c r="F469" s="4" t="s">
        <v>663</v>
      </c>
      <c r="G469" s="4" t="s">
        <v>664</v>
      </c>
      <c r="H469" s="4" t="s">
        <v>665</v>
      </c>
      <c r="I469" s="4" t="s">
        <v>161</v>
      </c>
      <c r="J469" s="4" t="s">
        <v>162</v>
      </c>
      <c r="K469" s="4" t="s">
        <v>187</v>
      </c>
      <c r="L469" s="4" t="s">
        <v>666</v>
      </c>
      <c r="M469" s="24" t="s">
        <v>308</v>
      </c>
      <c r="N469" s="4" t="s">
        <v>189</v>
      </c>
      <c r="O469" s="4" t="s">
        <v>380</v>
      </c>
      <c r="P469" s="4" t="s">
        <v>118</v>
      </c>
      <c r="Q469" s="25" t="n">
        <v>99.99</v>
      </c>
      <c r="R469" s="25" t="n">
        <v>99.99</v>
      </c>
      <c r="S469" s="25" t="n">
        <v>54.14</v>
      </c>
      <c r="T469" s="26" t="n">
        <v>3</v>
      </c>
      <c r="U469" s="26" t="n">
        <v>4</v>
      </c>
      <c r="V469" s="26" t="n">
        <v>2</v>
      </c>
      <c r="W469" s="26" t="n">
        <v>0</v>
      </c>
      <c r="X469" s="27" t="n">
        <f aca="false">SUM(T469:W469)</f>
        <v>9</v>
      </c>
      <c r="Y469" s="28" t="n">
        <f aca="false">COUNT(T469:W469)</f>
        <v>4</v>
      </c>
      <c r="Z469" s="29" t="n">
        <f aca="false">R469*X469</f>
        <v>899.91</v>
      </c>
      <c r="AA469" s="30" t="n">
        <v>46225</v>
      </c>
    </row>
    <row r="470" customFormat="false" ht="15" hidden="false" customHeight="true" outlineLevel="0" collapsed="false">
      <c r="A470" s="4" t="s">
        <v>1713</v>
      </c>
      <c r="B470" s="4" t="s">
        <v>1714</v>
      </c>
      <c r="C470" s="4" t="s">
        <v>786</v>
      </c>
      <c r="D470" s="4" t="s">
        <v>145</v>
      </c>
      <c r="E470" s="4" t="s">
        <v>146</v>
      </c>
      <c r="F470" s="4" t="s">
        <v>787</v>
      </c>
      <c r="G470" s="4" t="s">
        <v>788</v>
      </c>
      <c r="H470" s="4" t="s">
        <v>789</v>
      </c>
      <c r="I470" s="4" t="s">
        <v>226</v>
      </c>
      <c r="J470" s="4" t="s">
        <v>790</v>
      </c>
      <c r="K470" s="4" t="s">
        <v>150</v>
      </c>
      <c r="L470" s="4" t="s">
        <v>348</v>
      </c>
      <c r="M470" s="24" t="s">
        <v>749</v>
      </c>
      <c r="N470" s="4" t="s">
        <v>153</v>
      </c>
      <c r="O470" s="4" t="s">
        <v>238</v>
      </c>
      <c r="P470" s="4" t="s">
        <v>118</v>
      </c>
      <c r="Q470" s="25" t="n">
        <v>74.99</v>
      </c>
      <c r="R470" s="25" t="n">
        <v>74.99</v>
      </c>
      <c r="S470" s="25" t="n">
        <v>40.94</v>
      </c>
      <c r="T470" s="26" t="n">
        <v>7</v>
      </c>
      <c r="U470" s="26" t="n">
        <v>4</v>
      </c>
      <c r="V470" s="26" t="n">
        <v>3</v>
      </c>
      <c r="W470" s="26"/>
      <c r="X470" s="27" t="n">
        <f aca="false">SUM(T470:W470)</f>
        <v>14</v>
      </c>
      <c r="Y470" s="28" t="n">
        <f aca="false">COUNT(T470:W470)</f>
        <v>3</v>
      </c>
      <c r="Z470" s="29" t="n">
        <f aca="false">R470*X470</f>
        <v>1049.86</v>
      </c>
      <c r="AA470" s="30" t="n">
        <v>46135</v>
      </c>
    </row>
    <row r="471" customFormat="false" ht="15" hidden="false" customHeight="true" outlineLevel="0" collapsed="false">
      <c r="A471" s="4" t="s">
        <v>1715</v>
      </c>
      <c r="B471" s="4" t="s">
        <v>1716</v>
      </c>
      <c r="C471" s="4" t="s">
        <v>383</v>
      </c>
      <c r="D471" s="4" t="s">
        <v>135</v>
      </c>
      <c r="E471" s="4" t="s">
        <v>136</v>
      </c>
      <c r="F471" s="4" t="s">
        <v>384</v>
      </c>
      <c r="G471" s="4" t="s">
        <v>385</v>
      </c>
      <c r="H471" s="4" t="s">
        <v>386</v>
      </c>
      <c r="I471" s="4" t="s">
        <v>127</v>
      </c>
      <c r="J471" s="4" t="s">
        <v>280</v>
      </c>
      <c r="K471" s="4" t="s">
        <v>113</v>
      </c>
      <c r="L471" s="4" t="s">
        <v>387</v>
      </c>
      <c r="M471" s="24" t="s">
        <v>177</v>
      </c>
      <c r="N471" s="4" t="s">
        <v>116</v>
      </c>
      <c r="O471" s="4" t="s">
        <v>117</v>
      </c>
      <c r="P471" s="4" t="s">
        <v>202</v>
      </c>
      <c r="Q471" s="25" t="n">
        <v>149.99</v>
      </c>
      <c r="R471" s="25" t="n">
        <v>149.99</v>
      </c>
      <c r="S471" s="25" t="n">
        <v>72.91</v>
      </c>
      <c r="T471" s="26" t="n">
        <v>3</v>
      </c>
      <c r="U471" s="26" t="n">
        <v>2</v>
      </c>
      <c r="V471" s="26" t="n">
        <v>7</v>
      </c>
      <c r="W471" s="26"/>
      <c r="X471" s="27" t="n">
        <f aca="false">SUM(T471:W471)</f>
        <v>12</v>
      </c>
      <c r="Y471" s="28" t="n">
        <f aca="false">COUNT(T471:W471)</f>
        <v>3</v>
      </c>
      <c r="Z471" s="29" t="n">
        <f aca="false">R471*X471</f>
        <v>1799.88</v>
      </c>
      <c r="AA471" s="30" t="n">
        <v>46108</v>
      </c>
    </row>
    <row r="472" customFormat="false" ht="15" hidden="false" customHeight="true" outlineLevel="0" collapsed="false">
      <c r="A472" s="4" t="s">
        <v>1717</v>
      </c>
      <c r="B472" s="4" t="s">
        <v>1718</v>
      </c>
      <c r="C472" s="4" t="s">
        <v>1052</v>
      </c>
      <c r="D472" s="4" t="s">
        <v>583</v>
      </c>
      <c r="E472" s="4" t="s">
        <v>584</v>
      </c>
      <c r="F472" s="4" t="s">
        <v>1053</v>
      </c>
      <c r="G472" s="4" t="s">
        <v>1054</v>
      </c>
      <c r="H472" s="4" t="s">
        <v>1055</v>
      </c>
      <c r="I472" s="4" t="s">
        <v>127</v>
      </c>
      <c r="J472" s="4" t="s">
        <v>128</v>
      </c>
      <c r="K472" s="4" t="s">
        <v>113</v>
      </c>
      <c r="L472" s="4" t="s">
        <v>1056</v>
      </c>
      <c r="M472" s="24" t="s">
        <v>211</v>
      </c>
      <c r="N472" s="4" t="s">
        <v>116</v>
      </c>
      <c r="O472" s="4" t="s">
        <v>131</v>
      </c>
      <c r="P472" s="4" t="s">
        <v>118</v>
      </c>
      <c r="Q472" s="25" t="n">
        <v>79.99</v>
      </c>
      <c r="R472" s="25" t="n">
        <v>79.99</v>
      </c>
      <c r="S472" s="25" t="n">
        <v>40.55</v>
      </c>
      <c r="T472" s="26" t="n">
        <v>3</v>
      </c>
      <c r="U472" s="26" t="n">
        <v>3</v>
      </c>
      <c r="V472" s="26" t="n">
        <v>4</v>
      </c>
      <c r="W472" s="26"/>
      <c r="X472" s="27" t="n">
        <f aca="false">SUM(T472:W472)</f>
        <v>10</v>
      </c>
      <c r="Y472" s="28" t="n">
        <f aca="false">COUNT(T472:W472)</f>
        <v>3</v>
      </c>
      <c r="Z472" s="29" t="n">
        <f aca="false">R472*X472</f>
        <v>799.9</v>
      </c>
      <c r="AA472" s="30" t="n">
        <v>46220</v>
      </c>
    </row>
    <row r="473" customFormat="false" ht="15" hidden="false" customHeight="true" outlineLevel="0" collapsed="false">
      <c r="A473" s="4" t="s">
        <v>1719</v>
      </c>
      <c r="B473" s="4" t="s">
        <v>1720</v>
      </c>
      <c r="C473" s="4" t="s">
        <v>144</v>
      </c>
      <c r="D473" s="4" t="s">
        <v>145</v>
      </c>
      <c r="E473" s="4" t="s">
        <v>146</v>
      </c>
      <c r="F473" s="4" t="s">
        <v>147</v>
      </c>
      <c r="G473" s="4" t="s">
        <v>148</v>
      </c>
      <c r="H473" s="4" t="s">
        <v>149</v>
      </c>
      <c r="I473" s="4" t="s">
        <v>127</v>
      </c>
      <c r="J473" s="4" t="s">
        <v>128</v>
      </c>
      <c r="K473" s="4" t="s">
        <v>150</v>
      </c>
      <c r="L473" s="4" t="s">
        <v>151</v>
      </c>
      <c r="M473" s="24" t="s">
        <v>915</v>
      </c>
      <c r="N473" s="4" t="s">
        <v>153</v>
      </c>
      <c r="O473" s="4" t="s">
        <v>131</v>
      </c>
      <c r="P473" s="4" t="s">
        <v>118</v>
      </c>
      <c r="Q473" s="25" t="n">
        <v>64.99</v>
      </c>
      <c r="R473" s="25" t="n">
        <v>64.99</v>
      </c>
      <c r="S473" s="25" t="n">
        <v>32.11</v>
      </c>
      <c r="T473" s="26"/>
      <c r="U473" s="26"/>
      <c r="V473" s="26" t="n">
        <v>4</v>
      </c>
      <c r="W473" s="26"/>
      <c r="X473" s="27" t="n">
        <f aca="false">SUM(T473:W473)</f>
        <v>4</v>
      </c>
      <c r="Y473" s="28" t="n">
        <f aca="false">COUNT(T473:W473)</f>
        <v>1</v>
      </c>
      <c r="Z473" s="29" t="n">
        <f aca="false">R473*X473</f>
        <v>259.96</v>
      </c>
      <c r="AA473" s="30" t="n">
        <v>46050</v>
      </c>
    </row>
    <row r="474" customFormat="false" ht="15" hidden="false" customHeight="true" outlineLevel="0" collapsed="false">
      <c r="A474" s="4" t="s">
        <v>1721</v>
      </c>
      <c r="B474" s="4" t="s">
        <v>1722</v>
      </c>
      <c r="C474" s="4" t="s">
        <v>897</v>
      </c>
      <c r="D474" s="4" t="s">
        <v>475</v>
      </c>
      <c r="E474" s="4" t="s">
        <v>476</v>
      </c>
      <c r="F474" s="4" t="s">
        <v>898</v>
      </c>
      <c r="G474" s="4" t="s">
        <v>899</v>
      </c>
      <c r="H474" s="4" t="s">
        <v>900</v>
      </c>
      <c r="I474" s="4" t="s">
        <v>161</v>
      </c>
      <c r="J474" s="4" t="s">
        <v>186</v>
      </c>
      <c r="K474" s="4" t="s">
        <v>209</v>
      </c>
      <c r="L474" s="4" t="s">
        <v>901</v>
      </c>
      <c r="M474" s="24" t="s">
        <v>356</v>
      </c>
      <c r="N474" s="4" t="s">
        <v>153</v>
      </c>
      <c r="O474" s="4" t="s">
        <v>131</v>
      </c>
      <c r="P474" s="4" t="s">
        <v>118</v>
      </c>
      <c r="Q474" s="25" t="n">
        <v>89.99</v>
      </c>
      <c r="R474" s="25" t="n">
        <v>89.99</v>
      </c>
      <c r="S474" s="25" t="n">
        <v>44.27</v>
      </c>
      <c r="T474" s="26" t="n">
        <v>7</v>
      </c>
      <c r="U474" s="26" t="n">
        <v>0</v>
      </c>
      <c r="V474" s="26" t="n">
        <v>7</v>
      </c>
      <c r="W474" s="26" t="n">
        <v>5</v>
      </c>
      <c r="X474" s="27" t="n">
        <f aca="false">SUM(T474:W474)</f>
        <v>19</v>
      </c>
      <c r="Y474" s="28" t="n">
        <f aca="false">COUNT(T474:W474)</f>
        <v>4</v>
      </c>
      <c r="Z474" s="29" t="n">
        <f aca="false">R474*X474</f>
        <v>1709.81</v>
      </c>
      <c r="AA474" s="30" t="n">
        <v>46096</v>
      </c>
    </row>
    <row r="475" customFormat="false" ht="15" hidden="false" customHeight="true" outlineLevel="0" collapsed="false">
      <c r="A475" s="4" t="s">
        <v>1723</v>
      </c>
      <c r="B475" s="4" t="s">
        <v>1724</v>
      </c>
      <c r="C475" s="4" t="s">
        <v>180</v>
      </c>
      <c r="D475" s="4" t="s">
        <v>181</v>
      </c>
      <c r="E475" s="4" t="s">
        <v>182</v>
      </c>
      <c r="F475" s="4" t="s">
        <v>183</v>
      </c>
      <c r="G475" s="4" t="s">
        <v>184</v>
      </c>
      <c r="H475" s="4" t="s">
        <v>185</v>
      </c>
      <c r="I475" s="4" t="s">
        <v>161</v>
      </c>
      <c r="J475" s="4" t="s">
        <v>186</v>
      </c>
      <c r="K475" s="4" t="s">
        <v>187</v>
      </c>
      <c r="L475" s="4" t="s">
        <v>176</v>
      </c>
      <c r="M475" s="24" t="s">
        <v>164</v>
      </c>
      <c r="N475" s="4" t="s">
        <v>189</v>
      </c>
      <c r="O475" s="4" t="s">
        <v>131</v>
      </c>
      <c r="P475" s="4" t="s">
        <v>118</v>
      </c>
      <c r="Q475" s="25" t="n">
        <v>89.99</v>
      </c>
      <c r="R475" s="25" t="n">
        <v>89.99</v>
      </c>
      <c r="S475" s="25" t="n">
        <v>45.49</v>
      </c>
      <c r="T475" s="26" t="n">
        <v>5</v>
      </c>
      <c r="U475" s="26" t="n">
        <v>1</v>
      </c>
      <c r="V475" s="26" t="n">
        <v>4</v>
      </c>
      <c r="W475" s="26"/>
      <c r="X475" s="27" t="n">
        <f aca="false">SUM(T475:W475)</f>
        <v>10</v>
      </c>
      <c r="Y475" s="28" t="n">
        <f aca="false">COUNT(T475:W475)</f>
        <v>3</v>
      </c>
      <c r="Z475" s="29" t="n">
        <f aca="false">R475*X475</f>
        <v>899.9</v>
      </c>
      <c r="AA475" s="30" t="n">
        <v>46073</v>
      </c>
    </row>
    <row r="476" customFormat="false" ht="15" hidden="false" customHeight="true" outlineLevel="0" collapsed="false">
      <c r="A476" s="4" t="s">
        <v>1725</v>
      </c>
      <c r="B476" s="4" t="s">
        <v>1726</v>
      </c>
      <c r="C476" s="4" t="s">
        <v>1367</v>
      </c>
      <c r="D476" s="4" t="s">
        <v>251</v>
      </c>
      <c r="E476" s="4" t="s">
        <v>252</v>
      </c>
      <c r="F476" s="4" t="s">
        <v>1368</v>
      </c>
      <c r="G476" s="4" t="s">
        <v>1369</v>
      </c>
      <c r="H476" s="4" t="s">
        <v>1370</v>
      </c>
      <c r="I476" s="4" t="s">
        <v>226</v>
      </c>
      <c r="J476" s="4" t="s">
        <v>265</v>
      </c>
      <c r="K476" s="4" t="s">
        <v>113</v>
      </c>
      <c r="L476" s="4" t="s">
        <v>1371</v>
      </c>
      <c r="M476" s="24" t="s">
        <v>258</v>
      </c>
      <c r="N476" s="4" t="s">
        <v>116</v>
      </c>
      <c r="O476" s="4" t="s">
        <v>165</v>
      </c>
      <c r="P476" s="4" t="s">
        <v>118</v>
      </c>
      <c r="Q476" s="25" t="n">
        <v>129.99</v>
      </c>
      <c r="R476" s="25" t="n">
        <v>129.99</v>
      </c>
      <c r="S476" s="25" t="n">
        <v>63.86</v>
      </c>
      <c r="T476" s="26" t="n">
        <v>3</v>
      </c>
      <c r="U476" s="26" t="n">
        <v>4</v>
      </c>
      <c r="V476" s="26" t="n">
        <v>6</v>
      </c>
      <c r="W476" s="26" t="n">
        <v>1</v>
      </c>
      <c r="X476" s="27" t="n">
        <f aca="false">SUM(T476:W476)</f>
        <v>14</v>
      </c>
      <c r="Y476" s="28" t="n">
        <f aca="false">COUNT(T476:W476)</f>
        <v>4</v>
      </c>
      <c r="Z476" s="29" t="n">
        <f aca="false">R476*X476</f>
        <v>1819.86</v>
      </c>
      <c r="AA476" s="30" t="n">
        <v>46034</v>
      </c>
    </row>
    <row r="477" customFormat="false" ht="15" hidden="false" customHeight="true" outlineLevel="0" collapsed="false">
      <c r="A477" s="4" t="s">
        <v>1727</v>
      </c>
      <c r="B477" s="4" t="s">
        <v>1728</v>
      </c>
      <c r="C477" s="4" t="s">
        <v>828</v>
      </c>
      <c r="D477" s="4" t="s">
        <v>106</v>
      </c>
      <c r="E477" s="4" t="s">
        <v>107</v>
      </c>
      <c r="F477" s="4" t="s">
        <v>397</v>
      </c>
      <c r="G477" s="4" t="s">
        <v>829</v>
      </c>
      <c r="H477" s="4" t="s">
        <v>830</v>
      </c>
      <c r="I477" s="4" t="s">
        <v>161</v>
      </c>
      <c r="J477" s="4" t="s">
        <v>235</v>
      </c>
      <c r="K477" s="4" t="s">
        <v>187</v>
      </c>
      <c r="L477" s="4" t="s">
        <v>831</v>
      </c>
      <c r="M477" s="24" t="s">
        <v>338</v>
      </c>
      <c r="N477" s="4" t="s">
        <v>189</v>
      </c>
      <c r="O477" s="4" t="s">
        <v>165</v>
      </c>
      <c r="P477" s="4" t="s">
        <v>118</v>
      </c>
      <c r="Q477" s="25" t="n">
        <v>69.99</v>
      </c>
      <c r="R477" s="25" t="n">
        <v>69.99</v>
      </c>
      <c r="S477" s="25" t="n">
        <v>38.52</v>
      </c>
      <c r="T477" s="26" t="n">
        <v>0</v>
      </c>
      <c r="U477" s="26"/>
      <c r="V477" s="26" t="n">
        <v>3</v>
      </c>
      <c r="W477" s="26"/>
      <c r="X477" s="27" t="n">
        <f aca="false">SUM(T477:W477)</f>
        <v>3</v>
      </c>
      <c r="Y477" s="28" t="n">
        <f aca="false">COUNT(T477:W477)</f>
        <v>2</v>
      </c>
      <c r="Z477" s="29" t="n">
        <f aca="false">R477*X477</f>
        <v>209.97</v>
      </c>
      <c r="AA477" s="30" t="n">
        <v>46124</v>
      </c>
    </row>
    <row r="478" customFormat="false" ht="15" hidden="false" customHeight="true" outlineLevel="0" collapsed="false">
      <c r="A478" s="4" t="s">
        <v>1729</v>
      </c>
      <c r="B478" s="4" t="s">
        <v>1730</v>
      </c>
      <c r="C478" s="4" t="s">
        <v>597</v>
      </c>
      <c r="D478" s="4" t="s">
        <v>122</v>
      </c>
      <c r="E478" s="4" t="s">
        <v>123</v>
      </c>
      <c r="F478" s="4" t="s">
        <v>598</v>
      </c>
      <c r="G478" s="4" t="s">
        <v>599</v>
      </c>
      <c r="H478" s="4" t="s">
        <v>600</v>
      </c>
      <c r="I478" s="4" t="s">
        <v>127</v>
      </c>
      <c r="J478" s="4" t="s">
        <v>280</v>
      </c>
      <c r="K478" s="4" t="s">
        <v>187</v>
      </c>
      <c r="L478" s="4" t="s">
        <v>601</v>
      </c>
      <c r="M478" s="24" t="s">
        <v>538</v>
      </c>
      <c r="N478" s="4" t="s">
        <v>189</v>
      </c>
      <c r="O478" s="4" t="s">
        <v>165</v>
      </c>
      <c r="P478" s="4" t="s">
        <v>118</v>
      </c>
      <c r="Q478" s="25" t="n">
        <v>139.99</v>
      </c>
      <c r="R478" s="25" t="n">
        <v>139.99</v>
      </c>
      <c r="S478" s="25" t="n">
        <v>72.45</v>
      </c>
      <c r="T478" s="26" t="n">
        <v>1</v>
      </c>
      <c r="U478" s="26"/>
      <c r="V478" s="26" t="n">
        <v>6</v>
      </c>
      <c r="W478" s="26"/>
      <c r="X478" s="27" t="n">
        <f aca="false">SUM(T478:W478)</f>
        <v>7</v>
      </c>
      <c r="Y478" s="28" t="n">
        <f aca="false">COUNT(T478:W478)</f>
        <v>2</v>
      </c>
      <c r="Z478" s="29" t="n">
        <f aca="false">R478*X478</f>
        <v>979.93</v>
      </c>
      <c r="AA478" s="30" t="n">
        <v>46041</v>
      </c>
    </row>
    <row r="479" customFormat="false" ht="15" hidden="false" customHeight="true" outlineLevel="0" collapsed="false">
      <c r="A479" s="4" t="s">
        <v>1731</v>
      </c>
      <c r="B479" s="4" t="s">
        <v>1732</v>
      </c>
      <c r="C479" s="4" t="s">
        <v>483</v>
      </c>
      <c r="D479" s="4" t="s">
        <v>484</v>
      </c>
      <c r="E479" s="4" t="s">
        <v>485</v>
      </c>
      <c r="F479" s="4" t="s">
        <v>486</v>
      </c>
      <c r="G479" s="4" t="s">
        <v>487</v>
      </c>
      <c r="H479" s="4" t="s">
        <v>488</v>
      </c>
      <c r="I479" s="4" t="s">
        <v>127</v>
      </c>
      <c r="J479" s="4" t="s">
        <v>280</v>
      </c>
      <c r="K479" s="4" t="s">
        <v>113</v>
      </c>
      <c r="L479" s="4" t="s">
        <v>489</v>
      </c>
      <c r="M479" s="24" t="s">
        <v>188</v>
      </c>
      <c r="N479" s="4" t="s">
        <v>116</v>
      </c>
      <c r="O479" s="4" t="s">
        <v>131</v>
      </c>
      <c r="P479" s="4" t="s">
        <v>239</v>
      </c>
      <c r="Q479" s="25" t="n">
        <v>144.99</v>
      </c>
      <c r="R479" s="25" t="n">
        <v>93.99</v>
      </c>
      <c r="S479" s="25" t="n">
        <v>77.83</v>
      </c>
      <c r="T479" s="26" t="n">
        <v>1</v>
      </c>
      <c r="U479" s="26" t="n">
        <v>4</v>
      </c>
      <c r="V479" s="26" t="n">
        <v>5</v>
      </c>
      <c r="W479" s="26" t="n">
        <v>0</v>
      </c>
      <c r="X479" s="27" t="n">
        <f aca="false">SUM(T479:W479)</f>
        <v>10</v>
      </c>
      <c r="Y479" s="28" t="n">
        <f aca="false">COUNT(T479:W479)</f>
        <v>4</v>
      </c>
      <c r="Z479" s="29" t="n">
        <f aca="false">R479*X479</f>
        <v>939.9</v>
      </c>
      <c r="AA479" s="30" t="n">
        <v>46067</v>
      </c>
    </row>
    <row r="480" customFormat="false" ht="15" hidden="false" customHeight="true" outlineLevel="0" collapsed="false">
      <c r="A480" s="4" t="s">
        <v>1733</v>
      </c>
      <c r="B480" s="4" t="s">
        <v>1734</v>
      </c>
      <c r="C480" s="4" t="s">
        <v>373</v>
      </c>
      <c r="D480" s="4" t="s">
        <v>374</v>
      </c>
      <c r="E480" s="4" t="s">
        <v>375</v>
      </c>
      <c r="F480" s="4" t="s">
        <v>376</v>
      </c>
      <c r="G480" s="4" t="s">
        <v>377</v>
      </c>
      <c r="H480" s="4" t="s">
        <v>378</v>
      </c>
      <c r="I480" s="4" t="s">
        <v>161</v>
      </c>
      <c r="J480" s="4" t="s">
        <v>235</v>
      </c>
      <c r="K480" s="4" t="s">
        <v>113</v>
      </c>
      <c r="L480" s="4" t="s">
        <v>379</v>
      </c>
      <c r="M480" s="24" t="s">
        <v>211</v>
      </c>
      <c r="N480" s="4" t="s">
        <v>116</v>
      </c>
      <c r="O480" s="4" t="s">
        <v>380</v>
      </c>
      <c r="P480" s="4" t="s">
        <v>239</v>
      </c>
      <c r="Q480" s="25" t="n">
        <v>89.99</v>
      </c>
      <c r="R480" s="25" t="n">
        <v>62.99</v>
      </c>
      <c r="S480" s="25" t="n">
        <v>49.53</v>
      </c>
      <c r="T480" s="26" t="n">
        <v>0</v>
      </c>
      <c r="U480" s="26" t="n">
        <v>0</v>
      </c>
      <c r="V480" s="26" t="n">
        <v>2</v>
      </c>
      <c r="W480" s="26" t="n">
        <v>0</v>
      </c>
      <c r="X480" s="27" t="n">
        <f aca="false">SUM(T480:W480)</f>
        <v>2</v>
      </c>
      <c r="Y480" s="28" t="n">
        <f aca="false">COUNT(T480:W480)</f>
        <v>4</v>
      </c>
      <c r="Z480" s="29" t="n">
        <f aca="false">R480*X480</f>
        <v>125.98</v>
      </c>
      <c r="AA480" s="30" t="n">
        <v>46057</v>
      </c>
    </row>
    <row r="481" customFormat="false" ht="15" hidden="false" customHeight="true" outlineLevel="0" collapsed="false">
      <c r="A481" s="4" t="s">
        <v>1735</v>
      </c>
      <c r="B481" s="4" t="s">
        <v>1736</v>
      </c>
      <c r="C481" s="4" t="s">
        <v>582</v>
      </c>
      <c r="D481" s="4" t="s">
        <v>583</v>
      </c>
      <c r="E481" s="4" t="s">
        <v>584</v>
      </c>
      <c r="F481" s="4" t="s">
        <v>585</v>
      </c>
      <c r="G481" s="4" t="s">
        <v>586</v>
      </c>
      <c r="H481" s="4" t="s">
        <v>587</v>
      </c>
      <c r="I481" s="4" t="s">
        <v>127</v>
      </c>
      <c r="J481" s="4" t="s">
        <v>306</v>
      </c>
      <c r="K481" s="4" t="s">
        <v>113</v>
      </c>
      <c r="L481" s="4" t="s">
        <v>588</v>
      </c>
      <c r="M481" s="24" t="s">
        <v>164</v>
      </c>
      <c r="N481" s="4" t="s">
        <v>116</v>
      </c>
      <c r="O481" s="4" t="s">
        <v>380</v>
      </c>
      <c r="P481" s="4" t="s">
        <v>239</v>
      </c>
      <c r="Q481" s="25" t="n">
        <v>169.99</v>
      </c>
      <c r="R481" s="25" t="n">
        <v>101.99</v>
      </c>
      <c r="S481" s="25" t="n">
        <v>84.77</v>
      </c>
      <c r="T481" s="26"/>
      <c r="U481" s="26"/>
      <c r="V481" s="26" t="n">
        <v>4</v>
      </c>
      <c r="W481" s="26"/>
      <c r="X481" s="27" t="n">
        <f aca="false">SUM(T481:W481)</f>
        <v>4</v>
      </c>
      <c r="Y481" s="28" t="n">
        <f aca="false">COUNT(T481:W481)</f>
        <v>1</v>
      </c>
      <c r="Z481" s="29" t="n">
        <f aca="false">R481*X481</f>
        <v>407.96</v>
      </c>
      <c r="AA481" s="30" t="n">
        <v>46178</v>
      </c>
    </row>
    <row r="482" customFormat="false" ht="15" hidden="false" customHeight="true" outlineLevel="0" collapsed="false">
      <c r="A482" s="4" t="s">
        <v>1737</v>
      </c>
      <c r="B482" s="4" t="s">
        <v>1738</v>
      </c>
      <c r="C482" s="4" t="s">
        <v>993</v>
      </c>
      <c r="D482" s="4" t="s">
        <v>583</v>
      </c>
      <c r="E482" s="4" t="s">
        <v>584</v>
      </c>
      <c r="F482" s="4" t="s">
        <v>994</v>
      </c>
      <c r="G482" s="4" t="s">
        <v>995</v>
      </c>
      <c r="H482" s="4" t="s">
        <v>996</v>
      </c>
      <c r="I482" s="4" t="s">
        <v>127</v>
      </c>
      <c r="J482" s="4" t="s">
        <v>347</v>
      </c>
      <c r="K482" s="4" t="s">
        <v>187</v>
      </c>
      <c r="L482" s="4" t="s">
        <v>997</v>
      </c>
      <c r="M482" s="24" t="s">
        <v>164</v>
      </c>
      <c r="N482" s="4" t="s">
        <v>189</v>
      </c>
      <c r="O482" s="4" t="s">
        <v>131</v>
      </c>
      <c r="P482" s="4" t="s">
        <v>118</v>
      </c>
      <c r="Q482" s="25" t="n">
        <v>179.99</v>
      </c>
      <c r="R482" s="25" t="n">
        <v>179.99</v>
      </c>
      <c r="S482" s="25" t="n">
        <v>97.26</v>
      </c>
      <c r="T482" s="26" t="n">
        <v>3</v>
      </c>
      <c r="U482" s="26" t="n">
        <v>6</v>
      </c>
      <c r="V482" s="26" t="n">
        <v>2</v>
      </c>
      <c r="W482" s="26"/>
      <c r="X482" s="27" t="n">
        <f aca="false">SUM(T482:W482)</f>
        <v>11</v>
      </c>
      <c r="Y482" s="28" t="n">
        <f aca="false">COUNT(T482:W482)</f>
        <v>3</v>
      </c>
      <c r="Z482" s="29" t="n">
        <f aca="false">R482*X482</f>
        <v>1979.89</v>
      </c>
      <c r="AA482" s="30" t="n">
        <v>46040</v>
      </c>
    </row>
    <row r="483" customFormat="false" ht="15" hidden="false" customHeight="true" outlineLevel="0" collapsed="false">
      <c r="A483" s="4" t="s">
        <v>1739</v>
      </c>
      <c r="B483" s="4" t="s">
        <v>1740</v>
      </c>
      <c r="C483" s="4" t="s">
        <v>964</v>
      </c>
      <c r="D483" s="4" t="s">
        <v>106</v>
      </c>
      <c r="E483" s="4" t="s">
        <v>107</v>
      </c>
      <c r="F483" s="4" t="s">
        <v>965</v>
      </c>
      <c r="G483" s="4" t="s">
        <v>966</v>
      </c>
      <c r="H483" s="4" t="s">
        <v>967</v>
      </c>
      <c r="I483" s="4" t="s">
        <v>127</v>
      </c>
      <c r="J483" s="4" t="s">
        <v>128</v>
      </c>
      <c r="K483" s="4" t="s">
        <v>187</v>
      </c>
      <c r="L483" s="4" t="s">
        <v>968</v>
      </c>
      <c r="M483" s="24" t="s">
        <v>164</v>
      </c>
      <c r="N483" s="4" t="s">
        <v>189</v>
      </c>
      <c r="O483" s="4" t="s">
        <v>131</v>
      </c>
      <c r="P483" s="4" t="s">
        <v>118</v>
      </c>
      <c r="Q483" s="25" t="n">
        <v>64.99</v>
      </c>
      <c r="R483" s="25" t="n">
        <v>64.99</v>
      </c>
      <c r="S483" s="25" t="n">
        <v>34.29</v>
      </c>
      <c r="T483" s="26" t="n">
        <v>4</v>
      </c>
      <c r="U483" s="26"/>
      <c r="V483" s="26" t="n">
        <v>0</v>
      </c>
      <c r="W483" s="26" t="n">
        <v>0</v>
      </c>
      <c r="X483" s="27" t="n">
        <f aca="false">SUM(T483:W483)</f>
        <v>4</v>
      </c>
      <c r="Y483" s="28" t="n">
        <f aca="false">COUNT(T483:W483)</f>
        <v>3</v>
      </c>
      <c r="Z483" s="29" t="n">
        <f aca="false">R483*X483</f>
        <v>259.96</v>
      </c>
      <c r="AA483" s="30" t="n">
        <v>46035</v>
      </c>
    </row>
    <row r="484" customFormat="false" ht="15" hidden="false" customHeight="true" outlineLevel="0" collapsed="false">
      <c r="A484" s="4" t="s">
        <v>1741</v>
      </c>
      <c r="B484" s="4" t="s">
        <v>1742</v>
      </c>
      <c r="C484" s="4" t="s">
        <v>642</v>
      </c>
      <c r="D484" s="4" t="s">
        <v>643</v>
      </c>
      <c r="E484" s="4" t="s">
        <v>644</v>
      </c>
      <c r="F484" s="4" t="s">
        <v>645</v>
      </c>
      <c r="G484" s="4" t="s">
        <v>646</v>
      </c>
      <c r="H484" s="4" t="s">
        <v>647</v>
      </c>
      <c r="I484" s="4" t="s">
        <v>127</v>
      </c>
      <c r="J484" s="4" t="s">
        <v>280</v>
      </c>
      <c r="K484" s="4" t="s">
        <v>187</v>
      </c>
      <c r="L484" s="4" t="s">
        <v>648</v>
      </c>
      <c r="M484" s="24" t="s">
        <v>164</v>
      </c>
      <c r="N484" s="4" t="s">
        <v>189</v>
      </c>
      <c r="O484" s="4" t="s">
        <v>117</v>
      </c>
      <c r="P484" s="4" t="s">
        <v>202</v>
      </c>
      <c r="Q484" s="25" t="n">
        <v>149.99</v>
      </c>
      <c r="R484" s="25" t="n">
        <v>149.99</v>
      </c>
      <c r="S484" s="25" t="n">
        <v>73.89</v>
      </c>
      <c r="T484" s="26"/>
      <c r="U484" s="26" t="n">
        <v>4</v>
      </c>
      <c r="V484" s="26" t="n">
        <v>4</v>
      </c>
      <c r="W484" s="26" t="n">
        <v>4</v>
      </c>
      <c r="X484" s="27" t="n">
        <f aca="false">SUM(T484:W484)</f>
        <v>12</v>
      </c>
      <c r="Y484" s="28" t="n">
        <f aca="false">COUNT(T484:W484)</f>
        <v>3</v>
      </c>
      <c r="Z484" s="29" t="n">
        <f aca="false">R484*X484</f>
        <v>1799.88</v>
      </c>
      <c r="AA484" s="30" t="n">
        <v>46227</v>
      </c>
    </row>
    <row r="485" customFormat="false" ht="15" hidden="false" customHeight="true" outlineLevel="0" collapsed="false">
      <c r="A485" s="4" t="s">
        <v>1743</v>
      </c>
      <c r="B485" s="4" t="s">
        <v>1744</v>
      </c>
      <c r="C485" s="4" t="s">
        <v>1191</v>
      </c>
      <c r="D485" s="4" t="s">
        <v>106</v>
      </c>
      <c r="E485" s="4" t="s">
        <v>107</v>
      </c>
      <c r="F485" s="4" t="s">
        <v>1192</v>
      </c>
      <c r="G485" s="4" t="s">
        <v>1193</v>
      </c>
      <c r="H485" s="4" t="s">
        <v>1194</v>
      </c>
      <c r="I485" s="4" t="s">
        <v>771</v>
      </c>
      <c r="J485" s="4" t="s">
        <v>772</v>
      </c>
      <c r="K485" s="4" t="s">
        <v>113</v>
      </c>
      <c r="L485" s="4" t="s">
        <v>1195</v>
      </c>
      <c r="M485" s="24" t="s">
        <v>211</v>
      </c>
      <c r="N485" s="4" t="s">
        <v>116</v>
      </c>
      <c r="O485" s="4" t="s">
        <v>131</v>
      </c>
      <c r="P485" s="4" t="s">
        <v>118</v>
      </c>
      <c r="Q485" s="25" t="n">
        <v>119.99</v>
      </c>
      <c r="R485" s="25" t="n">
        <v>119.99</v>
      </c>
      <c r="S485" s="25" t="n">
        <v>66.66</v>
      </c>
      <c r="T485" s="26" t="n">
        <v>0</v>
      </c>
      <c r="U485" s="26" t="n">
        <v>0</v>
      </c>
      <c r="V485" s="26" t="n">
        <v>3</v>
      </c>
      <c r="W485" s="26"/>
      <c r="X485" s="27" t="n">
        <f aca="false">SUM(T485:W485)</f>
        <v>3</v>
      </c>
      <c r="Y485" s="28" t="n">
        <f aca="false">COUNT(T485:W485)</f>
        <v>3</v>
      </c>
      <c r="Z485" s="29" t="n">
        <f aca="false">R485*X485</f>
        <v>359.97</v>
      </c>
      <c r="AA485" s="30" t="n">
        <v>46211</v>
      </c>
    </row>
    <row r="486" customFormat="false" ht="15" hidden="false" customHeight="true" outlineLevel="0" collapsed="false">
      <c r="A486" s="4" t="s">
        <v>1745</v>
      </c>
      <c r="B486" s="4" t="s">
        <v>1746</v>
      </c>
      <c r="C486" s="4" t="s">
        <v>494</v>
      </c>
      <c r="D486" s="4" t="s">
        <v>106</v>
      </c>
      <c r="E486" s="4" t="s">
        <v>157</v>
      </c>
      <c r="F486" s="4" t="s">
        <v>495</v>
      </c>
      <c r="G486" s="4" t="s">
        <v>496</v>
      </c>
      <c r="H486" s="4" t="s">
        <v>497</v>
      </c>
      <c r="I486" s="4" t="s">
        <v>161</v>
      </c>
      <c r="J486" s="4" t="s">
        <v>162</v>
      </c>
      <c r="K486" s="4" t="s">
        <v>113</v>
      </c>
      <c r="L486" s="4" t="s">
        <v>498</v>
      </c>
      <c r="M486" s="24" t="s">
        <v>211</v>
      </c>
      <c r="N486" s="4" t="s">
        <v>116</v>
      </c>
      <c r="O486" s="4" t="s">
        <v>238</v>
      </c>
      <c r="P486" s="4" t="s">
        <v>239</v>
      </c>
      <c r="Q486" s="25" t="n">
        <v>109.99</v>
      </c>
      <c r="R486" s="25" t="n">
        <v>65.99</v>
      </c>
      <c r="S486" s="25" t="n">
        <v>60.5</v>
      </c>
      <c r="T486" s="26" t="n">
        <v>1</v>
      </c>
      <c r="U486" s="26" t="n">
        <v>2</v>
      </c>
      <c r="V486" s="26" t="n">
        <v>4</v>
      </c>
      <c r="W486" s="26" t="n">
        <v>1</v>
      </c>
      <c r="X486" s="27" t="n">
        <f aca="false">SUM(T486:W486)</f>
        <v>8</v>
      </c>
      <c r="Y486" s="28" t="n">
        <f aca="false">COUNT(T486:W486)</f>
        <v>4</v>
      </c>
      <c r="Z486" s="29" t="n">
        <f aca="false">R486*X486</f>
        <v>527.92</v>
      </c>
      <c r="AA486" s="30" t="n">
        <v>46110</v>
      </c>
    </row>
    <row r="487" customFormat="false" ht="15" hidden="false" customHeight="true" outlineLevel="0" collapsed="false">
      <c r="A487" s="4" t="s">
        <v>1747</v>
      </c>
      <c r="B487" s="4" t="s">
        <v>1748</v>
      </c>
      <c r="C487" s="4" t="s">
        <v>591</v>
      </c>
      <c r="D487" s="4" t="s">
        <v>122</v>
      </c>
      <c r="E487" s="4" t="s">
        <v>285</v>
      </c>
      <c r="F487" s="4" t="s">
        <v>286</v>
      </c>
      <c r="G487" s="4" t="s">
        <v>592</v>
      </c>
      <c r="H487" s="4" t="s">
        <v>593</v>
      </c>
      <c r="I487" s="4" t="s">
        <v>161</v>
      </c>
      <c r="J487" s="4" t="s">
        <v>289</v>
      </c>
      <c r="K487" s="4" t="s">
        <v>113</v>
      </c>
      <c r="L487" s="4" t="s">
        <v>594</v>
      </c>
      <c r="M487" s="24" t="s">
        <v>258</v>
      </c>
      <c r="N487" s="4" t="s">
        <v>116</v>
      </c>
      <c r="O487" s="4" t="s">
        <v>131</v>
      </c>
      <c r="P487" s="4" t="s">
        <v>118</v>
      </c>
      <c r="Q487" s="25" t="n">
        <v>129.99</v>
      </c>
      <c r="R487" s="25" t="n">
        <v>129.99</v>
      </c>
      <c r="S487" s="25" t="n">
        <v>63.23</v>
      </c>
      <c r="T487" s="26" t="n">
        <v>3</v>
      </c>
      <c r="U487" s="26" t="n">
        <v>0</v>
      </c>
      <c r="V487" s="26" t="n">
        <v>2</v>
      </c>
      <c r="W487" s="26" t="n">
        <v>2</v>
      </c>
      <c r="X487" s="27" t="n">
        <f aca="false">SUM(T487:W487)</f>
        <v>7</v>
      </c>
      <c r="Y487" s="28" t="n">
        <f aca="false">COUNT(T487:W487)</f>
        <v>4</v>
      </c>
      <c r="Z487" s="29" t="n">
        <f aca="false">R487*X487</f>
        <v>909.93</v>
      </c>
      <c r="AA487" s="30" t="n">
        <v>46190</v>
      </c>
    </row>
    <row r="488" customFormat="false" ht="15" hidden="false" customHeight="true" outlineLevel="0" collapsed="false">
      <c r="A488" s="4" t="s">
        <v>1749</v>
      </c>
      <c r="B488" s="4" t="s">
        <v>1750</v>
      </c>
      <c r="C488" s="4" t="s">
        <v>1584</v>
      </c>
      <c r="D488" s="4" t="s">
        <v>484</v>
      </c>
      <c r="E488" s="4" t="s">
        <v>485</v>
      </c>
      <c r="F488" s="4" t="s">
        <v>1585</v>
      </c>
      <c r="G488" s="4" t="s">
        <v>1586</v>
      </c>
      <c r="H488" s="4" t="s">
        <v>1587</v>
      </c>
      <c r="I488" s="4" t="s">
        <v>161</v>
      </c>
      <c r="J488" s="4" t="s">
        <v>246</v>
      </c>
      <c r="K488" s="4" t="s">
        <v>209</v>
      </c>
      <c r="L488" s="4" t="s">
        <v>1588</v>
      </c>
      <c r="M488" s="24" t="s">
        <v>442</v>
      </c>
      <c r="N488" s="4" t="s">
        <v>153</v>
      </c>
      <c r="O488" s="4" t="s">
        <v>117</v>
      </c>
      <c r="P488" s="4" t="s">
        <v>118</v>
      </c>
      <c r="Q488" s="25" t="n">
        <v>109.99</v>
      </c>
      <c r="R488" s="25" t="n">
        <v>109.99</v>
      </c>
      <c r="S488" s="25" t="n">
        <v>57.68</v>
      </c>
      <c r="T488" s="26" t="n">
        <v>0</v>
      </c>
      <c r="U488" s="26" t="n">
        <v>1</v>
      </c>
      <c r="V488" s="26" t="n">
        <v>0</v>
      </c>
      <c r="W488" s="26" t="n">
        <v>1</v>
      </c>
      <c r="X488" s="27" t="n">
        <f aca="false">SUM(T488:W488)</f>
        <v>2</v>
      </c>
      <c r="Y488" s="28" t="n">
        <f aca="false">COUNT(T488:W488)</f>
        <v>4</v>
      </c>
      <c r="Z488" s="29" t="n">
        <f aca="false">R488*X488</f>
        <v>219.98</v>
      </c>
      <c r="AA488" s="30" t="n">
        <v>46147</v>
      </c>
    </row>
    <row r="489" customFormat="false" ht="15" hidden="false" customHeight="true" outlineLevel="0" collapsed="false">
      <c r="A489" s="4" t="s">
        <v>1751</v>
      </c>
      <c r="B489" s="4" t="s">
        <v>1752</v>
      </c>
      <c r="C489" s="4" t="s">
        <v>330</v>
      </c>
      <c r="D489" s="4" t="s">
        <v>331</v>
      </c>
      <c r="E489" s="4" t="s">
        <v>332</v>
      </c>
      <c r="F489" s="4" t="s">
        <v>333</v>
      </c>
      <c r="G489" s="4" t="s">
        <v>334</v>
      </c>
      <c r="H489" s="4" t="s">
        <v>335</v>
      </c>
      <c r="I489" s="4" t="s">
        <v>161</v>
      </c>
      <c r="J489" s="4" t="s">
        <v>336</v>
      </c>
      <c r="K489" s="4" t="s">
        <v>187</v>
      </c>
      <c r="L489" s="4" t="s">
        <v>337</v>
      </c>
      <c r="M489" s="24" t="s">
        <v>308</v>
      </c>
      <c r="N489" s="4" t="s">
        <v>189</v>
      </c>
      <c r="O489" s="4" t="s">
        <v>165</v>
      </c>
      <c r="P489" s="4" t="s">
        <v>118</v>
      </c>
      <c r="Q489" s="25" t="n">
        <v>159.99</v>
      </c>
      <c r="R489" s="25" t="n">
        <v>159.99</v>
      </c>
      <c r="S489" s="25" t="n">
        <v>87.47</v>
      </c>
      <c r="T489" s="26" t="n">
        <v>0</v>
      </c>
      <c r="U489" s="26" t="n">
        <v>4</v>
      </c>
      <c r="V489" s="26" t="n">
        <v>4</v>
      </c>
      <c r="W489" s="26"/>
      <c r="X489" s="27" t="n">
        <f aca="false">SUM(T489:W489)</f>
        <v>8</v>
      </c>
      <c r="Y489" s="28" t="n">
        <f aca="false">COUNT(T489:W489)</f>
        <v>3</v>
      </c>
      <c r="Z489" s="29" t="n">
        <f aca="false">R489*X489</f>
        <v>1279.92</v>
      </c>
      <c r="AA489" s="30" t="n">
        <v>46099</v>
      </c>
    </row>
    <row r="490" customFormat="false" ht="15" hidden="false" customHeight="true" outlineLevel="0" collapsed="false">
      <c r="A490" s="4" t="s">
        <v>1753</v>
      </c>
      <c r="B490" s="4" t="s">
        <v>1754</v>
      </c>
      <c r="C490" s="4" t="s">
        <v>366</v>
      </c>
      <c r="D490" s="4" t="s">
        <v>251</v>
      </c>
      <c r="E490" s="4" t="s">
        <v>252</v>
      </c>
      <c r="F490" s="4" t="s">
        <v>367</v>
      </c>
      <c r="G490" s="4" t="s">
        <v>368</v>
      </c>
      <c r="H490" s="4" t="s">
        <v>369</v>
      </c>
      <c r="I490" s="4" t="s">
        <v>161</v>
      </c>
      <c r="J490" s="4" t="s">
        <v>162</v>
      </c>
      <c r="K490" s="4" t="s">
        <v>187</v>
      </c>
      <c r="L490" s="4" t="s">
        <v>370</v>
      </c>
      <c r="M490" s="24" t="s">
        <v>356</v>
      </c>
      <c r="N490" s="4" t="s">
        <v>189</v>
      </c>
      <c r="O490" s="4" t="s">
        <v>117</v>
      </c>
      <c r="P490" s="4" t="s">
        <v>118</v>
      </c>
      <c r="Q490" s="25" t="n">
        <v>89.99</v>
      </c>
      <c r="R490" s="25" t="n">
        <v>89.99</v>
      </c>
      <c r="S490" s="25" t="n">
        <v>45.15</v>
      </c>
      <c r="T490" s="26" t="n">
        <v>1</v>
      </c>
      <c r="U490" s="26"/>
      <c r="V490" s="26" t="n">
        <v>3</v>
      </c>
      <c r="W490" s="26" t="n">
        <v>1</v>
      </c>
      <c r="X490" s="27" t="n">
        <f aca="false">SUM(T490:W490)</f>
        <v>5</v>
      </c>
      <c r="Y490" s="28" t="n">
        <f aca="false">COUNT(T490:W490)</f>
        <v>3</v>
      </c>
      <c r="Z490" s="29" t="n">
        <f aca="false">R490*X490</f>
        <v>449.95</v>
      </c>
      <c r="AA490" s="30" t="n">
        <v>46152</v>
      </c>
    </row>
    <row r="491" customFormat="false" ht="15" hidden="false" customHeight="true" outlineLevel="0" collapsed="false">
      <c r="A491" s="4" t="s">
        <v>1755</v>
      </c>
      <c r="B491" s="4" t="s">
        <v>1756</v>
      </c>
      <c r="C491" s="4" t="s">
        <v>1312</v>
      </c>
      <c r="D491" s="4" t="s">
        <v>122</v>
      </c>
      <c r="E491" s="4" t="s">
        <v>123</v>
      </c>
      <c r="F491" s="4" t="s">
        <v>1313</v>
      </c>
      <c r="G491" s="4" t="s">
        <v>1314</v>
      </c>
      <c r="H491" s="4" t="s">
        <v>1315</v>
      </c>
      <c r="I491" s="4" t="s">
        <v>161</v>
      </c>
      <c r="J491" s="4" t="s">
        <v>235</v>
      </c>
      <c r="K491" s="4" t="s">
        <v>150</v>
      </c>
      <c r="L491" s="4" t="s">
        <v>1316</v>
      </c>
      <c r="M491" s="24" t="s">
        <v>450</v>
      </c>
      <c r="N491" s="4" t="s">
        <v>153</v>
      </c>
      <c r="O491" s="4" t="s">
        <v>165</v>
      </c>
      <c r="P491" s="4" t="s">
        <v>118</v>
      </c>
      <c r="Q491" s="25" t="n">
        <v>94.99</v>
      </c>
      <c r="R491" s="25" t="n">
        <v>94.99</v>
      </c>
      <c r="S491" s="25" t="n">
        <v>47.91</v>
      </c>
      <c r="T491" s="26" t="n">
        <v>2</v>
      </c>
      <c r="U491" s="26" t="n">
        <v>0</v>
      </c>
      <c r="V491" s="26" t="n">
        <v>5</v>
      </c>
      <c r="W491" s="26" t="n">
        <v>0</v>
      </c>
      <c r="X491" s="27" t="n">
        <f aca="false">SUM(T491:W491)</f>
        <v>7</v>
      </c>
      <c r="Y491" s="28" t="n">
        <f aca="false">COUNT(T491:W491)</f>
        <v>4</v>
      </c>
      <c r="Z491" s="29" t="n">
        <f aca="false">R491*X491</f>
        <v>664.93</v>
      </c>
      <c r="AA491" s="30" t="n">
        <v>46087</v>
      </c>
    </row>
    <row r="492" customFormat="false" ht="15" hidden="false" customHeight="true" outlineLevel="0" collapsed="false">
      <c r="A492" s="4" t="s">
        <v>1757</v>
      </c>
      <c r="B492" s="4" t="s">
        <v>1758</v>
      </c>
      <c r="C492" s="4" t="s">
        <v>533</v>
      </c>
      <c r="D492" s="4" t="s">
        <v>135</v>
      </c>
      <c r="E492" s="4" t="s">
        <v>136</v>
      </c>
      <c r="F492" s="4" t="s">
        <v>534</v>
      </c>
      <c r="G492" s="4" t="s">
        <v>535</v>
      </c>
      <c r="H492" s="4" t="s">
        <v>536</v>
      </c>
      <c r="I492" s="4" t="s">
        <v>127</v>
      </c>
      <c r="J492" s="4" t="s">
        <v>218</v>
      </c>
      <c r="K492" s="4" t="s">
        <v>187</v>
      </c>
      <c r="L492" s="4" t="s">
        <v>537</v>
      </c>
      <c r="M492" s="24" t="s">
        <v>338</v>
      </c>
      <c r="N492" s="4" t="s">
        <v>189</v>
      </c>
      <c r="O492" s="4" t="s">
        <v>238</v>
      </c>
      <c r="P492" s="4" t="s">
        <v>118</v>
      </c>
      <c r="Q492" s="25" t="n">
        <v>139.99</v>
      </c>
      <c r="R492" s="25" t="n">
        <v>139.99</v>
      </c>
      <c r="S492" s="25" t="n">
        <v>78.24</v>
      </c>
      <c r="T492" s="26" t="n">
        <v>3</v>
      </c>
      <c r="U492" s="26" t="n">
        <v>1</v>
      </c>
      <c r="V492" s="26" t="n">
        <v>6</v>
      </c>
      <c r="W492" s="26" t="n">
        <v>1</v>
      </c>
      <c r="X492" s="27" t="n">
        <f aca="false">SUM(T492:W492)</f>
        <v>11</v>
      </c>
      <c r="Y492" s="28" t="n">
        <f aca="false">COUNT(T492:W492)</f>
        <v>4</v>
      </c>
      <c r="Z492" s="29" t="n">
        <f aca="false">R492*X492</f>
        <v>1539.89</v>
      </c>
      <c r="AA492" s="30" t="n">
        <v>46212</v>
      </c>
    </row>
    <row r="493" customFormat="false" ht="15" hidden="false" customHeight="true" outlineLevel="0" collapsed="false">
      <c r="A493" s="4" t="s">
        <v>1759</v>
      </c>
      <c r="B493" s="4" t="s">
        <v>1760</v>
      </c>
      <c r="C493" s="4" t="s">
        <v>803</v>
      </c>
      <c r="D493" s="4" t="s">
        <v>193</v>
      </c>
      <c r="E493" s="4" t="s">
        <v>194</v>
      </c>
      <c r="F493" s="4" t="s">
        <v>804</v>
      </c>
      <c r="G493" s="4" t="s">
        <v>805</v>
      </c>
      <c r="H493" s="4" t="s">
        <v>806</v>
      </c>
      <c r="I493" s="4" t="s">
        <v>111</v>
      </c>
      <c r="J493" s="4" t="s">
        <v>198</v>
      </c>
      <c r="K493" s="4" t="s">
        <v>209</v>
      </c>
      <c r="L493" s="4" t="s">
        <v>807</v>
      </c>
      <c r="M493" s="24" t="s">
        <v>356</v>
      </c>
      <c r="N493" s="4" t="s">
        <v>153</v>
      </c>
      <c r="O493" s="4" t="s">
        <v>117</v>
      </c>
      <c r="P493" s="4" t="s">
        <v>202</v>
      </c>
      <c r="Q493" s="25" t="n">
        <v>64.99</v>
      </c>
      <c r="R493" s="25" t="n">
        <v>64.99</v>
      </c>
      <c r="S493" s="25" t="n">
        <v>34</v>
      </c>
      <c r="T493" s="26" t="n">
        <v>0</v>
      </c>
      <c r="U493" s="26" t="n">
        <v>2</v>
      </c>
      <c r="V493" s="26" t="n">
        <v>0</v>
      </c>
      <c r="W493" s="26"/>
      <c r="X493" s="27" t="n">
        <f aca="false">SUM(T493:W493)</f>
        <v>2</v>
      </c>
      <c r="Y493" s="28" t="n">
        <f aca="false">COUNT(T493:W493)</f>
        <v>3</v>
      </c>
      <c r="Z493" s="29" t="n">
        <f aca="false">R493*X493</f>
        <v>129.98</v>
      </c>
      <c r="AA493" s="30" t="n">
        <v>46148</v>
      </c>
    </row>
    <row r="494" customFormat="false" ht="15" hidden="false" customHeight="true" outlineLevel="0" collapsed="false">
      <c r="A494" s="4" t="s">
        <v>1761</v>
      </c>
      <c r="B494" s="4" t="s">
        <v>1762</v>
      </c>
      <c r="C494" s="4" t="s">
        <v>671</v>
      </c>
      <c r="D494" s="4" t="s">
        <v>122</v>
      </c>
      <c r="E494" s="4" t="s">
        <v>123</v>
      </c>
      <c r="F494" s="4" t="s">
        <v>124</v>
      </c>
      <c r="G494" s="4" t="s">
        <v>672</v>
      </c>
      <c r="H494" s="4" t="s">
        <v>673</v>
      </c>
      <c r="I494" s="4" t="s">
        <v>127</v>
      </c>
      <c r="J494" s="4" t="s">
        <v>128</v>
      </c>
      <c r="K494" s="4" t="s">
        <v>150</v>
      </c>
      <c r="L494" s="4" t="s">
        <v>674</v>
      </c>
      <c r="M494" s="24" t="s">
        <v>152</v>
      </c>
      <c r="N494" s="4" t="s">
        <v>153</v>
      </c>
      <c r="O494" s="4" t="s">
        <v>165</v>
      </c>
      <c r="P494" s="4" t="s">
        <v>118</v>
      </c>
      <c r="Q494" s="25" t="n">
        <v>59.99</v>
      </c>
      <c r="R494" s="25" t="n">
        <v>59.99</v>
      </c>
      <c r="S494" s="25" t="n">
        <v>29.23</v>
      </c>
      <c r="T494" s="26" t="n">
        <v>2</v>
      </c>
      <c r="U494" s="26" t="n">
        <v>1</v>
      </c>
      <c r="V494" s="26" t="n">
        <v>0</v>
      </c>
      <c r="W494" s="26" t="n">
        <v>0</v>
      </c>
      <c r="X494" s="27" t="n">
        <f aca="false">SUM(T494:W494)</f>
        <v>3</v>
      </c>
      <c r="Y494" s="28" t="n">
        <f aca="false">COUNT(T494:W494)</f>
        <v>4</v>
      </c>
      <c r="Z494" s="29" t="n">
        <f aca="false">R494*X494</f>
        <v>179.97</v>
      </c>
      <c r="AA494" s="30" t="n">
        <v>46189</v>
      </c>
    </row>
    <row r="495" customFormat="false" ht="15" hidden="false" customHeight="true" outlineLevel="0" collapsed="false">
      <c r="A495" s="4" t="s">
        <v>1763</v>
      </c>
      <c r="B495" s="4" t="s">
        <v>1764</v>
      </c>
      <c r="C495" s="4" t="s">
        <v>1052</v>
      </c>
      <c r="D495" s="4" t="s">
        <v>583</v>
      </c>
      <c r="E495" s="4" t="s">
        <v>584</v>
      </c>
      <c r="F495" s="4" t="s">
        <v>1053</v>
      </c>
      <c r="G495" s="4" t="s">
        <v>1054</v>
      </c>
      <c r="H495" s="4" t="s">
        <v>1055</v>
      </c>
      <c r="I495" s="4" t="s">
        <v>127</v>
      </c>
      <c r="J495" s="4" t="s">
        <v>128</v>
      </c>
      <c r="K495" s="4" t="s">
        <v>113</v>
      </c>
      <c r="L495" s="4" t="s">
        <v>1056</v>
      </c>
      <c r="M495" s="24" t="s">
        <v>327</v>
      </c>
      <c r="N495" s="4" t="s">
        <v>116</v>
      </c>
      <c r="O495" s="4" t="s">
        <v>131</v>
      </c>
      <c r="P495" s="4" t="s">
        <v>118</v>
      </c>
      <c r="Q495" s="25" t="n">
        <v>79.99</v>
      </c>
      <c r="R495" s="25" t="n">
        <v>79.99</v>
      </c>
      <c r="S495" s="25" t="n">
        <v>40.55</v>
      </c>
      <c r="T495" s="26" t="n">
        <v>0</v>
      </c>
      <c r="U495" s="26" t="n">
        <v>3</v>
      </c>
      <c r="V495" s="26" t="n">
        <v>5</v>
      </c>
      <c r="W495" s="26"/>
      <c r="X495" s="27" t="n">
        <f aca="false">SUM(T495:W495)</f>
        <v>8</v>
      </c>
      <c r="Y495" s="28" t="n">
        <f aca="false">COUNT(T495:W495)</f>
        <v>3</v>
      </c>
      <c r="Z495" s="29" t="n">
        <f aca="false">R495*X495</f>
        <v>639.92</v>
      </c>
      <c r="AA495" s="30" t="n">
        <v>46186</v>
      </c>
    </row>
    <row r="496" customFormat="false" ht="15" hidden="false" customHeight="true" outlineLevel="0" collapsed="false">
      <c r="A496" s="4" t="s">
        <v>1765</v>
      </c>
      <c r="B496" s="4" t="s">
        <v>1766</v>
      </c>
      <c r="C496" s="4" t="s">
        <v>582</v>
      </c>
      <c r="D496" s="4" t="s">
        <v>583</v>
      </c>
      <c r="E496" s="4" t="s">
        <v>584</v>
      </c>
      <c r="F496" s="4" t="s">
        <v>585</v>
      </c>
      <c r="G496" s="4" t="s">
        <v>586</v>
      </c>
      <c r="H496" s="4" t="s">
        <v>587</v>
      </c>
      <c r="I496" s="4" t="s">
        <v>127</v>
      </c>
      <c r="J496" s="4" t="s">
        <v>306</v>
      </c>
      <c r="K496" s="4" t="s">
        <v>113</v>
      </c>
      <c r="L496" s="4" t="s">
        <v>588</v>
      </c>
      <c r="M496" s="24" t="s">
        <v>327</v>
      </c>
      <c r="N496" s="4" t="s">
        <v>116</v>
      </c>
      <c r="O496" s="4" t="s">
        <v>380</v>
      </c>
      <c r="P496" s="4" t="s">
        <v>239</v>
      </c>
      <c r="Q496" s="25" t="n">
        <v>169.99</v>
      </c>
      <c r="R496" s="25" t="n">
        <v>101.99</v>
      </c>
      <c r="S496" s="25" t="n">
        <v>84.77</v>
      </c>
      <c r="T496" s="26"/>
      <c r="U496" s="26"/>
      <c r="V496" s="26" t="n">
        <v>6</v>
      </c>
      <c r="W496" s="26"/>
      <c r="X496" s="27" t="n">
        <f aca="false">SUM(T496:W496)</f>
        <v>6</v>
      </c>
      <c r="Y496" s="28" t="n">
        <f aca="false">COUNT(T496:W496)</f>
        <v>1</v>
      </c>
      <c r="Z496" s="29" t="n">
        <f aca="false">R496*X496</f>
        <v>611.94</v>
      </c>
      <c r="AA496" s="30" t="n">
        <v>46147</v>
      </c>
    </row>
    <row r="497" customFormat="false" ht="15" hidden="false" customHeight="true" outlineLevel="0" collapsed="false">
      <c r="A497" s="4" t="s">
        <v>1767</v>
      </c>
      <c r="B497" s="4" t="s">
        <v>1768</v>
      </c>
      <c r="C497" s="4" t="s">
        <v>144</v>
      </c>
      <c r="D497" s="4" t="s">
        <v>145</v>
      </c>
      <c r="E497" s="4" t="s">
        <v>146</v>
      </c>
      <c r="F497" s="4" t="s">
        <v>147</v>
      </c>
      <c r="G497" s="4" t="s">
        <v>148</v>
      </c>
      <c r="H497" s="4" t="s">
        <v>149</v>
      </c>
      <c r="I497" s="4" t="s">
        <v>127</v>
      </c>
      <c r="J497" s="4" t="s">
        <v>128</v>
      </c>
      <c r="K497" s="4" t="s">
        <v>150</v>
      </c>
      <c r="L497" s="4" t="s">
        <v>151</v>
      </c>
      <c r="M497" s="24" t="s">
        <v>363</v>
      </c>
      <c r="N497" s="4" t="s">
        <v>153</v>
      </c>
      <c r="O497" s="4" t="s">
        <v>131</v>
      </c>
      <c r="P497" s="4" t="s">
        <v>118</v>
      </c>
      <c r="Q497" s="25" t="n">
        <v>64.99</v>
      </c>
      <c r="R497" s="25" t="n">
        <v>64.99</v>
      </c>
      <c r="S497" s="25" t="n">
        <v>32.11</v>
      </c>
      <c r="T497" s="26"/>
      <c r="U497" s="26"/>
      <c r="V497" s="26" t="n">
        <v>4</v>
      </c>
      <c r="W497" s="26"/>
      <c r="X497" s="27" t="n">
        <f aca="false">SUM(T497:W497)</f>
        <v>4</v>
      </c>
      <c r="Y497" s="28" t="n">
        <f aca="false">COUNT(T497:W497)</f>
        <v>1</v>
      </c>
      <c r="Z497" s="29" t="n">
        <f aca="false">R497*X497</f>
        <v>259.96</v>
      </c>
      <c r="AA497" s="30" t="n">
        <v>46106</v>
      </c>
    </row>
    <row r="498" customFormat="false" ht="15" hidden="false" customHeight="true" outlineLevel="0" collapsed="false">
      <c r="A498" s="4" t="s">
        <v>1769</v>
      </c>
      <c r="B498" s="4" t="s">
        <v>1770</v>
      </c>
      <c r="C498" s="4" t="s">
        <v>636</v>
      </c>
      <c r="D498" s="4" t="s">
        <v>122</v>
      </c>
      <c r="E498" s="4" t="s">
        <v>123</v>
      </c>
      <c r="F498" s="4" t="s">
        <v>598</v>
      </c>
      <c r="G498" s="4" t="s">
        <v>637</v>
      </c>
      <c r="H498" s="4" t="s">
        <v>638</v>
      </c>
      <c r="I498" s="4" t="s">
        <v>127</v>
      </c>
      <c r="J498" s="4" t="s">
        <v>280</v>
      </c>
      <c r="K498" s="4" t="s">
        <v>113</v>
      </c>
      <c r="L498" s="4" t="s">
        <v>639</v>
      </c>
      <c r="M498" s="24" t="s">
        <v>141</v>
      </c>
      <c r="N498" s="4" t="s">
        <v>116</v>
      </c>
      <c r="O498" s="4" t="s">
        <v>117</v>
      </c>
      <c r="P498" s="4" t="s">
        <v>118</v>
      </c>
      <c r="Q498" s="25" t="n">
        <v>139.99</v>
      </c>
      <c r="R498" s="25" t="n">
        <v>139.99</v>
      </c>
      <c r="S498" s="25" t="n">
        <v>75.33</v>
      </c>
      <c r="T498" s="26"/>
      <c r="U498" s="26"/>
      <c r="V498" s="26" t="n">
        <v>3</v>
      </c>
      <c r="W498" s="26" t="n">
        <v>1</v>
      </c>
      <c r="X498" s="27" t="n">
        <f aca="false">SUM(T498:W498)</f>
        <v>4</v>
      </c>
      <c r="Y498" s="28" t="n">
        <f aca="false">COUNT(T498:W498)</f>
        <v>2</v>
      </c>
      <c r="Z498" s="29" t="n">
        <f aca="false">R498*X498</f>
        <v>559.96</v>
      </c>
      <c r="AA498" s="30" t="n">
        <v>46043</v>
      </c>
    </row>
    <row r="499" customFormat="false" ht="15" hidden="false" customHeight="true" outlineLevel="0" collapsed="false">
      <c r="A499" s="4" t="s">
        <v>1771</v>
      </c>
      <c r="B499" s="4" t="s">
        <v>1772</v>
      </c>
      <c r="C499" s="4" t="s">
        <v>846</v>
      </c>
      <c r="D499" s="4" t="s">
        <v>106</v>
      </c>
      <c r="E499" s="4" t="s">
        <v>107</v>
      </c>
      <c r="F499" s="4" t="s">
        <v>847</v>
      </c>
      <c r="G499" s="4" t="s">
        <v>848</v>
      </c>
      <c r="H499" s="4" t="s">
        <v>849</v>
      </c>
      <c r="I499" s="4" t="s">
        <v>127</v>
      </c>
      <c r="J499" s="4" t="s">
        <v>218</v>
      </c>
      <c r="K499" s="4" t="s">
        <v>113</v>
      </c>
      <c r="L499" s="4" t="s">
        <v>850</v>
      </c>
      <c r="M499" s="24" t="s">
        <v>164</v>
      </c>
      <c r="N499" s="4" t="s">
        <v>116</v>
      </c>
      <c r="O499" s="4" t="s">
        <v>165</v>
      </c>
      <c r="P499" s="4" t="s">
        <v>118</v>
      </c>
      <c r="Q499" s="25" t="n">
        <v>129.99</v>
      </c>
      <c r="R499" s="25" t="n">
        <v>129.99</v>
      </c>
      <c r="S499" s="25" t="n">
        <v>70.57</v>
      </c>
      <c r="T499" s="26" t="n">
        <v>1</v>
      </c>
      <c r="U499" s="26" t="n">
        <v>3</v>
      </c>
      <c r="V499" s="26" t="n">
        <v>3</v>
      </c>
      <c r="W499" s="26"/>
      <c r="X499" s="27" t="n">
        <f aca="false">SUM(T499:W499)</f>
        <v>7</v>
      </c>
      <c r="Y499" s="28" t="n">
        <f aca="false">COUNT(T499:W499)</f>
        <v>3</v>
      </c>
      <c r="Z499" s="29" t="n">
        <f aca="false">R499*X499</f>
        <v>909.93</v>
      </c>
      <c r="AA499" s="30" t="n">
        <v>46092</v>
      </c>
    </row>
    <row r="500" customFormat="false" ht="15" hidden="false" customHeight="true" outlineLevel="0" collapsed="false">
      <c r="A500" s="4" t="s">
        <v>1773</v>
      </c>
      <c r="B500" s="4" t="s">
        <v>1774</v>
      </c>
      <c r="C500" s="4" t="s">
        <v>1584</v>
      </c>
      <c r="D500" s="4" t="s">
        <v>484</v>
      </c>
      <c r="E500" s="4" t="s">
        <v>485</v>
      </c>
      <c r="F500" s="4" t="s">
        <v>1585</v>
      </c>
      <c r="G500" s="4" t="s">
        <v>1586</v>
      </c>
      <c r="H500" s="4" t="s">
        <v>1587</v>
      </c>
      <c r="I500" s="4" t="s">
        <v>161</v>
      </c>
      <c r="J500" s="4" t="s">
        <v>246</v>
      </c>
      <c r="K500" s="4" t="s">
        <v>209</v>
      </c>
      <c r="L500" s="4" t="s">
        <v>1588</v>
      </c>
      <c r="M500" s="24" t="s">
        <v>338</v>
      </c>
      <c r="N500" s="4" t="s">
        <v>153</v>
      </c>
      <c r="O500" s="4" t="s">
        <v>117</v>
      </c>
      <c r="P500" s="4" t="s">
        <v>118</v>
      </c>
      <c r="Q500" s="25" t="n">
        <v>109.99</v>
      </c>
      <c r="R500" s="25" t="n">
        <v>109.99</v>
      </c>
      <c r="S500" s="25" t="n">
        <v>57.68</v>
      </c>
      <c r="T500" s="26" t="n">
        <v>2</v>
      </c>
      <c r="U500" s="26" t="n">
        <v>4</v>
      </c>
      <c r="V500" s="26" t="n">
        <v>2</v>
      </c>
      <c r="W500" s="26" t="n">
        <v>3</v>
      </c>
      <c r="X500" s="27" t="n">
        <f aca="false">SUM(T500:W500)</f>
        <v>11</v>
      </c>
      <c r="Y500" s="28" t="n">
        <f aca="false">COUNT(T500:W500)</f>
        <v>4</v>
      </c>
      <c r="Z500" s="29" t="n">
        <f aca="false">R500*X500</f>
        <v>1209.89</v>
      </c>
      <c r="AA500" s="30" t="n">
        <v>46026</v>
      </c>
    </row>
    <row r="501" customFormat="false" ht="15" hidden="false" customHeight="true" outlineLevel="0" collapsed="false">
      <c r="A501" s="4" t="s">
        <v>1775</v>
      </c>
      <c r="B501" s="4" t="s">
        <v>1776</v>
      </c>
      <c r="C501" s="4" t="s">
        <v>701</v>
      </c>
      <c r="D501" s="4" t="s">
        <v>475</v>
      </c>
      <c r="E501" s="4" t="s">
        <v>476</v>
      </c>
      <c r="F501" s="4" t="s">
        <v>702</v>
      </c>
      <c r="G501" s="4" t="s">
        <v>703</v>
      </c>
      <c r="H501" s="4" t="s">
        <v>704</v>
      </c>
      <c r="I501" s="4" t="s">
        <v>161</v>
      </c>
      <c r="J501" s="4" t="s">
        <v>186</v>
      </c>
      <c r="K501" s="4" t="s">
        <v>209</v>
      </c>
      <c r="L501" s="4" t="s">
        <v>705</v>
      </c>
      <c r="M501" s="24" t="s">
        <v>338</v>
      </c>
      <c r="N501" s="4" t="s">
        <v>153</v>
      </c>
      <c r="O501" s="4" t="s">
        <v>131</v>
      </c>
      <c r="P501" s="4" t="s">
        <v>118</v>
      </c>
      <c r="Q501" s="25" t="n">
        <v>64.99</v>
      </c>
      <c r="R501" s="25" t="n">
        <v>64.99</v>
      </c>
      <c r="S501" s="25" t="n">
        <v>34.43</v>
      </c>
      <c r="T501" s="26"/>
      <c r="U501" s="26"/>
      <c r="V501" s="26" t="n">
        <v>5</v>
      </c>
      <c r="W501" s="26"/>
      <c r="X501" s="27" t="n">
        <f aca="false">SUM(T501:W501)</f>
        <v>5</v>
      </c>
      <c r="Y501" s="28" t="n">
        <f aca="false">COUNT(T501:W501)</f>
        <v>1</v>
      </c>
      <c r="Z501" s="29" t="n">
        <f aca="false">R501*X501</f>
        <v>324.95</v>
      </c>
      <c r="AA501" s="30" t="n">
        <v>46227</v>
      </c>
    </row>
    <row r="502" customFormat="false" ht="15" hidden="false" customHeight="true" outlineLevel="0" collapsed="false">
      <c r="A502" s="4" t="s">
        <v>1777</v>
      </c>
      <c r="B502" s="4" t="s">
        <v>1778</v>
      </c>
      <c r="C502" s="4" t="s">
        <v>1045</v>
      </c>
      <c r="D502" s="4" t="s">
        <v>122</v>
      </c>
      <c r="E502" s="4" t="s">
        <v>123</v>
      </c>
      <c r="F502" s="4" t="s">
        <v>1046</v>
      </c>
      <c r="G502" s="4" t="s">
        <v>1047</v>
      </c>
      <c r="H502" s="4" t="s">
        <v>1048</v>
      </c>
      <c r="I502" s="4" t="s">
        <v>161</v>
      </c>
      <c r="J502" s="4" t="s">
        <v>246</v>
      </c>
      <c r="K502" s="4" t="s">
        <v>113</v>
      </c>
      <c r="L502" s="4" t="s">
        <v>1049</v>
      </c>
      <c r="M502" s="24" t="s">
        <v>164</v>
      </c>
      <c r="N502" s="4" t="s">
        <v>116</v>
      </c>
      <c r="O502" s="4" t="s">
        <v>238</v>
      </c>
      <c r="P502" s="4" t="s">
        <v>239</v>
      </c>
      <c r="Q502" s="25" t="n">
        <v>139.99</v>
      </c>
      <c r="R502" s="25" t="n">
        <v>90.99</v>
      </c>
      <c r="S502" s="25" t="n">
        <v>70.14</v>
      </c>
      <c r="T502" s="26" t="n">
        <v>3</v>
      </c>
      <c r="U502" s="26" t="n">
        <v>2</v>
      </c>
      <c r="V502" s="26"/>
      <c r="W502" s="26"/>
      <c r="X502" s="27" t="n">
        <f aca="false">SUM(T502:W502)</f>
        <v>5</v>
      </c>
      <c r="Y502" s="28" t="n">
        <f aca="false">COUNT(T502:W502)</f>
        <v>2</v>
      </c>
      <c r="Z502" s="29" t="n">
        <f aca="false">R502*X502</f>
        <v>454.95</v>
      </c>
      <c r="AA502" s="30" t="n">
        <v>46078</v>
      </c>
    </row>
    <row r="503" customFormat="false" ht="15" hidden="false" customHeight="true" outlineLevel="0" collapsed="false">
      <c r="A503" s="4" t="s">
        <v>1779</v>
      </c>
      <c r="B503" s="4" t="s">
        <v>1780</v>
      </c>
      <c r="C503" s="4" t="s">
        <v>412</v>
      </c>
      <c r="D503" s="4" t="s">
        <v>135</v>
      </c>
      <c r="E503" s="4" t="s">
        <v>136</v>
      </c>
      <c r="F503" s="4" t="s">
        <v>413</v>
      </c>
      <c r="G503" s="4" t="s">
        <v>414</v>
      </c>
      <c r="H503" s="4" t="s">
        <v>415</v>
      </c>
      <c r="I503" s="4" t="s">
        <v>161</v>
      </c>
      <c r="J503" s="4" t="s">
        <v>246</v>
      </c>
      <c r="K503" s="4" t="s">
        <v>113</v>
      </c>
      <c r="L503" s="4" t="s">
        <v>416</v>
      </c>
      <c r="M503" s="24" t="s">
        <v>164</v>
      </c>
      <c r="N503" s="4" t="s">
        <v>116</v>
      </c>
      <c r="O503" s="4" t="s">
        <v>238</v>
      </c>
      <c r="P503" s="4" t="s">
        <v>239</v>
      </c>
      <c r="Q503" s="25" t="n">
        <v>89.99</v>
      </c>
      <c r="R503" s="25" t="n">
        <v>53.99</v>
      </c>
      <c r="S503" s="25" t="n">
        <v>46.24</v>
      </c>
      <c r="T503" s="26" t="n">
        <v>4</v>
      </c>
      <c r="U503" s="26" t="n">
        <v>1</v>
      </c>
      <c r="V503" s="26" t="n">
        <v>4</v>
      </c>
      <c r="W503" s="26" t="n">
        <v>0</v>
      </c>
      <c r="X503" s="27" t="n">
        <f aca="false">SUM(T503:W503)</f>
        <v>9</v>
      </c>
      <c r="Y503" s="28" t="n">
        <f aca="false">COUNT(T503:W503)</f>
        <v>4</v>
      </c>
      <c r="Z503" s="29" t="n">
        <f aca="false">R503*X503</f>
        <v>485.91</v>
      </c>
      <c r="AA503" s="30" t="n">
        <v>46138</v>
      </c>
    </row>
    <row r="504" customFormat="false" ht="15" hidden="false" customHeight="true" outlineLevel="0" collapsed="false">
      <c r="A504" s="4" t="s">
        <v>1781</v>
      </c>
      <c r="B504" s="4" t="s">
        <v>1782</v>
      </c>
      <c r="C504" s="4" t="s">
        <v>846</v>
      </c>
      <c r="D504" s="4" t="s">
        <v>106</v>
      </c>
      <c r="E504" s="4" t="s">
        <v>107</v>
      </c>
      <c r="F504" s="4" t="s">
        <v>847</v>
      </c>
      <c r="G504" s="4" t="s">
        <v>848</v>
      </c>
      <c r="H504" s="4" t="s">
        <v>849</v>
      </c>
      <c r="I504" s="4" t="s">
        <v>127</v>
      </c>
      <c r="J504" s="4" t="s">
        <v>218</v>
      </c>
      <c r="K504" s="4" t="s">
        <v>113</v>
      </c>
      <c r="L504" s="4" t="s">
        <v>850</v>
      </c>
      <c r="M504" s="24" t="s">
        <v>188</v>
      </c>
      <c r="N504" s="4" t="s">
        <v>116</v>
      </c>
      <c r="O504" s="4" t="s">
        <v>165</v>
      </c>
      <c r="P504" s="4" t="s">
        <v>118</v>
      </c>
      <c r="Q504" s="25" t="n">
        <v>129.99</v>
      </c>
      <c r="R504" s="25" t="n">
        <v>129.99</v>
      </c>
      <c r="S504" s="25" t="n">
        <v>70.57</v>
      </c>
      <c r="T504" s="26" t="n">
        <v>5</v>
      </c>
      <c r="U504" s="26" t="n">
        <v>4</v>
      </c>
      <c r="V504" s="26" t="n">
        <v>3</v>
      </c>
      <c r="W504" s="26"/>
      <c r="X504" s="27" t="n">
        <f aca="false">SUM(T504:W504)</f>
        <v>12</v>
      </c>
      <c r="Y504" s="28" t="n">
        <f aca="false">COUNT(T504:W504)</f>
        <v>3</v>
      </c>
      <c r="Z504" s="29" t="n">
        <f aca="false">R504*X504</f>
        <v>1559.88</v>
      </c>
      <c r="AA504" s="30" t="n">
        <v>46172</v>
      </c>
    </row>
    <row r="505" customFormat="false" ht="15" hidden="false" customHeight="true" outlineLevel="0" collapsed="false">
      <c r="A505" s="4" t="s">
        <v>1783</v>
      </c>
      <c r="B505" s="4" t="s">
        <v>1784</v>
      </c>
      <c r="C505" s="4" t="s">
        <v>525</v>
      </c>
      <c r="D505" s="4" t="s">
        <v>122</v>
      </c>
      <c r="E505" s="4" t="s">
        <v>123</v>
      </c>
      <c r="F505" s="4" t="s">
        <v>526</v>
      </c>
      <c r="G505" s="4" t="s">
        <v>527</v>
      </c>
      <c r="H505" s="4" t="s">
        <v>528</v>
      </c>
      <c r="I505" s="4" t="s">
        <v>111</v>
      </c>
      <c r="J505" s="4" t="s">
        <v>112</v>
      </c>
      <c r="K505" s="4" t="s">
        <v>113</v>
      </c>
      <c r="L505" s="4" t="s">
        <v>348</v>
      </c>
      <c r="M505" s="24" t="s">
        <v>177</v>
      </c>
      <c r="N505" s="4" t="s">
        <v>116</v>
      </c>
      <c r="O505" s="4" t="s">
        <v>238</v>
      </c>
      <c r="P505" s="4" t="s">
        <v>239</v>
      </c>
      <c r="Q505" s="25" t="n">
        <v>34.99</v>
      </c>
      <c r="R505" s="25" t="n">
        <v>23.99</v>
      </c>
      <c r="S505" s="25" t="n">
        <v>19</v>
      </c>
      <c r="T505" s="26" t="n">
        <v>3</v>
      </c>
      <c r="U505" s="26" t="n">
        <v>2</v>
      </c>
      <c r="V505" s="26" t="n">
        <v>0</v>
      </c>
      <c r="W505" s="26" t="n">
        <v>1</v>
      </c>
      <c r="X505" s="27" t="n">
        <f aca="false">SUM(T505:W505)</f>
        <v>6</v>
      </c>
      <c r="Y505" s="28" t="n">
        <f aca="false">COUNT(T505:W505)</f>
        <v>4</v>
      </c>
      <c r="Z505" s="29" t="n">
        <f aca="false">R505*X505</f>
        <v>143.94</v>
      </c>
      <c r="AA505" s="30" t="n">
        <v>46114</v>
      </c>
    </row>
    <row r="506" customFormat="false" ht="15" hidden="false" customHeight="true" outlineLevel="0" collapsed="false">
      <c r="A506" s="4" t="s">
        <v>1785</v>
      </c>
      <c r="B506" s="4" t="s">
        <v>1786</v>
      </c>
      <c r="C506" s="4" t="s">
        <v>690</v>
      </c>
      <c r="D506" s="4" t="s">
        <v>122</v>
      </c>
      <c r="E506" s="4" t="s">
        <v>285</v>
      </c>
      <c r="F506" s="4" t="s">
        <v>691</v>
      </c>
      <c r="G506" s="4" t="s">
        <v>692</v>
      </c>
      <c r="H506" s="4" t="s">
        <v>693</v>
      </c>
      <c r="I506" s="4" t="s">
        <v>226</v>
      </c>
      <c r="J506" s="4" t="s">
        <v>265</v>
      </c>
      <c r="K506" s="4" t="s">
        <v>113</v>
      </c>
      <c r="L506" s="4" t="s">
        <v>694</v>
      </c>
      <c r="M506" s="24" t="s">
        <v>258</v>
      </c>
      <c r="N506" s="4" t="s">
        <v>116</v>
      </c>
      <c r="O506" s="4" t="s">
        <v>165</v>
      </c>
      <c r="P506" s="4" t="s">
        <v>118</v>
      </c>
      <c r="Q506" s="25" t="n">
        <v>119.99</v>
      </c>
      <c r="R506" s="25" t="n">
        <v>119.99</v>
      </c>
      <c r="S506" s="25" t="n">
        <v>62.47</v>
      </c>
      <c r="T506" s="26"/>
      <c r="U506" s="26"/>
      <c r="V506" s="26" t="n">
        <v>5</v>
      </c>
      <c r="W506" s="26"/>
      <c r="X506" s="27" t="n">
        <f aca="false">SUM(T506:W506)</f>
        <v>5</v>
      </c>
      <c r="Y506" s="28" t="n">
        <f aca="false">COUNT(T506:W506)</f>
        <v>1</v>
      </c>
      <c r="Z506" s="29" t="n">
        <f aca="false">R506*X506</f>
        <v>599.95</v>
      </c>
      <c r="AA506" s="30" t="n">
        <v>46226</v>
      </c>
    </row>
    <row r="507" customFormat="false" ht="15" hidden="false" customHeight="true" outlineLevel="0" collapsed="false">
      <c r="A507" s="4" t="s">
        <v>1787</v>
      </c>
      <c r="B507" s="4" t="s">
        <v>1788</v>
      </c>
      <c r="C507" s="4" t="s">
        <v>1235</v>
      </c>
      <c r="D507" s="4" t="s">
        <v>122</v>
      </c>
      <c r="E507" s="4" t="s">
        <v>123</v>
      </c>
      <c r="F507" s="4" t="s">
        <v>1236</v>
      </c>
      <c r="G507" s="4" t="s">
        <v>1237</v>
      </c>
      <c r="H507" s="4" t="s">
        <v>1238</v>
      </c>
      <c r="I507" s="4" t="s">
        <v>161</v>
      </c>
      <c r="J507" s="4" t="s">
        <v>235</v>
      </c>
      <c r="K507" s="4" t="s">
        <v>113</v>
      </c>
      <c r="L507" s="4" t="s">
        <v>273</v>
      </c>
      <c r="M507" s="24" t="s">
        <v>327</v>
      </c>
      <c r="N507" s="4" t="s">
        <v>116</v>
      </c>
      <c r="O507" s="4" t="s">
        <v>165</v>
      </c>
      <c r="P507" s="4" t="s">
        <v>118</v>
      </c>
      <c r="Q507" s="25" t="n">
        <v>124.99</v>
      </c>
      <c r="R507" s="25" t="n">
        <v>124.99</v>
      </c>
      <c r="S507" s="25" t="n">
        <v>64.34</v>
      </c>
      <c r="T507" s="26" t="n">
        <v>4</v>
      </c>
      <c r="U507" s="26" t="n">
        <v>3</v>
      </c>
      <c r="V507" s="26" t="n">
        <v>3</v>
      </c>
      <c r="W507" s="26" t="n">
        <v>1</v>
      </c>
      <c r="X507" s="27" t="n">
        <f aca="false">SUM(T507:W507)</f>
        <v>11</v>
      </c>
      <c r="Y507" s="28" t="n">
        <f aca="false">COUNT(T507:W507)</f>
        <v>4</v>
      </c>
      <c r="Z507" s="29" t="n">
        <f aca="false">R507*X507</f>
        <v>1374.89</v>
      </c>
      <c r="AA507" s="30" t="n">
        <v>46098</v>
      </c>
    </row>
    <row r="508" customFormat="false" ht="15" hidden="false" customHeight="true" outlineLevel="0" collapsed="false">
      <c r="A508" s="4" t="s">
        <v>1789</v>
      </c>
      <c r="B508" s="4" t="s">
        <v>1790</v>
      </c>
      <c r="C508" s="4" t="s">
        <v>511</v>
      </c>
      <c r="D508" s="4" t="s">
        <v>193</v>
      </c>
      <c r="E508" s="4" t="s">
        <v>194</v>
      </c>
      <c r="F508" s="4" t="s">
        <v>195</v>
      </c>
      <c r="G508" s="4" t="s">
        <v>512</v>
      </c>
      <c r="H508" s="4" t="s">
        <v>513</v>
      </c>
      <c r="I508" s="4" t="s">
        <v>111</v>
      </c>
      <c r="J508" s="4" t="s">
        <v>198</v>
      </c>
      <c r="K508" s="4" t="s">
        <v>209</v>
      </c>
      <c r="L508" s="4" t="s">
        <v>441</v>
      </c>
      <c r="M508" s="24" t="s">
        <v>258</v>
      </c>
      <c r="N508" s="4" t="s">
        <v>153</v>
      </c>
      <c r="O508" s="4" t="s">
        <v>165</v>
      </c>
      <c r="P508" s="4" t="s">
        <v>118</v>
      </c>
      <c r="Q508" s="25" t="n">
        <v>54.99</v>
      </c>
      <c r="R508" s="25" t="n">
        <v>54.99</v>
      </c>
      <c r="S508" s="25" t="n">
        <v>29.66</v>
      </c>
      <c r="T508" s="26" t="n">
        <v>8</v>
      </c>
      <c r="U508" s="26" t="n">
        <v>0</v>
      </c>
      <c r="V508" s="26" t="n">
        <v>1</v>
      </c>
      <c r="W508" s="26" t="n">
        <v>1</v>
      </c>
      <c r="X508" s="27" t="n">
        <f aca="false">SUM(T508:W508)</f>
        <v>10</v>
      </c>
      <c r="Y508" s="28" t="n">
        <f aca="false">COUNT(T508:W508)</f>
        <v>4</v>
      </c>
      <c r="Z508" s="29" t="n">
        <f aca="false">R508*X508</f>
        <v>549.9</v>
      </c>
      <c r="AA508" s="30" t="n">
        <v>46067</v>
      </c>
    </row>
    <row r="509" customFormat="false" ht="15" hidden="false" customHeight="true" outlineLevel="0" collapsed="false">
      <c r="A509" s="4" t="s">
        <v>1791</v>
      </c>
      <c r="B509" s="4" t="s">
        <v>1792</v>
      </c>
      <c r="C509" s="4" t="s">
        <v>853</v>
      </c>
      <c r="D509" s="4" t="s">
        <v>122</v>
      </c>
      <c r="E509" s="4" t="s">
        <v>123</v>
      </c>
      <c r="F509" s="4" t="s">
        <v>854</v>
      </c>
      <c r="G509" s="4" t="s">
        <v>855</v>
      </c>
      <c r="H509" s="4" t="s">
        <v>856</v>
      </c>
      <c r="I509" s="4" t="s">
        <v>161</v>
      </c>
      <c r="J509" s="4" t="s">
        <v>246</v>
      </c>
      <c r="K509" s="4" t="s">
        <v>187</v>
      </c>
      <c r="L509" s="4" t="s">
        <v>348</v>
      </c>
      <c r="M509" s="24" t="s">
        <v>291</v>
      </c>
      <c r="N509" s="4" t="s">
        <v>189</v>
      </c>
      <c r="O509" s="4" t="s">
        <v>131</v>
      </c>
      <c r="P509" s="4" t="s">
        <v>118</v>
      </c>
      <c r="Q509" s="25" t="n">
        <v>169.99</v>
      </c>
      <c r="R509" s="25" t="n">
        <v>169.99</v>
      </c>
      <c r="S509" s="25" t="n">
        <v>85.29</v>
      </c>
      <c r="T509" s="26" t="n">
        <v>4</v>
      </c>
      <c r="U509" s="26" t="n">
        <v>1</v>
      </c>
      <c r="V509" s="26" t="n">
        <v>5</v>
      </c>
      <c r="W509" s="26"/>
      <c r="X509" s="27" t="n">
        <f aca="false">SUM(T509:W509)</f>
        <v>10</v>
      </c>
      <c r="Y509" s="28" t="n">
        <f aca="false">COUNT(T509:W509)</f>
        <v>3</v>
      </c>
      <c r="Z509" s="29" t="n">
        <f aca="false">R509*X509</f>
        <v>1699.9</v>
      </c>
      <c r="AA509" s="30" t="n">
        <v>46122</v>
      </c>
    </row>
    <row r="510" customFormat="false" ht="15" hidden="false" customHeight="true" outlineLevel="0" collapsed="false">
      <c r="A510" s="4" t="s">
        <v>1793</v>
      </c>
      <c r="B510" s="4" t="s">
        <v>1794</v>
      </c>
      <c r="C510" s="4" t="s">
        <v>758</v>
      </c>
      <c r="D510" s="4" t="s">
        <v>251</v>
      </c>
      <c r="E510" s="4" t="s">
        <v>252</v>
      </c>
      <c r="F510" s="4" t="s">
        <v>759</v>
      </c>
      <c r="G510" s="4" t="s">
        <v>760</v>
      </c>
      <c r="H510" s="4" t="s">
        <v>761</v>
      </c>
      <c r="I510" s="4" t="s">
        <v>161</v>
      </c>
      <c r="J510" s="4" t="s">
        <v>762</v>
      </c>
      <c r="K510" s="4" t="s">
        <v>187</v>
      </c>
      <c r="L510" s="4" t="s">
        <v>348</v>
      </c>
      <c r="M510" s="24" t="s">
        <v>308</v>
      </c>
      <c r="N510" s="4" t="s">
        <v>189</v>
      </c>
      <c r="O510" s="4" t="s">
        <v>131</v>
      </c>
      <c r="P510" s="4" t="s">
        <v>118</v>
      </c>
      <c r="Q510" s="25" t="n">
        <v>99.99</v>
      </c>
      <c r="R510" s="25" t="n">
        <v>99.99</v>
      </c>
      <c r="S510" s="25" t="n">
        <v>53.97</v>
      </c>
      <c r="T510" s="26" t="n">
        <v>3</v>
      </c>
      <c r="U510" s="26"/>
      <c r="V510" s="26" t="n">
        <v>0</v>
      </c>
      <c r="W510" s="26"/>
      <c r="X510" s="27" t="n">
        <f aca="false">SUM(T510:W510)</f>
        <v>3</v>
      </c>
      <c r="Y510" s="28" t="n">
        <f aca="false">COUNT(T510:W510)</f>
        <v>2</v>
      </c>
      <c r="Z510" s="29" t="n">
        <f aca="false">R510*X510</f>
        <v>299.97</v>
      </c>
      <c r="AA510" s="30" t="n">
        <v>46083</v>
      </c>
    </row>
    <row r="511" customFormat="false" ht="15" hidden="false" customHeight="true" outlineLevel="0" collapsed="false">
      <c r="A511" s="4" t="s">
        <v>1795</v>
      </c>
      <c r="B511" s="4" t="s">
        <v>1796</v>
      </c>
      <c r="C511" s="4" t="s">
        <v>435</v>
      </c>
      <c r="D511" s="4" t="s">
        <v>436</v>
      </c>
      <c r="E511" s="4" t="s">
        <v>437</v>
      </c>
      <c r="F511" s="4" t="s">
        <v>438</v>
      </c>
      <c r="G511" s="4" t="s">
        <v>439</v>
      </c>
      <c r="H511" s="4" t="s">
        <v>440</v>
      </c>
      <c r="I511" s="4" t="s">
        <v>111</v>
      </c>
      <c r="J511" s="4" t="s">
        <v>111</v>
      </c>
      <c r="K511" s="4" t="s">
        <v>209</v>
      </c>
      <c r="L511" s="4" t="s">
        <v>441</v>
      </c>
      <c r="M511" s="24" t="s">
        <v>164</v>
      </c>
      <c r="N511" s="4" t="s">
        <v>153</v>
      </c>
      <c r="O511" s="4" t="s">
        <v>238</v>
      </c>
      <c r="P511" s="4" t="s">
        <v>118</v>
      </c>
      <c r="Q511" s="25" t="n">
        <v>54.99</v>
      </c>
      <c r="R511" s="25" t="n">
        <v>54.99</v>
      </c>
      <c r="S511" s="25" t="n">
        <v>26.61</v>
      </c>
      <c r="T511" s="26" t="n">
        <v>3</v>
      </c>
      <c r="U511" s="26"/>
      <c r="V511" s="26" t="n">
        <v>5</v>
      </c>
      <c r="W511" s="26"/>
      <c r="X511" s="27" t="n">
        <f aca="false">SUM(T511:W511)</f>
        <v>8</v>
      </c>
      <c r="Y511" s="28" t="n">
        <f aca="false">COUNT(T511:W511)</f>
        <v>2</v>
      </c>
      <c r="Z511" s="29" t="n">
        <f aca="false">R511*X511</f>
        <v>439.92</v>
      </c>
      <c r="AA511" s="30" t="n">
        <v>46199</v>
      </c>
    </row>
    <row r="512" customFormat="false" ht="15" hidden="false" customHeight="true" outlineLevel="0" collapsed="false">
      <c r="A512" s="4" t="s">
        <v>1797</v>
      </c>
      <c r="B512" s="4" t="s">
        <v>1798</v>
      </c>
      <c r="C512" s="4" t="s">
        <v>483</v>
      </c>
      <c r="D512" s="4" t="s">
        <v>484</v>
      </c>
      <c r="E512" s="4" t="s">
        <v>485</v>
      </c>
      <c r="F512" s="4" t="s">
        <v>486</v>
      </c>
      <c r="G512" s="4" t="s">
        <v>487</v>
      </c>
      <c r="H512" s="4" t="s">
        <v>488</v>
      </c>
      <c r="I512" s="4" t="s">
        <v>127</v>
      </c>
      <c r="J512" s="4" t="s">
        <v>280</v>
      </c>
      <c r="K512" s="4" t="s">
        <v>113</v>
      </c>
      <c r="L512" s="4" t="s">
        <v>489</v>
      </c>
      <c r="M512" s="24" t="s">
        <v>164</v>
      </c>
      <c r="N512" s="4" t="s">
        <v>116</v>
      </c>
      <c r="O512" s="4" t="s">
        <v>131</v>
      </c>
      <c r="P512" s="4" t="s">
        <v>239</v>
      </c>
      <c r="Q512" s="25" t="n">
        <v>144.99</v>
      </c>
      <c r="R512" s="25" t="n">
        <v>93.99</v>
      </c>
      <c r="S512" s="25" t="n">
        <v>77.83</v>
      </c>
      <c r="T512" s="26" t="n">
        <v>0</v>
      </c>
      <c r="U512" s="26" t="n">
        <v>1</v>
      </c>
      <c r="V512" s="26" t="n">
        <v>8</v>
      </c>
      <c r="W512" s="26" t="n">
        <v>0</v>
      </c>
      <c r="X512" s="27" t="n">
        <f aca="false">SUM(T512:W512)</f>
        <v>9</v>
      </c>
      <c r="Y512" s="28" t="n">
        <f aca="false">COUNT(T512:W512)</f>
        <v>4</v>
      </c>
      <c r="Z512" s="29" t="n">
        <f aca="false">R512*X512</f>
        <v>845.91</v>
      </c>
      <c r="AA512" s="30" t="n">
        <v>46037</v>
      </c>
    </row>
    <row r="513" customFormat="false" ht="15" hidden="false" customHeight="true" outlineLevel="0" collapsed="false">
      <c r="A513" s="4" t="s">
        <v>1799</v>
      </c>
      <c r="B513" s="4" t="s">
        <v>1800</v>
      </c>
      <c r="C513" s="4" t="s">
        <v>390</v>
      </c>
      <c r="D513" s="4" t="s">
        <v>135</v>
      </c>
      <c r="E513" s="4" t="s">
        <v>136</v>
      </c>
      <c r="F513" s="4" t="s">
        <v>391</v>
      </c>
      <c r="G513" s="4" t="s">
        <v>392</v>
      </c>
      <c r="H513" s="4" t="s">
        <v>393</v>
      </c>
      <c r="I513" s="4" t="s">
        <v>161</v>
      </c>
      <c r="J513" s="4" t="s">
        <v>235</v>
      </c>
      <c r="K513" s="4" t="s">
        <v>150</v>
      </c>
      <c r="L513" s="4" t="s">
        <v>273</v>
      </c>
      <c r="M513" s="24" t="s">
        <v>363</v>
      </c>
      <c r="N513" s="4" t="s">
        <v>153</v>
      </c>
      <c r="O513" s="4" t="s">
        <v>165</v>
      </c>
      <c r="P513" s="4" t="s">
        <v>118</v>
      </c>
      <c r="Q513" s="25" t="n">
        <v>69.99</v>
      </c>
      <c r="R513" s="25" t="n">
        <v>69.99</v>
      </c>
      <c r="S513" s="25" t="n">
        <v>39.11</v>
      </c>
      <c r="T513" s="26" t="n">
        <v>0</v>
      </c>
      <c r="U513" s="26"/>
      <c r="V513" s="26" t="n">
        <v>3</v>
      </c>
      <c r="W513" s="26"/>
      <c r="X513" s="27" t="n">
        <f aca="false">SUM(T513:W513)</f>
        <v>3</v>
      </c>
      <c r="Y513" s="28" t="n">
        <f aca="false">COUNT(T513:W513)</f>
        <v>2</v>
      </c>
      <c r="Z513" s="29" t="n">
        <f aca="false">R513*X513</f>
        <v>209.97</v>
      </c>
      <c r="AA513" s="30" t="n">
        <v>46172</v>
      </c>
    </row>
    <row r="514" customFormat="false" ht="15" hidden="false" customHeight="true" outlineLevel="0" collapsed="false">
      <c r="A514" s="4" t="s">
        <v>1801</v>
      </c>
      <c r="B514" s="4" t="s">
        <v>1802</v>
      </c>
      <c r="C514" s="4" t="s">
        <v>366</v>
      </c>
      <c r="D514" s="4" t="s">
        <v>251</v>
      </c>
      <c r="E514" s="4" t="s">
        <v>252</v>
      </c>
      <c r="F514" s="4" t="s">
        <v>367</v>
      </c>
      <c r="G514" s="4" t="s">
        <v>368</v>
      </c>
      <c r="H514" s="4" t="s">
        <v>369</v>
      </c>
      <c r="I514" s="4" t="s">
        <v>161</v>
      </c>
      <c r="J514" s="4" t="s">
        <v>162</v>
      </c>
      <c r="K514" s="4" t="s">
        <v>187</v>
      </c>
      <c r="L514" s="4" t="s">
        <v>370</v>
      </c>
      <c r="M514" s="24" t="s">
        <v>308</v>
      </c>
      <c r="N514" s="4" t="s">
        <v>189</v>
      </c>
      <c r="O514" s="4" t="s">
        <v>117</v>
      </c>
      <c r="P514" s="4" t="s">
        <v>118</v>
      </c>
      <c r="Q514" s="25" t="n">
        <v>89.99</v>
      </c>
      <c r="R514" s="25" t="n">
        <v>89.99</v>
      </c>
      <c r="S514" s="25" t="n">
        <v>45.15</v>
      </c>
      <c r="T514" s="26" t="n">
        <v>2</v>
      </c>
      <c r="U514" s="26"/>
      <c r="V514" s="26" t="n">
        <v>4</v>
      </c>
      <c r="W514" s="26" t="n">
        <v>2</v>
      </c>
      <c r="X514" s="27" t="n">
        <f aca="false">SUM(T514:W514)</f>
        <v>8</v>
      </c>
      <c r="Y514" s="28" t="n">
        <f aca="false">COUNT(T514:W514)</f>
        <v>3</v>
      </c>
      <c r="Z514" s="29" t="n">
        <f aca="false">R514*X514</f>
        <v>719.92</v>
      </c>
      <c r="AA514" s="30" t="n">
        <v>46091</v>
      </c>
    </row>
    <row r="515" customFormat="false" ht="15" hidden="false" customHeight="true" outlineLevel="0" collapsed="false">
      <c r="A515" s="4" t="s">
        <v>1803</v>
      </c>
      <c r="B515" s="4" t="s">
        <v>1804</v>
      </c>
      <c r="C515" s="4" t="s">
        <v>993</v>
      </c>
      <c r="D515" s="4" t="s">
        <v>583</v>
      </c>
      <c r="E515" s="4" t="s">
        <v>584</v>
      </c>
      <c r="F515" s="4" t="s">
        <v>994</v>
      </c>
      <c r="G515" s="4" t="s">
        <v>995</v>
      </c>
      <c r="H515" s="4" t="s">
        <v>996</v>
      </c>
      <c r="I515" s="4" t="s">
        <v>127</v>
      </c>
      <c r="J515" s="4" t="s">
        <v>347</v>
      </c>
      <c r="K515" s="4" t="s">
        <v>187</v>
      </c>
      <c r="L515" s="4" t="s">
        <v>997</v>
      </c>
      <c r="M515" s="24" t="s">
        <v>211</v>
      </c>
      <c r="N515" s="4" t="s">
        <v>189</v>
      </c>
      <c r="O515" s="4" t="s">
        <v>131</v>
      </c>
      <c r="P515" s="4" t="s">
        <v>118</v>
      </c>
      <c r="Q515" s="25" t="n">
        <v>179.99</v>
      </c>
      <c r="R515" s="25" t="n">
        <v>179.99</v>
      </c>
      <c r="S515" s="25" t="n">
        <v>97.26</v>
      </c>
      <c r="T515" s="26" t="n">
        <v>0</v>
      </c>
      <c r="U515" s="26" t="n">
        <v>3</v>
      </c>
      <c r="V515" s="26" t="n">
        <v>4</v>
      </c>
      <c r="W515" s="26"/>
      <c r="X515" s="27" t="n">
        <f aca="false">SUM(T515:W515)</f>
        <v>7</v>
      </c>
      <c r="Y515" s="28" t="n">
        <f aca="false">COUNT(T515:W515)</f>
        <v>3</v>
      </c>
      <c r="Z515" s="29" t="n">
        <f aca="false">R515*X515</f>
        <v>1259.93</v>
      </c>
      <c r="AA515" s="30" t="n">
        <v>46135</v>
      </c>
    </row>
    <row r="516" customFormat="false" ht="15" hidden="false" customHeight="true" outlineLevel="0" collapsed="false">
      <c r="A516" s="4" t="s">
        <v>1805</v>
      </c>
      <c r="B516" s="4" t="s">
        <v>1806</v>
      </c>
      <c r="C516" s="4" t="s">
        <v>786</v>
      </c>
      <c r="D516" s="4" t="s">
        <v>145</v>
      </c>
      <c r="E516" s="4" t="s">
        <v>146</v>
      </c>
      <c r="F516" s="4" t="s">
        <v>787</v>
      </c>
      <c r="G516" s="4" t="s">
        <v>788</v>
      </c>
      <c r="H516" s="4" t="s">
        <v>789</v>
      </c>
      <c r="I516" s="4" t="s">
        <v>226</v>
      </c>
      <c r="J516" s="4" t="s">
        <v>790</v>
      </c>
      <c r="K516" s="4" t="s">
        <v>150</v>
      </c>
      <c r="L516" s="4" t="s">
        <v>348</v>
      </c>
      <c r="M516" s="24" t="s">
        <v>152</v>
      </c>
      <c r="N516" s="4" t="s">
        <v>153</v>
      </c>
      <c r="O516" s="4" t="s">
        <v>238</v>
      </c>
      <c r="P516" s="4" t="s">
        <v>118</v>
      </c>
      <c r="Q516" s="25" t="n">
        <v>74.99</v>
      </c>
      <c r="R516" s="25" t="n">
        <v>74.99</v>
      </c>
      <c r="S516" s="25" t="n">
        <v>40.94</v>
      </c>
      <c r="T516" s="26" t="n">
        <v>2</v>
      </c>
      <c r="U516" s="26" t="n">
        <v>4</v>
      </c>
      <c r="V516" s="26" t="n">
        <v>4</v>
      </c>
      <c r="W516" s="26"/>
      <c r="X516" s="27" t="n">
        <f aca="false">SUM(T516:W516)</f>
        <v>10</v>
      </c>
      <c r="Y516" s="28" t="n">
        <f aca="false">COUNT(T516:W516)</f>
        <v>3</v>
      </c>
      <c r="Z516" s="29" t="n">
        <f aca="false">R516*X516</f>
        <v>749.9</v>
      </c>
      <c r="AA516" s="30" t="n">
        <v>46054</v>
      </c>
    </row>
    <row r="517" customFormat="false" ht="15" hidden="false" customHeight="true" outlineLevel="0" collapsed="false">
      <c r="A517" s="4" t="s">
        <v>1807</v>
      </c>
      <c r="B517" s="4" t="s">
        <v>1808</v>
      </c>
      <c r="C517" s="4" t="s">
        <v>758</v>
      </c>
      <c r="D517" s="4" t="s">
        <v>251</v>
      </c>
      <c r="E517" s="4" t="s">
        <v>252</v>
      </c>
      <c r="F517" s="4" t="s">
        <v>759</v>
      </c>
      <c r="G517" s="4" t="s">
        <v>760</v>
      </c>
      <c r="H517" s="4" t="s">
        <v>761</v>
      </c>
      <c r="I517" s="4" t="s">
        <v>161</v>
      </c>
      <c r="J517" s="4" t="s">
        <v>762</v>
      </c>
      <c r="K517" s="4" t="s">
        <v>187</v>
      </c>
      <c r="L517" s="4" t="s">
        <v>348</v>
      </c>
      <c r="M517" s="24" t="s">
        <v>291</v>
      </c>
      <c r="N517" s="4" t="s">
        <v>189</v>
      </c>
      <c r="O517" s="4" t="s">
        <v>131</v>
      </c>
      <c r="P517" s="4" t="s">
        <v>118</v>
      </c>
      <c r="Q517" s="25" t="n">
        <v>99.99</v>
      </c>
      <c r="R517" s="25" t="n">
        <v>99.99</v>
      </c>
      <c r="S517" s="25" t="n">
        <v>53.97</v>
      </c>
      <c r="T517" s="26" t="n">
        <v>4</v>
      </c>
      <c r="U517" s="26"/>
      <c r="V517" s="26" t="n">
        <v>3</v>
      </c>
      <c r="W517" s="26"/>
      <c r="X517" s="27" t="n">
        <f aca="false">SUM(T517:W517)</f>
        <v>7</v>
      </c>
      <c r="Y517" s="28" t="n">
        <f aca="false">COUNT(T517:W517)</f>
        <v>2</v>
      </c>
      <c r="Z517" s="29" t="n">
        <f aca="false">R517*X517</f>
        <v>699.93</v>
      </c>
      <c r="AA517" s="30" t="n">
        <v>46054</v>
      </c>
    </row>
    <row r="518" customFormat="false" ht="15" hidden="false" customHeight="true" outlineLevel="0" collapsed="false">
      <c r="A518" s="4" t="s">
        <v>1809</v>
      </c>
      <c r="B518" s="4" t="s">
        <v>1810</v>
      </c>
      <c r="C518" s="4" t="s">
        <v>222</v>
      </c>
      <c r="D518" s="4" t="s">
        <v>122</v>
      </c>
      <c r="E518" s="4" t="s">
        <v>123</v>
      </c>
      <c r="F518" s="4" t="s">
        <v>223</v>
      </c>
      <c r="G518" s="4" t="s">
        <v>224</v>
      </c>
      <c r="H518" s="4" t="s">
        <v>225</v>
      </c>
      <c r="I518" s="4" t="s">
        <v>226</v>
      </c>
      <c r="J518" s="4" t="s">
        <v>227</v>
      </c>
      <c r="K518" s="4" t="s">
        <v>113</v>
      </c>
      <c r="L518" s="4" t="s">
        <v>228</v>
      </c>
      <c r="M518" s="24" t="s">
        <v>258</v>
      </c>
      <c r="N518" s="4" t="s">
        <v>116</v>
      </c>
      <c r="O518" s="4" t="s">
        <v>165</v>
      </c>
      <c r="P518" s="4" t="s">
        <v>118</v>
      </c>
      <c r="Q518" s="25" t="n">
        <v>199.99</v>
      </c>
      <c r="R518" s="25" t="n">
        <v>199.99</v>
      </c>
      <c r="S518" s="25" t="n">
        <v>102.88</v>
      </c>
      <c r="T518" s="26" t="n">
        <v>5</v>
      </c>
      <c r="U518" s="26" t="n">
        <v>6</v>
      </c>
      <c r="V518" s="26" t="n">
        <v>3</v>
      </c>
      <c r="W518" s="26" t="n">
        <v>2</v>
      </c>
      <c r="X518" s="27" t="n">
        <f aca="false">SUM(T518:W518)</f>
        <v>16</v>
      </c>
      <c r="Y518" s="28" t="n">
        <f aca="false">COUNT(T518:W518)</f>
        <v>4</v>
      </c>
      <c r="Z518" s="29" t="n">
        <f aca="false">R518*X518</f>
        <v>3199.84</v>
      </c>
      <c r="AA518" s="30" t="n">
        <v>46192</v>
      </c>
    </row>
    <row r="519" customFormat="false" ht="15" hidden="false" customHeight="true" outlineLevel="0" collapsed="false">
      <c r="A519" s="4" t="s">
        <v>1811</v>
      </c>
      <c r="B519" s="4" t="s">
        <v>1812</v>
      </c>
      <c r="C519" s="4" t="s">
        <v>214</v>
      </c>
      <c r="D519" s="4" t="s">
        <v>122</v>
      </c>
      <c r="E519" s="4" t="s">
        <v>123</v>
      </c>
      <c r="F519" s="4" t="s">
        <v>215</v>
      </c>
      <c r="G519" s="4" t="s">
        <v>216</v>
      </c>
      <c r="H519" s="4" t="s">
        <v>217</v>
      </c>
      <c r="I519" s="4" t="s">
        <v>161</v>
      </c>
      <c r="J519" s="4" t="s">
        <v>218</v>
      </c>
      <c r="K519" s="4" t="s">
        <v>113</v>
      </c>
      <c r="L519" s="4" t="s">
        <v>219</v>
      </c>
      <c r="M519" s="24" t="s">
        <v>141</v>
      </c>
      <c r="N519" s="4" t="s">
        <v>116</v>
      </c>
      <c r="O519" s="4" t="s">
        <v>165</v>
      </c>
      <c r="P519" s="4" t="s">
        <v>118</v>
      </c>
      <c r="Q519" s="25" t="n">
        <v>169.99</v>
      </c>
      <c r="R519" s="25" t="n">
        <v>169.99</v>
      </c>
      <c r="S519" s="25" t="n">
        <v>82.49</v>
      </c>
      <c r="T519" s="26"/>
      <c r="U519" s="26"/>
      <c r="V519" s="26" t="n">
        <v>3</v>
      </c>
      <c r="W519" s="26"/>
      <c r="X519" s="27" t="n">
        <f aca="false">SUM(T519:W519)</f>
        <v>3</v>
      </c>
      <c r="Y519" s="28" t="n">
        <f aca="false">COUNT(T519:W519)</f>
        <v>1</v>
      </c>
      <c r="Z519" s="29" t="n">
        <f aca="false">R519*X519</f>
        <v>509.97</v>
      </c>
      <c r="AA519" s="30" t="n">
        <v>46069</v>
      </c>
    </row>
    <row r="520" customFormat="false" ht="15" hidden="false" customHeight="true" outlineLevel="0" collapsed="false">
      <c r="A520" s="4" t="s">
        <v>1813</v>
      </c>
      <c r="B520" s="4" t="s">
        <v>1814</v>
      </c>
      <c r="C520" s="4" t="s">
        <v>730</v>
      </c>
      <c r="D520" s="4" t="s">
        <v>106</v>
      </c>
      <c r="E520" s="4" t="s">
        <v>157</v>
      </c>
      <c r="F520" s="4" t="s">
        <v>731</v>
      </c>
      <c r="G520" s="4" t="s">
        <v>732</v>
      </c>
      <c r="H520" s="4" t="s">
        <v>733</v>
      </c>
      <c r="I520" s="4" t="s">
        <v>161</v>
      </c>
      <c r="J520" s="4" t="s">
        <v>235</v>
      </c>
      <c r="K520" s="4" t="s">
        <v>113</v>
      </c>
      <c r="L520" s="4" t="s">
        <v>734</v>
      </c>
      <c r="M520" s="24" t="s">
        <v>130</v>
      </c>
      <c r="N520" s="4" t="s">
        <v>116</v>
      </c>
      <c r="O520" s="4" t="s">
        <v>165</v>
      </c>
      <c r="P520" s="4" t="s">
        <v>118</v>
      </c>
      <c r="Q520" s="25" t="n">
        <v>109.99</v>
      </c>
      <c r="R520" s="25" t="n">
        <v>109.99</v>
      </c>
      <c r="S520" s="25" t="n">
        <v>59.52</v>
      </c>
      <c r="T520" s="26" t="n">
        <v>6</v>
      </c>
      <c r="U520" s="26" t="n">
        <v>1</v>
      </c>
      <c r="V520" s="26" t="n">
        <v>0</v>
      </c>
      <c r="W520" s="26"/>
      <c r="X520" s="27" t="n">
        <f aca="false">SUM(T520:W520)</f>
        <v>7</v>
      </c>
      <c r="Y520" s="28" t="n">
        <f aca="false">COUNT(T520:W520)</f>
        <v>3</v>
      </c>
      <c r="Z520" s="29" t="n">
        <f aca="false">R520*X520</f>
        <v>769.93</v>
      </c>
      <c r="AA520" s="30" t="n">
        <v>46157</v>
      </c>
    </row>
    <row r="521" customFormat="false" ht="15" hidden="false" customHeight="true" outlineLevel="0" collapsed="false">
      <c r="A521" s="4" t="s">
        <v>1815</v>
      </c>
      <c r="B521" s="4" t="s">
        <v>1816</v>
      </c>
      <c r="C521" s="4" t="s">
        <v>1191</v>
      </c>
      <c r="D521" s="4" t="s">
        <v>106</v>
      </c>
      <c r="E521" s="4" t="s">
        <v>107</v>
      </c>
      <c r="F521" s="4" t="s">
        <v>1192</v>
      </c>
      <c r="G521" s="4" t="s">
        <v>1193</v>
      </c>
      <c r="H521" s="4" t="s">
        <v>1194</v>
      </c>
      <c r="I521" s="4" t="s">
        <v>771</v>
      </c>
      <c r="J521" s="4" t="s">
        <v>772</v>
      </c>
      <c r="K521" s="4" t="s">
        <v>113</v>
      </c>
      <c r="L521" s="4" t="s">
        <v>1195</v>
      </c>
      <c r="M521" s="24" t="s">
        <v>327</v>
      </c>
      <c r="N521" s="4" t="s">
        <v>116</v>
      </c>
      <c r="O521" s="4" t="s">
        <v>131</v>
      </c>
      <c r="P521" s="4" t="s">
        <v>118</v>
      </c>
      <c r="Q521" s="25" t="n">
        <v>119.99</v>
      </c>
      <c r="R521" s="25" t="n">
        <v>119.99</v>
      </c>
      <c r="S521" s="25" t="n">
        <v>66.66</v>
      </c>
      <c r="T521" s="26" t="n">
        <v>1</v>
      </c>
      <c r="U521" s="26" t="n">
        <v>0</v>
      </c>
      <c r="V521" s="26" t="n">
        <v>4</v>
      </c>
      <c r="W521" s="26"/>
      <c r="X521" s="27" t="n">
        <f aca="false">SUM(T521:W521)</f>
        <v>5</v>
      </c>
      <c r="Y521" s="28" t="n">
        <f aca="false">COUNT(T521:W521)</f>
        <v>3</v>
      </c>
      <c r="Z521" s="29" t="n">
        <f aca="false">R521*X521</f>
        <v>599.95</v>
      </c>
      <c r="AA521" s="30" t="n">
        <v>46036</v>
      </c>
    </row>
    <row r="522" customFormat="false" ht="15" hidden="false" customHeight="true" outlineLevel="0" collapsed="false">
      <c r="A522" s="4" t="s">
        <v>1817</v>
      </c>
      <c r="B522" s="4" t="s">
        <v>1818</v>
      </c>
      <c r="C522" s="4" t="s">
        <v>1087</v>
      </c>
      <c r="D522" s="4" t="s">
        <v>135</v>
      </c>
      <c r="E522" s="4" t="s">
        <v>136</v>
      </c>
      <c r="F522" s="4" t="s">
        <v>1088</v>
      </c>
      <c r="G522" s="4" t="s">
        <v>1089</v>
      </c>
      <c r="H522" s="4" t="s">
        <v>1090</v>
      </c>
      <c r="I522" s="4" t="s">
        <v>161</v>
      </c>
      <c r="J522" s="4" t="s">
        <v>246</v>
      </c>
      <c r="K522" s="4" t="s">
        <v>113</v>
      </c>
      <c r="L522" s="4" t="s">
        <v>1091</v>
      </c>
      <c r="M522" s="24" t="s">
        <v>141</v>
      </c>
      <c r="N522" s="4" t="s">
        <v>116</v>
      </c>
      <c r="O522" s="4" t="s">
        <v>238</v>
      </c>
      <c r="P522" s="4" t="s">
        <v>239</v>
      </c>
      <c r="Q522" s="25" t="n">
        <v>149.99</v>
      </c>
      <c r="R522" s="25" t="n">
        <v>111.99</v>
      </c>
      <c r="S522" s="25" t="n">
        <v>79.73</v>
      </c>
      <c r="T522" s="26" t="n">
        <v>2</v>
      </c>
      <c r="U522" s="26" t="n">
        <v>0</v>
      </c>
      <c r="V522" s="26" t="n">
        <v>3</v>
      </c>
      <c r="W522" s="26" t="n">
        <v>1</v>
      </c>
      <c r="X522" s="27" t="n">
        <f aca="false">SUM(T522:W522)</f>
        <v>6</v>
      </c>
      <c r="Y522" s="28" t="n">
        <f aca="false">COUNT(T522:W522)</f>
        <v>4</v>
      </c>
      <c r="Z522" s="29" t="n">
        <f aca="false">R522*X522</f>
        <v>671.94</v>
      </c>
      <c r="AA522" s="30" t="n">
        <v>46158</v>
      </c>
    </row>
    <row r="523" customFormat="false" ht="15" hidden="false" customHeight="true" outlineLevel="0" collapsed="false">
      <c r="A523" s="4" t="s">
        <v>1819</v>
      </c>
      <c r="B523" s="4" t="s">
        <v>1820</v>
      </c>
      <c r="C523" s="4" t="s">
        <v>1112</v>
      </c>
      <c r="D523" s="4" t="s">
        <v>583</v>
      </c>
      <c r="E523" s="4" t="s">
        <v>584</v>
      </c>
      <c r="F523" s="4" t="s">
        <v>1113</v>
      </c>
      <c r="G523" s="4" t="s">
        <v>1114</v>
      </c>
      <c r="H523" s="4" t="s">
        <v>1115</v>
      </c>
      <c r="I523" s="4" t="s">
        <v>127</v>
      </c>
      <c r="J523" s="4" t="s">
        <v>128</v>
      </c>
      <c r="K523" s="4" t="s">
        <v>187</v>
      </c>
      <c r="L523" s="4" t="s">
        <v>1116</v>
      </c>
      <c r="M523" s="24" t="s">
        <v>188</v>
      </c>
      <c r="N523" s="4" t="s">
        <v>189</v>
      </c>
      <c r="O523" s="4" t="s">
        <v>131</v>
      </c>
      <c r="P523" s="4" t="s">
        <v>239</v>
      </c>
      <c r="Q523" s="25" t="n">
        <v>69.99</v>
      </c>
      <c r="R523" s="25" t="n">
        <v>41.99</v>
      </c>
      <c r="S523" s="25" t="n">
        <v>36.27</v>
      </c>
      <c r="T523" s="26"/>
      <c r="U523" s="26"/>
      <c r="V523" s="26" t="n">
        <v>0</v>
      </c>
      <c r="W523" s="26"/>
      <c r="X523" s="27" t="n">
        <f aca="false">SUM(T523:W523)</f>
        <v>0</v>
      </c>
      <c r="Y523" s="28" t="n">
        <f aca="false">COUNT(T523:W523)</f>
        <v>1</v>
      </c>
      <c r="Z523" s="29" t="n">
        <f aca="false">R523*X523</f>
        <v>0</v>
      </c>
      <c r="AA523" s="30" t="n">
        <v>46089</v>
      </c>
    </row>
    <row r="524" customFormat="false" ht="15" hidden="false" customHeight="true" outlineLevel="0" collapsed="false">
      <c r="A524" s="4" t="s">
        <v>1821</v>
      </c>
      <c r="B524" s="4" t="s">
        <v>1822</v>
      </c>
      <c r="C524" s="4" t="s">
        <v>1191</v>
      </c>
      <c r="D524" s="4" t="s">
        <v>106</v>
      </c>
      <c r="E524" s="4" t="s">
        <v>107</v>
      </c>
      <c r="F524" s="4" t="s">
        <v>1192</v>
      </c>
      <c r="G524" s="4" t="s">
        <v>1193</v>
      </c>
      <c r="H524" s="4" t="s">
        <v>1194</v>
      </c>
      <c r="I524" s="4" t="s">
        <v>771</v>
      </c>
      <c r="J524" s="4" t="s">
        <v>772</v>
      </c>
      <c r="K524" s="4" t="s">
        <v>113</v>
      </c>
      <c r="L524" s="4" t="s">
        <v>1195</v>
      </c>
      <c r="M524" s="24" t="s">
        <v>188</v>
      </c>
      <c r="N524" s="4" t="s">
        <v>116</v>
      </c>
      <c r="O524" s="4" t="s">
        <v>131</v>
      </c>
      <c r="P524" s="4" t="s">
        <v>118</v>
      </c>
      <c r="Q524" s="25" t="n">
        <v>119.99</v>
      </c>
      <c r="R524" s="25" t="n">
        <v>119.99</v>
      </c>
      <c r="S524" s="25" t="n">
        <v>66.66</v>
      </c>
      <c r="T524" s="26" t="n">
        <v>3</v>
      </c>
      <c r="U524" s="26" t="n">
        <v>2</v>
      </c>
      <c r="V524" s="26" t="n">
        <v>1</v>
      </c>
      <c r="W524" s="26"/>
      <c r="X524" s="27" t="n">
        <f aca="false">SUM(T524:W524)</f>
        <v>6</v>
      </c>
      <c r="Y524" s="28" t="n">
        <f aca="false">COUNT(T524:W524)</f>
        <v>3</v>
      </c>
      <c r="Z524" s="29" t="n">
        <f aca="false">R524*X524</f>
        <v>719.94</v>
      </c>
      <c r="AA524" s="30" t="n">
        <v>46089</v>
      </c>
    </row>
    <row r="525" customFormat="false" ht="15" hidden="false" customHeight="true" outlineLevel="0" collapsed="false">
      <c r="A525" s="4" t="s">
        <v>1823</v>
      </c>
      <c r="B525" s="4" t="s">
        <v>1824</v>
      </c>
      <c r="C525" s="4" t="s">
        <v>1208</v>
      </c>
      <c r="D525" s="4" t="s">
        <v>342</v>
      </c>
      <c r="E525" s="4" t="s">
        <v>343</v>
      </c>
      <c r="F525" s="4" t="s">
        <v>1209</v>
      </c>
      <c r="G525" s="4" t="s">
        <v>1210</v>
      </c>
      <c r="H525" s="4" t="s">
        <v>1211</v>
      </c>
      <c r="I525" s="4" t="s">
        <v>127</v>
      </c>
      <c r="J525" s="4" t="s">
        <v>817</v>
      </c>
      <c r="K525" s="4" t="s">
        <v>113</v>
      </c>
      <c r="L525" s="4" t="s">
        <v>1212</v>
      </c>
      <c r="M525" s="24" t="s">
        <v>188</v>
      </c>
      <c r="N525" s="4" t="s">
        <v>116</v>
      </c>
      <c r="O525" s="4" t="s">
        <v>165</v>
      </c>
      <c r="P525" s="4" t="s">
        <v>118</v>
      </c>
      <c r="Q525" s="25" t="n">
        <v>174.99</v>
      </c>
      <c r="R525" s="25" t="n">
        <v>174.99</v>
      </c>
      <c r="S525" s="25" t="n">
        <v>87.2</v>
      </c>
      <c r="T525" s="26" t="n">
        <v>4</v>
      </c>
      <c r="U525" s="26" t="n">
        <v>3</v>
      </c>
      <c r="V525" s="26" t="n">
        <v>4</v>
      </c>
      <c r="W525" s="26"/>
      <c r="X525" s="27" t="n">
        <f aca="false">SUM(T525:W525)</f>
        <v>11</v>
      </c>
      <c r="Y525" s="28" t="n">
        <f aca="false">COUNT(T525:W525)</f>
        <v>3</v>
      </c>
      <c r="Z525" s="29" t="n">
        <f aca="false">R525*X525</f>
        <v>1924.89</v>
      </c>
      <c r="AA525" s="30" t="n">
        <v>46117</v>
      </c>
    </row>
    <row r="526" customFormat="false" ht="15" hidden="false" customHeight="true" outlineLevel="0" collapsed="false">
      <c r="A526" s="17" t="s">
        <v>75</v>
      </c>
      <c r="B526" s="18"/>
      <c r="C526" s="18"/>
      <c r="D526" s="18"/>
      <c r="E526" s="18"/>
      <c r="F526" s="18"/>
      <c r="G526" s="18"/>
      <c r="H526" s="18"/>
      <c r="I526" s="18"/>
      <c r="J526" s="18"/>
      <c r="K526" s="18"/>
      <c r="L526" s="18"/>
      <c r="M526" s="18"/>
      <c r="N526" s="18"/>
      <c r="O526" s="18"/>
      <c r="P526" s="18"/>
      <c r="Q526" s="18"/>
      <c r="R526" s="18"/>
      <c r="S526" s="18"/>
      <c r="T526" s="31" t="n">
        <f aca="false">SUM(T2:T525)</f>
        <v>1152</v>
      </c>
      <c r="U526" s="31" t="n">
        <f aca="false">SUM(U2:U525)</f>
        <v>663</v>
      </c>
      <c r="V526" s="31" t="n">
        <f aca="false">SUM(V2:V525)</f>
        <v>1831</v>
      </c>
      <c r="W526" s="31" t="n">
        <f aca="false">SUM(W2:W525)</f>
        <v>375</v>
      </c>
      <c r="X526" s="31" t="n">
        <f aca="false">SUM(X2:X525)</f>
        <v>4021</v>
      </c>
      <c r="Y526" s="18"/>
      <c r="Z526" s="32" t="n">
        <f aca="false">SUM(Z2:Z525)</f>
        <v>446453.79</v>
      </c>
      <c r="AA526" s="18"/>
    </row>
  </sheetData>
  <autoFilter ref="A1:AA525"/>
  <conditionalFormatting sqref="T2:W525">
    <cfRule type="colorScale" priority="2">
      <colorScale>
        <cfvo type="num" val="0"/>
        <cfvo type="num" val="3"/>
        <cfvo type="num" val="8"/>
        <color rgb="FFF8CBAD"/>
        <color rgb="FFFFF2CC"/>
        <color rgb="FFC6E0B4"/>
      </colorScale>
    </cfRule>
  </conditionalFormatting>
  <conditionalFormatting sqref="P2:P525">
    <cfRule type="cellIs" priority="3" operator="equal" aboveAverage="0" equalAverage="0" bottom="0" percent="0" rank="0" text="" dxfId="15">
      <formula>"Clearance"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4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5"/>
    <col collapsed="false" customWidth="true" hidden="false" outlineLevel="0" max="3" min="3" style="0" width="13"/>
    <col collapsed="false" customWidth="true" hidden="false" outlineLevel="0" max="4" min="4" style="0" width="17"/>
    <col collapsed="false" customWidth="true" hidden="false" outlineLevel="0" max="5" min="5" style="0" width="30"/>
    <col collapsed="false" customWidth="true" hidden="false" outlineLevel="0" max="6" min="6" style="0" width="52"/>
    <col collapsed="false" customWidth="true" hidden="false" outlineLevel="0" max="7" min="7" style="0" width="8"/>
    <col collapsed="false" customWidth="true" hidden="false" outlineLevel="0" max="10" min="8" style="0" width="12"/>
    <col collapsed="false" customWidth="true" hidden="false" outlineLevel="0" max="11" min="11" style="0" width="13"/>
    <col collapsed="false" customWidth="true" hidden="false" outlineLevel="0" max="12" min="12" style="0" width="7"/>
    <col collapsed="false" customWidth="true" hidden="false" outlineLevel="0" max="13" min="13" style="0" width="34"/>
    <col collapsed="false" customWidth="true" hidden="false" outlineLevel="0" max="14" min="14" style="0" width="7"/>
    <col collapsed="false" customWidth="true" hidden="false" outlineLevel="0" max="15" min="15" style="0" width="8"/>
    <col collapsed="false" customWidth="true" hidden="false" outlineLevel="0" max="16" min="16" style="0" width="7"/>
    <col collapsed="false" customWidth="true" hidden="false" outlineLevel="0" max="17" min="17" style="0" width="14"/>
    <col collapsed="false" customWidth="true" hidden="false" outlineLevel="0" max="18" min="18" style="0" width="38"/>
    <col collapsed="false" customWidth="true" hidden="false" outlineLevel="0" max="19" min="19" style="0" width="24"/>
    <col collapsed="false" customWidth="true" hidden="false" outlineLevel="0" max="20" min="20" style="0" width="16"/>
    <col collapsed="false" customWidth="true" hidden="false" outlineLevel="0" max="21" min="21" style="0" width="11"/>
    <col collapsed="false" customWidth="true" hidden="false" outlineLevel="0" max="22" min="22" style="0" width="13"/>
    <col collapsed="false" customWidth="true" hidden="false" outlineLevel="0" max="23" min="23" style="0" width="118"/>
  </cols>
  <sheetData>
    <row r="1" customFormat="false" ht="33.75" hidden="false" customHeight="true" outlineLevel="0" collapsed="false">
      <c r="A1" s="10" t="s">
        <v>77</v>
      </c>
      <c r="B1" s="10" t="s">
        <v>78</v>
      </c>
      <c r="C1" s="10" t="s">
        <v>79</v>
      </c>
      <c r="D1" s="10" t="s">
        <v>81</v>
      </c>
      <c r="E1" s="10" t="s">
        <v>82</v>
      </c>
      <c r="F1" s="10" t="s">
        <v>84</v>
      </c>
      <c r="G1" s="10" t="s">
        <v>89</v>
      </c>
      <c r="H1" s="23" t="s">
        <v>1825</v>
      </c>
      <c r="I1" s="10" t="s">
        <v>1826</v>
      </c>
      <c r="J1" s="23" t="s">
        <v>1827</v>
      </c>
      <c r="K1" s="23" t="s">
        <v>1828</v>
      </c>
      <c r="L1" s="33" t="s">
        <v>1829</v>
      </c>
      <c r="M1" s="33" t="s">
        <v>1830</v>
      </c>
      <c r="N1" s="33" t="s">
        <v>1831</v>
      </c>
      <c r="O1" s="33" t="s">
        <v>1832</v>
      </c>
      <c r="P1" s="33" t="s">
        <v>1833</v>
      </c>
      <c r="Q1" s="33" t="s">
        <v>1834</v>
      </c>
      <c r="R1" s="33" t="s">
        <v>1835</v>
      </c>
      <c r="S1" s="33" t="s">
        <v>1836</v>
      </c>
      <c r="T1" s="33" t="s">
        <v>1837</v>
      </c>
      <c r="U1" s="33" t="s">
        <v>1838</v>
      </c>
      <c r="V1" s="10" t="s">
        <v>1839</v>
      </c>
      <c r="W1" s="23" t="s">
        <v>1840</v>
      </c>
    </row>
    <row r="2" customFormat="false" ht="15" hidden="false" customHeight="false" outlineLevel="0" collapsed="false">
      <c r="A2" s="34" t="s">
        <v>1593</v>
      </c>
      <c r="B2" s="34" t="s">
        <v>1594</v>
      </c>
      <c r="C2" s="34" t="s">
        <v>1052</v>
      </c>
      <c r="D2" s="34" t="s">
        <v>584</v>
      </c>
      <c r="E2" s="34" t="s">
        <v>1053</v>
      </c>
      <c r="F2" s="34" t="s">
        <v>1055</v>
      </c>
      <c r="G2" s="24" t="s">
        <v>177</v>
      </c>
      <c r="H2" s="27" t="n">
        <f aca="false">IFERROR(INDEX('Inventory Master'!$T$2:$T$525,MATCH($A2,'Inventory Master'!$A$2:$A$525,0)),0)</f>
        <v>5</v>
      </c>
      <c r="I2" s="27" t="n">
        <v>0</v>
      </c>
      <c r="J2" s="27" t="n">
        <f aca="false">MAX(0,$H2-$I2)</f>
        <v>5</v>
      </c>
      <c r="K2" s="34" t="str">
        <f aca="false">IF($H2&gt;0,"In Stock","Out of Stock")</f>
        <v>In Stock</v>
      </c>
      <c r="L2" s="24" t="s">
        <v>1841</v>
      </c>
      <c r="M2" s="34" t="s">
        <v>1842</v>
      </c>
      <c r="N2" s="24" t="n">
        <v>1</v>
      </c>
      <c r="O2" s="24" t="n">
        <v>1</v>
      </c>
      <c r="P2" s="24" t="n">
        <v>1</v>
      </c>
      <c r="Q2" s="24" t="str">
        <f aca="false">$L2&amp;"-"&amp;TEXT($N2,"00")&amp;"-"&amp;$O2&amp;"-"&amp;TEXT($P2,"00")</f>
        <v>A-01-1-01</v>
      </c>
      <c r="R2" s="34" t="str">
        <f aca="false">"ZONE "&amp;$L2&amp;" / BAY "&amp;TEXT($N2,"00")&amp;" / SHELF "&amp;$O2&amp;" / BIN "&amp;TEXT($P2,"00")</f>
        <v>ZONE A / BAY 01 / SHELF 1 / BIN 01</v>
      </c>
      <c r="S2" s="34" t="s">
        <v>1843</v>
      </c>
      <c r="T2" s="34" t="s">
        <v>1844</v>
      </c>
      <c r="U2" s="27" t="n">
        <v>1</v>
      </c>
      <c r="V2" s="30" t="n">
        <v>46145</v>
      </c>
      <c r="W2" s="34" t="str">
        <f aca="false">IF($H2&gt;0,"Yes - "&amp;$H2&amp;" in stock at Store 0146 (size "&amp;$G2&amp;"). Back room location "&amp;$Q2&amp;" ("&amp;$R2&amp;"), "&amp;$S2&amp;". Back room "&amp;$J2&amp;" / sales floor "&amp;$I2&amp;".","Not currently in stock at Store 0146 (size "&amp;$G2&amp;"). Home location is "&amp;$Q2&amp;" ("&amp;$R2&amp;") when replenished.")</f>
        <v>Yes - 5 in stock at Store 0146 (size 9.5). Back room location A-01-1-01 (ZONE A / BAY 01 / SHELF 1 / BIN 01), Floor level - no reach. Back room 5 / sales floor 0.</v>
      </c>
    </row>
    <row r="3" customFormat="false" ht="15" hidden="false" customHeight="false" outlineLevel="0" collapsed="false">
      <c r="A3" s="34" t="s">
        <v>1717</v>
      </c>
      <c r="B3" s="34" t="s">
        <v>1718</v>
      </c>
      <c r="C3" s="34" t="s">
        <v>1052</v>
      </c>
      <c r="D3" s="34" t="s">
        <v>584</v>
      </c>
      <c r="E3" s="34" t="s">
        <v>1053</v>
      </c>
      <c r="F3" s="34" t="s">
        <v>1055</v>
      </c>
      <c r="G3" s="24" t="s">
        <v>211</v>
      </c>
      <c r="H3" s="27" t="n">
        <f aca="false">IFERROR(INDEX('Inventory Master'!$T$2:$T$525,MATCH($A3,'Inventory Master'!$A$2:$A$525,0)),0)</f>
        <v>3</v>
      </c>
      <c r="I3" s="27" t="n">
        <v>2</v>
      </c>
      <c r="J3" s="27" t="n">
        <f aca="false">MAX(0,$H3-$I3)</f>
        <v>1</v>
      </c>
      <c r="K3" s="34" t="str">
        <f aca="false">IF($H3&gt;0,"In Stock","Out of Stock")</f>
        <v>In Stock</v>
      </c>
      <c r="L3" s="24" t="s">
        <v>1841</v>
      </c>
      <c r="M3" s="34" t="s">
        <v>1842</v>
      </c>
      <c r="N3" s="24" t="n">
        <v>1</v>
      </c>
      <c r="O3" s="24" t="n">
        <v>1</v>
      </c>
      <c r="P3" s="24" t="n">
        <v>2</v>
      </c>
      <c r="Q3" s="24" t="str">
        <f aca="false">$L3&amp;"-"&amp;TEXT($N3,"00")&amp;"-"&amp;$O3&amp;"-"&amp;TEXT($P3,"00")</f>
        <v>A-01-1-02</v>
      </c>
      <c r="R3" s="34" t="str">
        <f aca="false">"ZONE "&amp;$L3&amp;" / BAY "&amp;TEXT($N3,"00")&amp;" / SHELF "&amp;$O3&amp;" / BIN "&amp;TEXT($P3,"00")</f>
        <v>ZONE A / BAY 01 / SHELF 1 / BIN 02</v>
      </c>
      <c r="S3" s="34" t="s">
        <v>1843</v>
      </c>
      <c r="T3" s="34" t="s">
        <v>1844</v>
      </c>
      <c r="U3" s="27" t="n">
        <v>2</v>
      </c>
      <c r="V3" s="30" t="n">
        <v>46179</v>
      </c>
      <c r="W3" s="34" t="str">
        <f aca="false">IF($H3&gt;0,"Yes - "&amp;$H3&amp;" in stock at Store 0146 (size "&amp;$G3&amp;"). Back room location "&amp;$Q3&amp;" ("&amp;$R3&amp;"), "&amp;$S3&amp;". Back room "&amp;$J3&amp;" / sales floor "&amp;$I3&amp;".","Not currently in stock at Store 0146 (size "&amp;$G3&amp;"). Home location is "&amp;$Q3&amp;" ("&amp;$R3&amp;") when replenished.")</f>
        <v>Yes - 3 in stock at Store 0146 (size 10). Back room location A-01-1-02 (ZONE A / BAY 01 / SHELF 1 / BIN 02), Floor level - no reach. Back room 1 / sales floor 2.</v>
      </c>
    </row>
    <row r="4" customFormat="false" ht="15" hidden="false" customHeight="false" outlineLevel="0" collapsed="false">
      <c r="A4" s="34" t="s">
        <v>1763</v>
      </c>
      <c r="B4" s="34" t="s">
        <v>1764</v>
      </c>
      <c r="C4" s="34" t="s">
        <v>1052</v>
      </c>
      <c r="D4" s="34" t="s">
        <v>584</v>
      </c>
      <c r="E4" s="34" t="s">
        <v>1053</v>
      </c>
      <c r="F4" s="34" t="s">
        <v>1055</v>
      </c>
      <c r="G4" s="24" t="s">
        <v>327</v>
      </c>
      <c r="H4" s="27" t="n">
        <f aca="false">IFERROR(INDEX('Inventory Master'!$T$2:$T$525,MATCH($A4,'Inventory Master'!$A$2:$A$525,0)),0)</f>
        <v>0</v>
      </c>
      <c r="I4" s="27" t="n">
        <v>0</v>
      </c>
      <c r="J4" s="27" t="n">
        <f aca="false">MAX(0,$H4-$I4)</f>
        <v>0</v>
      </c>
      <c r="K4" s="34" t="str">
        <f aca="false">IF($H4&gt;0,"In Stock","Out of Stock")</f>
        <v>Out of Stock</v>
      </c>
      <c r="L4" s="24" t="s">
        <v>1841</v>
      </c>
      <c r="M4" s="34" t="s">
        <v>1842</v>
      </c>
      <c r="N4" s="24" t="n">
        <v>1</v>
      </c>
      <c r="O4" s="24" t="n">
        <v>1</v>
      </c>
      <c r="P4" s="24" t="n">
        <v>3</v>
      </c>
      <c r="Q4" s="24" t="str">
        <f aca="false">$L4&amp;"-"&amp;TEXT($N4,"00")&amp;"-"&amp;$O4&amp;"-"&amp;TEXT($P4,"00")</f>
        <v>A-01-1-03</v>
      </c>
      <c r="R4" s="34" t="str">
        <f aca="false">"ZONE "&amp;$L4&amp;" / BAY "&amp;TEXT($N4,"00")&amp;" / SHELF "&amp;$O4&amp;" / BIN "&amp;TEXT($P4,"00")</f>
        <v>ZONE A / BAY 01 / SHELF 1 / BIN 03</v>
      </c>
      <c r="S4" s="34" t="s">
        <v>1843</v>
      </c>
      <c r="T4" s="34" t="s">
        <v>1844</v>
      </c>
      <c r="U4" s="27" t="n">
        <v>3</v>
      </c>
      <c r="V4" s="30" t="n">
        <v>46160</v>
      </c>
      <c r="W4" s="34" t="str">
        <f aca="false">IF($H4&gt;0,"Yes - "&amp;$H4&amp;" in stock at Store 0146 (size "&amp;$G4&amp;"). Back room location "&amp;$Q4&amp;" ("&amp;$R4&amp;"), "&amp;$S4&amp;". Back room "&amp;$J4&amp;" / sales floor "&amp;$I4&amp;".","Not currently in stock at Store 0146 (size "&amp;$G4&amp;"). Home location is "&amp;$Q4&amp;" ("&amp;$R4&amp;") when replenished.")</f>
        <v>Not currently in stock at Store 0146 (size 10.5). Home location is A-01-1-03 (ZONE A / BAY 01 / SHELF 1 / BIN 03) when replenished.</v>
      </c>
    </row>
    <row r="5" customFormat="false" ht="15" hidden="false" customHeight="false" outlineLevel="0" collapsed="false">
      <c r="A5" s="34" t="s">
        <v>1597</v>
      </c>
      <c r="B5" s="34" t="s">
        <v>1598</v>
      </c>
      <c r="C5" s="34" t="s">
        <v>1052</v>
      </c>
      <c r="D5" s="34" t="s">
        <v>584</v>
      </c>
      <c r="E5" s="34" t="s">
        <v>1053</v>
      </c>
      <c r="F5" s="34" t="s">
        <v>1055</v>
      </c>
      <c r="G5" s="24" t="s">
        <v>258</v>
      </c>
      <c r="H5" s="27" t="n">
        <f aca="false">IFERROR(INDEX('Inventory Master'!$T$2:$T$525,MATCH($A5,'Inventory Master'!$A$2:$A$525,0)),0)</f>
        <v>2</v>
      </c>
      <c r="I5" s="27" t="n">
        <v>0</v>
      </c>
      <c r="J5" s="27" t="n">
        <f aca="false">MAX(0,$H5-$I5)</f>
        <v>2</v>
      </c>
      <c r="K5" s="34" t="str">
        <f aca="false">IF($H5&gt;0,"In Stock","Out of Stock")</f>
        <v>In Stock</v>
      </c>
      <c r="L5" s="24" t="s">
        <v>1841</v>
      </c>
      <c r="M5" s="34" t="s">
        <v>1842</v>
      </c>
      <c r="N5" s="24" t="n">
        <v>1</v>
      </c>
      <c r="O5" s="24" t="n">
        <v>1</v>
      </c>
      <c r="P5" s="24" t="n">
        <v>4</v>
      </c>
      <c r="Q5" s="24" t="str">
        <f aca="false">$L5&amp;"-"&amp;TEXT($N5,"00")&amp;"-"&amp;$O5&amp;"-"&amp;TEXT($P5,"00")</f>
        <v>A-01-1-04</v>
      </c>
      <c r="R5" s="34" t="str">
        <f aca="false">"ZONE "&amp;$L5&amp;" / BAY "&amp;TEXT($N5,"00")&amp;" / SHELF "&amp;$O5&amp;" / BIN "&amp;TEXT($P5,"00")</f>
        <v>ZONE A / BAY 01 / SHELF 1 / BIN 04</v>
      </c>
      <c r="S5" s="34" t="s">
        <v>1843</v>
      </c>
      <c r="T5" s="34" t="s">
        <v>1844</v>
      </c>
      <c r="U5" s="27" t="n">
        <v>4</v>
      </c>
      <c r="V5" s="30" t="n">
        <v>46221</v>
      </c>
      <c r="W5" s="34" t="str">
        <f aca="false">IF($H5&gt;0,"Yes - "&amp;$H5&amp;" in stock at Store 0146 (size "&amp;$G5&amp;"). Back room location "&amp;$Q5&amp;" ("&amp;$R5&amp;"), "&amp;$S5&amp;". Back room "&amp;$J5&amp;" / sales floor "&amp;$I5&amp;".","Not currently in stock at Store 0146 (size "&amp;$G5&amp;"). Home location is "&amp;$Q5&amp;" ("&amp;$R5&amp;") when replenished.")</f>
        <v>Yes - 2 in stock at Store 0146 (size 11). Back room location A-01-1-04 (ZONE A / BAY 01 / SHELF 1 / BIN 04), Floor level - no reach. Back room 2 / sales floor 0.</v>
      </c>
    </row>
    <row r="6" customFormat="false" ht="15" hidden="false" customHeight="false" outlineLevel="0" collapsed="false">
      <c r="A6" s="34" t="s">
        <v>1050</v>
      </c>
      <c r="B6" s="34" t="s">
        <v>1051</v>
      </c>
      <c r="C6" s="34" t="s">
        <v>1052</v>
      </c>
      <c r="D6" s="34" t="s">
        <v>584</v>
      </c>
      <c r="E6" s="34" t="s">
        <v>1053</v>
      </c>
      <c r="F6" s="34" t="s">
        <v>1055</v>
      </c>
      <c r="G6" s="24" t="s">
        <v>141</v>
      </c>
      <c r="H6" s="27" t="n">
        <f aca="false">IFERROR(INDEX('Inventory Master'!$T$2:$T$525,MATCH($A6,'Inventory Master'!$A$2:$A$525,0)),0)</f>
        <v>0</v>
      </c>
      <c r="I6" s="27" t="n">
        <v>0</v>
      </c>
      <c r="J6" s="27" t="n">
        <f aca="false">MAX(0,$H6-$I6)</f>
        <v>0</v>
      </c>
      <c r="K6" s="34" t="str">
        <f aca="false">IF($H6&gt;0,"In Stock","Out of Stock")</f>
        <v>Out of Stock</v>
      </c>
      <c r="L6" s="24" t="s">
        <v>1841</v>
      </c>
      <c r="M6" s="34" t="s">
        <v>1842</v>
      </c>
      <c r="N6" s="24" t="n">
        <v>1</v>
      </c>
      <c r="O6" s="24" t="n">
        <v>1</v>
      </c>
      <c r="P6" s="24" t="n">
        <v>5</v>
      </c>
      <c r="Q6" s="24" t="str">
        <f aca="false">$L6&amp;"-"&amp;TEXT($N6,"00")&amp;"-"&amp;$O6&amp;"-"&amp;TEXT($P6,"00")</f>
        <v>A-01-1-05</v>
      </c>
      <c r="R6" s="34" t="str">
        <f aca="false">"ZONE "&amp;$L6&amp;" / BAY "&amp;TEXT($N6,"00")&amp;" / SHELF "&amp;$O6&amp;" / BIN "&amp;TEXT($P6,"00")</f>
        <v>ZONE A / BAY 01 / SHELF 1 / BIN 05</v>
      </c>
      <c r="S6" s="34" t="s">
        <v>1843</v>
      </c>
      <c r="T6" s="34" t="s">
        <v>1844</v>
      </c>
      <c r="U6" s="27" t="n">
        <v>5</v>
      </c>
      <c r="V6" s="30" t="n">
        <v>46176</v>
      </c>
      <c r="W6" s="34" t="str">
        <f aca="false">IF($H6&gt;0,"Yes - "&amp;$H6&amp;" in stock at Store 0146 (size "&amp;$G6&amp;"). Back room location "&amp;$Q6&amp;" ("&amp;$R6&amp;"), "&amp;$S6&amp;". Back room "&amp;$J6&amp;" / sales floor "&amp;$I6&amp;".","Not currently in stock at Store 0146 (size "&amp;$G6&amp;"). Home location is "&amp;$Q6&amp;" ("&amp;$R6&amp;") when replenished.")</f>
        <v>Not currently in stock at Store 0146 (size 11.5). Home location is A-01-1-05 (ZONE A / BAY 01 / SHELF 1 / BIN 05) when replenished.</v>
      </c>
    </row>
    <row r="7" customFormat="false" ht="15" hidden="false" customHeight="false" outlineLevel="0" collapsed="false">
      <c r="A7" s="34" t="s">
        <v>1430</v>
      </c>
      <c r="B7" s="34" t="s">
        <v>1431</v>
      </c>
      <c r="C7" s="34" t="s">
        <v>891</v>
      </c>
      <c r="D7" s="34" t="s">
        <v>644</v>
      </c>
      <c r="E7" s="34" t="s">
        <v>645</v>
      </c>
      <c r="F7" s="34" t="s">
        <v>893</v>
      </c>
      <c r="G7" s="24" t="s">
        <v>356</v>
      </c>
      <c r="H7" s="27" t="n">
        <f aca="false">IFERROR(INDEX('Inventory Master'!$T$2:$T$525,MATCH($A7,'Inventory Master'!$A$2:$A$525,0)),0)</f>
        <v>1</v>
      </c>
      <c r="I7" s="27" t="n">
        <v>1</v>
      </c>
      <c r="J7" s="27" t="n">
        <f aca="false">MAX(0,$H7-$I7)</f>
        <v>0</v>
      </c>
      <c r="K7" s="34" t="str">
        <f aca="false">IF($H7&gt;0,"In Stock","Out of Stock")</f>
        <v>In Stock</v>
      </c>
      <c r="L7" s="24" t="s">
        <v>1841</v>
      </c>
      <c r="M7" s="34" t="s">
        <v>1842</v>
      </c>
      <c r="N7" s="24" t="n">
        <v>1</v>
      </c>
      <c r="O7" s="24" t="n">
        <v>2</v>
      </c>
      <c r="P7" s="24" t="n">
        <v>1</v>
      </c>
      <c r="Q7" s="24" t="str">
        <f aca="false">$L7&amp;"-"&amp;TEXT($N7,"00")&amp;"-"&amp;$O7&amp;"-"&amp;TEXT($P7,"00")</f>
        <v>A-01-2-01</v>
      </c>
      <c r="R7" s="34" t="str">
        <f aca="false">"ZONE "&amp;$L7&amp;" / BAY "&amp;TEXT($N7,"00")&amp;" / SHELF "&amp;$O7&amp;" / BIN "&amp;TEXT($P7,"00")</f>
        <v>ZONE A / BAY 01 / SHELF 2 / BIN 01</v>
      </c>
      <c r="S7" s="34" t="s">
        <v>1845</v>
      </c>
      <c r="T7" s="34" t="s">
        <v>1844</v>
      </c>
      <c r="U7" s="27" t="n">
        <v>6</v>
      </c>
      <c r="V7" s="30" t="n">
        <v>46141</v>
      </c>
      <c r="W7" s="34" t="str">
        <f aca="false">IF($H7&gt;0,"Yes - "&amp;$H7&amp;" in stock at Store 0146 (size "&amp;$G7&amp;"). Back room location "&amp;$Q7&amp;" ("&amp;$R7&amp;"), "&amp;$S7&amp;". Back room "&amp;$J7&amp;" / sales floor "&amp;$I7&amp;".","Not currently in stock at Store 0146 (size "&amp;$G7&amp;"). Home location is "&amp;$Q7&amp;" ("&amp;$R7&amp;") when replenished.")</f>
        <v>Yes - 1 in stock at Store 0146 (size 8). Back room location A-01-2-01 (ZONE A / BAY 01 / SHELF 2 / BIN 01), Waist height. Back room 0 / sales floor 1.</v>
      </c>
    </row>
    <row r="8" customFormat="false" ht="15" hidden="false" customHeight="false" outlineLevel="0" collapsed="false">
      <c r="A8" s="34" t="s">
        <v>998</v>
      </c>
      <c r="B8" s="34" t="s">
        <v>999</v>
      </c>
      <c r="C8" s="34" t="s">
        <v>891</v>
      </c>
      <c r="D8" s="34" t="s">
        <v>644</v>
      </c>
      <c r="E8" s="34" t="s">
        <v>645</v>
      </c>
      <c r="F8" s="34" t="s">
        <v>893</v>
      </c>
      <c r="G8" s="24" t="s">
        <v>188</v>
      </c>
      <c r="H8" s="27" t="n">
        <f aca="false">IFERROR(INDEX('Inventory Master'!$T$2:$T$525,MATCH($A8,'Inventory Master'!$A$2:$A$525,0)),0)</f>
        <v>4</v>
      </c>
      <c r="I8" s="27" t="n">
        <v>2</v>
      </c>
      <c r="J8" s="27" t="n">
        <f aca="false">MAX(0,$H8-$I8)</f>
        <v>2</v>
      </c>
      <c r="K8" s="34" t="str">
        <f aca="false">IF($H8&gt;0,"In Stock","Out of Stock")</f>
        <v>In Stock</v>
      </c>
      <c r="L8" s="24" t="s">
        <v>1841</v>
      </c>
      <c r="M8" s="34" t="s">
        <v>1842</v>
      </c>
      <c r="N8" s="24" t="n">
        <v>1</v>
      </c>
      <c r="O8" s="24" t="n">
        <v>2</v>
      </c>
      <c r="P8" s="24" t="n">
        <v>2</v>
      </c>
      <c r="Q8" s="24" t="str">
        <f aca="false">$L8&amp;"-"&amp;TEXT($N8,"00")&amp;"-"&amp;$O8&amp;"-"&amp;TEXT($P8,"00")</f>
        <v>A-01-2-02</v>
      </c>
      <c r="R8" s="34" t="str">
        <f aca="false">"ZONE "&amp;$L8&amp;" / BAY "&amp;TEXT($N8,"00")&amp;" / SHELF "&amp;$O8&amp;" / BIN "&amp;TEXT($P8,"00")</f>
        <v>ZONE A / BAY 01 / SHELF 2 / BIN 02</v>
      </c>
      <c r="S8" s="34" t="s">
        <v>1845</v>
      </c>
      <c r="T8" s="34" t="s">
        <v>1844</v>
      </c>
      <c r="U8" s="27" t="n">
        <v>7</v>
      </c>
      <c r="V8" s="30" t="n">
        <v>46198</v>
      </c>
      <c r="W8" s="34" t="str">
        <f aca="false">IF($H8&gt;0,"Yes - "&amp;$H8&amp;" in stock at Store 0146 (size "&amp;$G8&amp;"). Back room location "&amp;$Q8&amp;" ("&amp;$R8&amp;"), "&amp;$S8&amp;". Back room "&amp;$J8&amp;" / sales floor "&amp;$I8&amp;".","Not currently in stock at Store 0146 (size "&amp;$G8&amp;"). Home location is "&amp;$Q8&amp;" ("&amp;$R8&amp;") when replenished.")</f>
        <v>Yes - 4 in stock at Store 0146 (size 8.5). Back room location A-01-2-02 (ZONE A / BAY 01 / SHELF 2 / BIN 02), Waist height. Back room 2 / sales floor 2.</v>
      </c>
    </row>
    <row r="9" customFormat="false" ht="15" hidden="false" customHeight="false" outlineLevel="0" collapsed="false">
      <c r="A9" s="34" t="s">
        <v>889</v>
      </c>
      <c r="B9" s="34" t="s">
        <v>890</v>
      </c>
      <c r="C9" s="34" t="s">
        <v>891</v>
      </c>
      <c r="D9" s="34" t="s">
        <v>644</v>
      </c>
      <c r="E9" s="34" t="s">
        <v>645</v>
      </c>
      <c r="F9" s="34" t="s">
        <v>893</v>
      </c>
      <c r="G9" s="24" t="s">
        <v>164</v>
      </c>
      <c r="H9" s="27" t="n">
        <f aca="false">IFERROR(INDEX('Inventory Master'!$T$2:$T$525,MATCH($A9,'Inventory Master'!$A$2:$A$525,0)),0)</f>
        <v>4</v>
      </c>
      <c r="I9" s="27" t="n">
        <v>1</v>
      </c>
      <c r="J9" s="27" t="n">
        <f aca="false">MAX(0,$H9-$I9)</f>
        <v>3</v>
      </c>
      <c r="K9" s="34" t="str">
        <f aca="false">IF($H9&gt;0,"In Stock","Out of Stock")</f>
        <v>In Stock</v>
      </c>
      <c r="L9" s="24" t="s">
        <v>1841</v>
      </c>
      <c r="M9" s="34" t="s">
        <v>1842</v>
      </c>
      <c r="N9" s="24" t="n">
        <v>1</v>
      </c>
      <c r="O9" s="24" t="n">
        <v>2</v>
      </c>
      <c r="P9" s="24" t="n">
        <v>3</v>
      </c>
      <c r="Q9" s="24" t="str">
        <f aca="false">$L9&amp;"-"&amp;TEXT($N9,"00")&amp;"-"&amp;$O9&amp;"-"&amp;TEXT($P9,"00")</f>
        <v>A-01-2-03</v>
      </c>
      <c r="R9" s="34" t="str">
        <f aca="false">"ZONE "&amp;$L9&amp;" / BAY "&amp;TEXT($N9,"00")&amp;" / SHELF "&amp;$O9&amp;" / BIN "&amp;TEXT($P9,"00")</f>
        <v>ZONE A / BAY 01 / SHELF 2 / BIN 03</v>
      </c>
      <c r="S9" s="34" t="s">
        <v>1845</v>
      </c>
      <c r="T9" s="34" t="s">
        <v>1844</v>
      </c>
      <c r="U9" s="27" t="n">
        <v>8</v>
      </c>
      <c r="V9" s="30" t="n">
        <v>46206</v>
      </c>
      <c r="W9" s="34" t="str">
        <f aca="false">IF($H9&gt;0,"Yes - "&amp;$H9&amp;" in stock at Store 0146 (size "&amp;$G9&amp;"). Back room location "&amp;$Q9&amp;" ("&amp;$R9&amp;"), "&amp;$S9&amp;". Back room "&amp;$J9&amp;" / sales floor "&amp;$I9&amp;".","Not currently in stock at Store 0146 (size "&amp;$G9&amp;"). Home location is "&amp;$Q9&amp;" ("&amp;$R9&amp;") when replenished.")</f>
        <v>Yes - 4 in stock at Store 0146 (size 9). Back room location A-01-2-03 (ZONE A / BAY 01 / SHELF 2 / BIN 03), Waist height. Back room 3 / sales floor 1.</v>
      </c>
    </row>
    <row r="10" customFormat="false" ht="15" hidden="false" customHeight="false" outlineLevel="0" collapsed="false">
      <c r="A10" s="34" t="s">
        <v>1689</v>
      </c>
      <c r="B10" s="34" t="s">
        <v>1690</v>
      </c>
      <c r="C10" s="34" t="s">
        <v>924</v>
      </c>
      <c r="D10" s="34" t="s">
        <v>644</v>
      </c>
      <c r="E10" s="34" t="s">
        <v>925</v>
      </c>
      <c r="F10" s="34" t="s">
        <v>927</v>
      </c>
      <c r="G10" s="24" t="s">
        <v>188</v>
      </c>
      <c r="H10" s="27" t="n">
        <f aca="false">IFERROR(INDEX('Inventory Master'!$T$2:$T$525,MATCH($A10,'Inventory Master'!$A$2:$A$525,0)),0)</f>
        <v>2</v>
      </c>
      <c r="I10" s="27" t="n">
        <v>1</v>
      </c>
      <c r="J10" s="27" t="n">
        <f aca="false">MAX(0,$H10-$I10)</f>
        <v>1</v>
      </c>
      <c r="K10" s="34" t="str">
        <f aca="false">IF($H10&gt;0,"In Stock","Out of Stock")</f>
        <v>In Stock</v>
      </c>
      <c r="L10" s="24" t="s">
        <v>1841</v>
      </c>
      <c r="M10" s="34" t="s">
        <v>1842</v>
      </c>
      <c r="N10" s="24" t="n">
        <v>1</v>
      </c>
      <c r="O10" s="24" t="n">
        <v>3</v>
      </c>
      <c r="P10" s="24" t="n">
        <v>1</v>
      </c>
      <c r="Q10" s="24" t="str">
        <f aca="false">$L10&amp;"-"&amp;TEXT($N10,"00")&amp;"-"&amp;$O10&amp;"-"&amp;TEXT($P10,"00")</f>
        <v>A-01-3-01</v>
      </c>
      <c r="R10" s="34" t="str">
        <f aca="false">"ZONE "&amp;$L10&amp;" / BAY "&amp;TEXT($N10,"00")&amp;" / SHELF "&amp;$O10&amp;" / BIN "&amp;TEXT($P10,"00")</f>
        <v>ZONE A / BAY 01 / SHELF 3 / BIN 01</v>
      </c>
      <c r="S10" s="34" t="s">
        <v>1846</v>
      </c>
      <c r="T10" s="34" t="s">
        <v>1844</v>
      </c>
      <c r="U10" s="27" t="n">
        <v>9</v>
      </c>
      <c r="V10" s="30" t="n">
        <v>46204</v>
      </c>
      <c r="W10" s="34" t="str">
        <f aca="false">IF($H10&gt;0,"Yes - "&amp;$H10&amp;" in stock at Store 0146 (size "&amp;$G10&amp;"). Back room location "&amp;$Q10&amp;" ("&amp;$R10&amp;"), "&amp;$S10&amp;". Back room "&amp;$J10&amp;" / sales floor "&amp;$I10&amp;".","Not currently in stock at Store 0146 (size "&amp;$G10&amp;"). Home location is "&amp;$Q10&amp;" ("&amp;$R10&amp;") when replenished.")</f>
        <v>Yes - 2 in stock at Store 0146 (size 8.5). Back room location A-01-3-01 (ZONE A / BAY 01 / SHELF 3 / BIN 01), Eye level. Back room 1 / sales floor 1.</v>
      </c>
    </row>
    <row r="11" customFormat="false" ht="15" hidden="false" customHeight="false" outlineLevel="0" collapsed="false">
      <c r="A11" s="34" t="s">
        <v>1446</v>
      </c>
      <c r="B11" s="34" t="s">
        <v>1447</v>
      </c>
      <c r="C11" s="34" t="s">
        <v>924</v>
      </c>
      <c r="D11" s="34" t="s">
        <v>644</v>
      </c>
      <c r="E11" s="34" t="s">
        <v>925</v>
      </c>
      <c r="F11" s="34" t="s">
        <v>927</v>
      </c>
      <c r="G11" s="24" t="s">
        <v>164</v>
      </c>
      <c r="H11" s="27" t="n">
        <f aca="false">IFERROR(INDEX('Inventory Master'!$T$2:$T$525,MATCH($A11,'Inventory Master'!$A$2:$A$525,0)),0)</f>
        <v>5</v>
      </c>
      <c r="I11" s="27" t="n">
        <v>2</v>
      </c>
      <c r="J11" s="27" t="n">
        <f aca="false">MAX(0,$H11-$I11)</f>
        <v>3</v>
      </c>
      <c r="K11" s="34" t="str">
        <f aca="false">IF($H11&gt;0,"In Stock","Out of Stock")</f>
        <v>In Stock</v>
      </c>
      <c r="L11" s="24" t="s">
        <v>1841</v>
      </c>
      <c r="M11" s="34" t="s">
        <v>1842</v>
      </c>
      <c r="N11" s="24" t="n">
        <v>1</v>
      </c>
      <c r="O11" s="24" t="n">
        <v>3</v>
      </c>
      <c r="P11" s="24" t="n">
        <v>2</v>
      </c>
      <c r="Q11" s="24" t="str">
        <f aca="false">$L11&amp;"-"&amp;TEXT($N11,"00")&amp;"-"&amp;$O11&amp;"-"&amp;TEXT($P11,"00")</f>
        <v>A-01-3-02</v>
      </c>
      <c r="R11" s="34" t="str">
        <f aca="false">"ZONE "&amp;$L11&amp;" / BAY "&amp;TEXT($N11,"00")&amp;" / SHELF "&amp;$O11&amp;" / BIN "&amp;TEXT($P11,"00")</f>
        <v>ZONE A / BAY 01 / SHELF 3 / BIN 02</v>
      </c>
      <c r="S11" s="34" t="s">
        <v>1846</v>
      </c>
      <c r="T11" s="34" t="s">
        <v>1844</v>
      </c>
      <c r="U11" s="27" t="n">
        <v>10</v>
      </c>
      <c r="V11" s="30" t="n">
        <v>46231</v>
      </c>
      <c r="W11" s="34" t="str">
        <f aca="false">IF($H11&gt;0,"Yes - "&amp;$H11&amp;" in stock at Store 0146 (size "&amp;$G11&amp;"). Back room location "&amp;$Q11&amp;" ("&amp;$R11&amp;"), "&amp;$S11&amp;". Back room "&amp;$J11&amp;" / sales floor "&amp;$I11&amp;".","Not currently in stock at Store 0146 (size "&amp;$G11&amp;"). Home location is "&amp;$Q11&amp;" ("&amp;$R11&amp;") when replenished.")</f>
        <v>Yes - 5 in stock at Store 0146 (size 9). Back room location A-01-3-02 (ZONE A / BAY 01 / SHELF 3 / BIN 02), Eye level. Back room 3 / sales floor 2.</v>
      </c>
    </row>
    <row r="12" customFormat="false" ht="15" hidden="false" customHeight="false" outlineLevel="0" collapsed="false">
      <c r="A12" s="34" t="s">
        <v>922</v>
      </c>
      <c r="B12" s="34" t="s">
        <v>923</v>
      </c>
      <c r="C12" s="34" t="s">
        <v>924</v>
      </c>
      <c r="D12" s="34" t="s">
        <v>644</v>
      </c>
      <c r="E12" s="34" t="s">
        <v>925</v>
      </c>
      <c r="F12" s="34" t="s">
        <v>927</v>
      </c>
      <c r="G12" s="24" t="s">
        <v>177</v>
      </c>
      <c r="H12" s="27" t="n">
        <f aca="false">IFERROR(INDEX('Inventory Master'!$T$2:$T$525,MATCH($A12,'Inventory Master'!$A$2:$A$525,0)),0)</f>
        <v>0</v>
      </c>
      <c r="I12" s="27" t="n">
        <v>0</v>
      </c>
      <c r="J12" s="27" t="n">
        <f aca="false">MAX(0,$H12-$I12)</f>
        <v>0</v>
      </c>
      <c r="K12" s="34" t="str">
        <f aca="false">IF($H12&gt;0,"In Stock","Out of Stock")</f>
        <v>Out of Stock</v>
      </c>
      <c r="L12" s="24" t="s">
        <v>1841</v>
      </c>
      <c r="M12" s="34" t="s">
        <v>1842</v>
      </c>
      <c r="N12" s="24" t="n">
        <v>1</v>
      </c>
      <c r="O12" s="24" t="n">
        <v>3</v>
      </c>
      <c r="P12" s="24" t="n">
        <v>3</v>
      </c>
      <c r="Q12" s="24" t="str">
        <f aca="false">$L12&amp;"-"&amp;TEXT($N12,"00")&amp;"-"&amp;$O12&amp;"-"&amp;TEXT($P12,"00")</f>
        <v>A-01-3-03</v>
      </c>
      <c r="R12" s="34" t="str">
        <f aca="false">"ZONE "&amp;$L12&amp;" / BAY "&amp;TEXT($N12,"00")&amp;" / SHELF "&amp;$O12&amp;" / BIN "&amp;TEXT($P12,"00")</f>
        <v>ZONE A / BAY 01 / SHELF 3 / BIN 03</v>
      </c>
      <c r="S12" s="34" t="s">
        <v>1846</v>
      </c>
      <c r="T12" s="34" t="s">
        <v>1844</v>
      </c>
      <c r="U12" s="27" t="n">
        <v>11</v>
      </c>
      <c r="V12" s="30" t="n">
        <v>46205</v>
      </c>
      <c r="W12" s="34" t="str">
        <f aca="false">IF($H12&gt;0,"Yes - "&amp;$H12&amp;" in stock at Store 0146 (size "&amp;$G12&amp;"). Back room location "&amp;$Q12&amp;" ("&amp;$R12&amp;"), "&amp;$S12&amp;". Back room "&amp;$J12&amp;" / sales floor "&amp;$I12&amp;".","Not currently in stock at Store 0146 (size "&amp;$G12&amp;"). Home location is "&amp;$Q12&amp;" ("&amp;$R12&amp;") when replenished.")</f>
        <v>Not currently in stock at Store 0146 (size 9.5). Home location is A-01-3-03 (ZONE A / BAY 01 / SHELF 3 / BIN 03) when replenished.</v>
      </c>
    </row>
    <row r="13" customFormat="false" ht="15" hidden="false" customHeight="false" outlineLevel="0" collapsed="false">
      <c r="A13" s="34" t="s">
        <v>1402</v>
      </c>
      <c r="B13" s="34" t="s">
        <v>1403</v>
      </c>
      <c r="C13" s="34" t="s">
        <v>924</v>
      </c>
      <c r="D13" s="34" t="s">
        <v>644</v>
      </c>
      <c r="E13" s="34" t="s">
        <v>925</v>
      </c>
      <c r="F13" s="34" t="s">
        <v>927</v>
      </c>
      <c r="G13" s="24" t="s">
        <v>211</v>
      </c>
      <c r="H13" s="27" t="n">
        <f aca="false">IFERROR(INDEX('Inventory Master'!$T$2:$T$525,MATCH($A13,'Inventory Master'!$A$2:$A$525,0)),0)</f>
        <v>3</v>
      </c>
      <c r="I13" s="27" t="n">
        <v>2</v>
      </c>
      <c r="J13" s="27" t="n">
        <f aca="false">MAX(0,$H13-$I13)</f>
        <v>1</v>
      </c>
      <c r="K13" s="34" t="str">
        <f aca="false">IF($H13&gt;0,"In Stock","Out of Stock")</f>
        <v>In Stock</v>
      </c>
      <c r="L13" s="24" t="s">
        <v>1841</v>
      </c>
      <c r="M13" s="34" t="s">
        <v>1842</v>
      </c>
      <c r="N13" s="24" t="n">
        <v>1</v>
      </c>
      <c r="O13" s="24" t="n">
        <v>3</v>
      </c>
      <c r="P13" s="24" t="n">
        <v>4</v>
      </c>
      <c r="Q13" s="24" t="str">
        <f aca="false">$L13&amp;"-"&amp;TEXT($N13,"00")&amp;"-"&amp;$O13&amp;"-"&amp;TEXT($P13,"00")</f>
        <v>A-01-3-04</v>
      </c>
      <c r="R13" s="34" t="str">
        <f aca="false">"ZONE "&amp;$L13&amp;" / BAY "&amp;TEXT($N13,"00")&amp;" / SHELF "&amp;$O13&amp;" / BIN "&amp;TEXT($P13,"00")</f>
        <v>ZONE A / BAY 01 / SHELF 3 / BIN 04</v>
      </c>
      <c r="S13" s="34" t="s">
        <v>1846</v>
      </c>
      <c r="T13" s="34" t="s">
        <v>1844</v>
      </c>
      <c r="U13" s="27" t="n">
        <v>12</v>
      </c>
      <c r="V13" s="30" t="n">
        <v>46211</v>
      </c>
      <c r="W13" s="34" t="str">
        <f aca="false">IF($H13&gt;0,"Yes - "&amp;$H13&amp;" in stock at Store 0146 (size "&amp;$G13&amp;"). Back room location "&amp;$Q13&amp;" ("&amp;$R13&amp;"), "&amp;$S13&amp;". Back room "&amp;$J13&amp;" / sales floor "&amp;$I13&amp;".","Not currently in stock at Store 0146 (size "&amp;$G13&amp;"). Home location is "&amp;$Q13&amp;" ("&amp;$R13&amp;") when replenished.")</f>
        <v>Yes - 3 in stock at Store 0146 (size 10). Back room location A-01-3-04 (ZONE A / BAY 01 / SHELF 3 / BIN 04), Eye level. Back room 1 / sales floor 2.</v>
      </c>
    </row>
    <row r="14" customFormat="false" ht="15" hidden="false" customHeight="false" outlineLevel="0" collapsed="false">
      <c r="A14" s="34" t="s">
        <v>1204</v>
      </c>
      <c r="B14" s="34" t="s">
        <v>1205</v>
      </c>
      <c r="C14" s="34" t="s">
        <v>924</v>
      </c>
      <c r="D14" s="34" t="s">
        <v>644</v>
      </c>
      <c r="E14" s="34" t="s">
        <v>925</v>
      </c>
      <c r="F14" s="34" t="s">
        <v>927</v>
      </c>
      <c r="G14" s="24" t="s">
        <v>327</v>
      </c>
      <c r="H14" s="27" t="n">
        <f aca="false">IFERROR(INDEX('Inventory Master'!$T$2:$T$525,MATCH($A14,'Inventory Master'!$A$2:$A$525,0)),0)</f>
        <v>4</v>
      </c>
      <c r="I14" s="27" t="n">
        <v>1</v>
      </c>
      <c r="J14" s="27" t="n">
        <f aca="false">MAX(0,$H14-$I14)</f>
        <v>3</v>
      </c>
      <c r="K14" s="34" t="str">
        <f aca="false">IF($H14&gt;0,"In Stock","Out of Stock")</f>
        <v>In Stock</v>
      </c>
      <c r="L14" s="24" t="s">
        <v>1841</v>
      </c>
      <c r="M14" s="34" t="s">
        <v>1842</v>
      </c>
      <c r="N14" s="24" t="n">
        <v>1</v>
      </c>
      <c r="O14" s="24" t="n">
        <v>3</v>
      </c>
      <c r="P14" s="24" t="n">
        <v>5</v>
      </c>
      <c r="Q14" s="24" t="str">
        <f aca="false">$L14&amp;"-"&amp;TEXT($N14,"00")&amp;"-"&amp;$O14&amp;"-"&amp;TEXT($P14,"00")</f>
        <v>A-01-3-05</v>
      </c>
      <c r="R14" s="34" t="str">
        <f aca="false">"ZONE "&amp;$L14&amp;" / BAY "&amp;TEXT($N14,"00")&amp;" / SHELF "&amp;$O14&amp;" / BIN "&amp;TEXT($P14,"00")</f>
        <v>ZONE A / BAY 01 / SHELF 3 / BIN 05</v>
      </c>
      <c r="S14" s="34" t="s">
        <v>1846</v>
      </c>
      <c r="T14" s="34" t="s">
        <v>1844</v>
      </c>
      <c r="U14" s="27" t="n">
        <v>13</v>
      </c>
      <c r="V14" s="30" t="n">
        <v>46214</v>
      </c>
      <c r="W14" s="34" t="str">
        <f aca="false">IF($H14&gt;0,"Yes - "&amp;$H14&amp;" in stock at Store 0146 (size "&amp;$G14&amp;"). Back room location "&amp;$Q14&amp;" ("&amp;$R14&amp;"), "&amp;$S14&amp;". Back room "&amp;$J14&amp;" / sales floor "&amp;$I14&amp;".","Not currently in stock at Store 0146 (size "&amp;$G14&amp;"). Home location is "&amp;$Q14&amp;" ("&amp;$R14&amp;") when replenished.")</f>
        <v>Yes - 4 in stock at Store 0146 (size 10.5). Back room location A-01-3-05 (ZONE A / BAY 01 / SHELF 3 / BIN 05), Eye level. Back room 3 / sales floor 1.</v>
      </c>
    </row>
    <row r="15" customFormat="false" ht="15" hidden="false" customHeight="false" outlineLevel="0" collapsed="false">
      <c r="A15" s="34" t="s">
        <v>1520</v>
      </c>
      <c r="B15" s="34" t="s">
        <v>1521</v>
      </c>
      <c r="C15" s="34" t="s">
        <v>924</v>
      </c>
      <c r="D15" s="34" t="s">
        <v>644</v>
      </c>
      <c r="E15" s="34" t="s">
        <v>925</v>
      </c>
      <c r="F15" s="34" t="s">
        <v>927</v>
      </c>
      <c r="G15" s="24" t="s">
        <v>258</v>
      </c>
      <c r="H15" s="27" t="n">
        <f aca="false">IFERROR(INDEX('Inventory Master'!$T$2:$T$525,MATCH($A15,'Inventory Master'!$A$2:$A$525,0)),0)</f>
        <v>4</v>
      </c>
      <c r="I15" s="27" t="n">
        <v>0</v>
      </c>
      <c r="J15" s="27" t="n">
        <f aca="false">MAX(0,$H15-$I15)</f>
        <v>4</v>
      </c>
      <c r="K15" s="34" t="str">
        <f aca="false">IF($H15&gt;0,"In Stock","Out of Stock")</f>
        <v>In Stock</v>
      </c>
      <c r="L15" s="24" t="s">
        <v>1841</v>
      </c>
      <c r="M15" s="34" t="s">
        <v>1842</v>
      </c>
      <c r="N15" s="24" t="n">
        <v>1</v>
      </c>
      <c r="O15" s="24" t="n">
        <v>3</v>
      </c>
      <c r="P15" s="24" t="n">
        <v>6</v>
      </c>
      <c r="Q15" s="24" t="str">
        <f aca="false">$L15&amp;"-"&amp;TEXT($N15,"00")&amp;"-"&amp;$O15&amp;"-"&amp;TEXT($P15,"00")</f>
        <v>A-01-3-06</v>
      </c>
      <c r="R15" s="34" t="str">
        <f aca="false">"ZONE "&amp;$L15&amp;" / BAY "&amp;TEXT($N15,"00")&amp;" / SHELF "&amp;$O15&amp;" / BIN "&amp;TEXT($P15,"00")</f>
        <v>ZONE A / BAY 01 / SHELF 3 / BIN 06</v>
      </c>
      <c r="S15" s="34" t="s">
        <v>1846</v>
      </c>
      <c r="T15" s="34" t="s">
        <v>1844</v>
      </c>
      <c r="U15" s="27" t="n">
        <v>14</v>
      </c>
      <c r="V15" s="30" t="n">
        <v>46172</v>
      </c>
      <c r="W15" s="34" t="str">
        <f aca="false">IF($H15&gt;0,"Yes - "&amp;$H15&amp;" in stock at Store 0146 (size "&amp;$G15&amp;"). Back room location "&amp;$Q15&amp;" ("&amp;$R15&amp;"), "&amp;$S15&amp;". Back room "&amp;$J15&amp;" / sales floor "&amp;$I15&amp;".","Not currently in stock at Store 0146 (size "&amp;$G15&amp;"). Home location is "&amp;$Q15&amp;" ("&amp;$R15&amp;") when replenished.")</f>
        <v>Yes - 4 in stock at Store 0146 (size 11). Back room location A-01-3-06 (ZONE A / BAY 01 / SHELF 3 / BIN 06), Eye level. Back room 4 / sales floor 0.</v>
      </c>
    </row>
    <row r="16" customFormat="false" ht="15" hidden="false" customHeight="false" outlineLevel="0" collapsed="false">
      <c r="A16" s="34" t="s">
        <v>1823</v>
      </c>
      <c r="B16" s="34" t="s">
        <v>1824</v>
      </c>
      <c r="C16" s="34" t="s">
        <v>1208</v>
      </c>
      <c r="D16" s="34" t="s">
        <v>343</v>
      </c>
      <c r="E16" s="34" t="s">
        <v>1209</v>
      </c>
      <c r="F16" s="34" t="s">
        <v>1211</v>
      </c>
      <c r="G16" s="24" t="s">
        <v>188</v>
      </c>
      <c r="H16" s="27" t="n">
        <f aca="false">IFERROR(INDEX('Inventory Master'!$T$2:$T$525,MATCH($A16,'Inventory Master'!$A$2:$A$525,0)),0)</f>
        <v>4</v>
      </c>
      <c r="I16" s="27" t="n">
        <v>1</v>
      </c>
      <c r="J16" s="27" t="n">
        <f aca="false">MAX(0,$H16-$I16)</f>
        <v>3</v>
      </c>
      <c r="K16" s="34" t="str">
        <f aca="false">IF($H16&gt;0,"In Stock","Out of Stock")</f>
        <v>In Stock</v>
      </c>
      <c r="L16" s="24" t="s">
        <v>1841</v>
      </c>
      <c r="M16" s="34" t="s">
        <v>1842</v>
      </c>
      <c r="N16" s="24" t="n">
        <v>1</v>
      </c>
      <c r="O16" s="24" t="n">
        <v>4</v>
      </c>
      <c r="P16" s="24" t="n">
        <v>1</v>
      </c>
      <c r="Q16" s="24" t="str">
        <f aca="false">$L16&amp;"-"&amp;TEXT($N16,"00")&amp;"-"&amp;$O16&amp;"-"&amp;TEXT($P16,"00")</f>
        <v>A-01-4-01</v>
      </c>
      <c r="R16" s="34" t="str">
        <f aca="false">"ZONE "&amp;$L16&amp;" / BAY "&amp;TEXT($N16,"00")&amp;" / SHELF "&amp;$O16&amp;" / BIN "&amp;TEXT($P16,"00")</f>
        <v>ZONE A / BAY 01 / SHELF 4 / BIN 01</v>
      </c>
      <c r="S16" s="34" t="s">
        <v>1847</v>
      </c>
      <c r="T16" s="34" t="s">
        <v>1844</v>
      </c>
      <c r="U16" s="27" t="n">
        <v>15</v>
      </c>
      <c r="V16" s="30" t="n">
        <v>46150</v>
      </c>
      <c r="W16" s="34" t="str">
        <f aca="false">IF($H16&gt;0,"Yes - "&amp;$H16&amp;" in stock at Store 0146 (size "&amp;$G16&amp;"). Back room location "&amp;$Q16&amp;" ("&amp;$R16&amp;"), "&amp;$S16&amp;". Back room "&amp;$J16&amp;" / sales floor "&amp;$I16&amp;".","Not currently in stock at Store 0146 (size "&amp;$G16&amp;"). Home location is "&amp;$Q16&amp;" ("&amp;$R16&amp;") when replenished.")</f>
        <v>Yes - 4 in stock at Store 0146 (size 8.5). Back room location A-01-4-01 (ZONE A / BAY 01 / SHELF 4 / BIN 01), Overhead - step stool. Back room 3 / sales floor 1.</v>
      </c>
    </row>
    <row r="17" customFormat="false" ht="15" hidden="false" customHeight="false" outlineLevel="0" collapsed="false">
      <c r="A17" s="34" t="s">
        <v>1492</v>
      </c>
      <c r="B17" s="34" t="s">
        <v>1493</v>
      </c>
      <c r="C17" s="34" t="s">
        <v>1208</v>
      </c>
      <c r="D17" s="34" t="s">
        <v>343</v>
      </c>
      <c r="E17" s="34" t="s">
        <v>1209</v>
      </c>
      <c r="F17" s="34" t="s">
        <v>1211</v>
      </c>
      <c r="G17" s="24" t="s">
        <v>164</v>
      </c>
      <c r="H17" s="27" t="n">
        <f aca="false">IFERROR(INDEX('Inventory Master'!$T$2:$T$525,MATCH($A17,'Inventory Master'!$A$2:$A$525,0)),0)</f>
        <v>1</v>
      </c>
      <c r="I17" s="27" t="n">
        <v>0</v>
      </c>
      <c r="J17" s="27" t="n">
        <f aca="false">MAX(0,$H17-$I17)</f>
        <v>1</v>
      </c>
      <c r="K17" s="34" t="str">
        <f aca="false">IF($H17&gt;0,"In Stock","Out of Stock")</f>
        <v>In Stock</v>
      </c>
      <c r="L17" s="24" t="s">
        <v>1841</v>
      </c>
      <c r="M17" s="34" t="s">
        <v>1842</v>
      </c>
      <c r="N17" s="24" t="n">
        <v>1</v>
      </c>
      <c r="O17" s="24" t="n">
        <v>4</v>
      </c>
      <c r="P17" s="24" t="n">
        <v>2</v>
      </c>
      <c r="Q17" s="24" t="str">
        <f aca="false">$L17&amp;"-"&amp;TEXT($N17,"00")&amp;"-"&amp;$O17&amp;"-"&amp;TEXT($P17,"00")</f>
        <v>A-01-4-02</v>
      </c>
      <c r="R17" s="34" t="str">
        <f aca="false">"ZONE "&amp;$L17&amp;" / BAY "&amp;TEXT($N17,"00")&amp;" / SHELF "&amp;$O17&amp;" / BIN "&amp;TEXT($P17,"00")</f>
        <v>ZONE A / BAY 01 / SHELF 4 / BIN 02</v>
      </c>
      <c r="S17" s="34" t="s">
        <v>1847</v>
      </c>
      <c r="T17" s="34" t="s">
        <v>1844</v>
      </c>
      <c r="U17" s="27" t="n">
        <v>16</v>
      </c>
      <c r="V17" s="30" t="n">
        <v>46231</v>
      </c>
      <c r="W17" s="34" t="str">
        <f aca="false">IF($H17&gt;0,"Yes - "&amp;$H17&amp;" in stock at Store 0146 (size "&amp;$G17&amp;"). Back room location "&amp;$Q17&amp;" ("&amp;$R17&amp;"), "&amp;$S17&amp;". Back room "&amp;$J17&amp;" / sales floor "&amp;$I17&amp;".","Not currently in stock at Store 0146 (size "&amp;$G17&amp;"). Home location is "&amp;$Q17&amp;" ("&amp;$R17&amp;") when replenished.")</f>
        <v>Yes - 1 in stock at Store 0146 (size 9). Back room location A-01-4-02 (ZONE A / BAY 01 / SHELF 4 / BIN 02), Overhead - step stool. Back room 1 / sales floor 0.</v>
      </c>
    </row>
    <row r="18" customFormat="false" ht="15" hidden="false" customHeight="false" outlineLevel="0" collapsed="false">
      <c r="A18" s="34" t="s">
        <v>1206</v>
      </c>
      <c r="B18" s="34" t="s">
        <v>1207</v>
      </c>
      <c r="C18" s="34" t="s">
        <v>1208</v>
      </c>
      <c r="D18" s="34" t="s">
        <v>343</v>
      </c>
      <c r="E18" s="34" t="s">
        <v>1209</v>
      </c>
      <c r="F18" s="34" t="s">
        <v>1211</v>
      </c>
      <c r="G18" s="24" t="s">
        <v>177</v>
      </c>
      <c r="H18" s="27" t="n">
        <f aca="false">IFERROR(INDEX('Inventory Master'!$T$2:$T$525,MATCH($A18,'Inventory Master'!$A$2:$A$525,0)),0)</f>
        <v>6</v>
      </c>
      <c r="I18" s="27" t="n">
        <v>1</v>
      </c>
      <c r="J18" s="27" t="n">
        <f aca="false">MAX(0,$H18-$I18)</f>
        <v>5</v>
      </c>
      <c r="K18" s="34" t="str">
        <f aca="false">IF($H18&gt;0,"In Stock","Out of Stock")</f>
        <v>In Stock</v>
      </c>
      <c r="L18" s="24" t="s">
        <v>1841</v>
      </c>
      <c r="M18" s="34" t="s">
        <v>1842</v>
      </c>
      <c r="N18" s="24" t="n">
        <v>1</v>
      </c>
      <c r="O18" s="24" t="n">
        <v>4</v>
      </c>
      <c r="P18" s="24" t="n">
        <v>3</v>
      </c>
      <c r="Q18" s="24" t="str">
        <f aca="false">$L18&amp;"-"&amp;TEXT($N18,"00")&amp;"-"&amp;$O18&amp;"-"&amp;TEXT($P18,"00")</f>
        <v>A-01-4-03</v>
      </c>
      <c r="R18" s="34" t="str">
        <f aca="false">"ZONE "&amp;$L18&amp;" / BAY "&amp;TEXT($N18,"00")&amp;" / SHELF "&amp;$O18&amp;" / BIN "&amp;TEXT($P18,"00")</f>
        <v>ZONE A / BAY 01 / SHELF 4 / BIN 03</v>
      </c>
      <c r="S18" s="34" t="s">
        <v>1847</v>
      </c>
      <c r="T18" s="34" t="s">
        <v>1844</v>
      </c>
      <c r="U18" s="27" t="n">
        <v>17</v>
      </c>
      <c r="V18" s="30" t="n">
        <v>46136</v>
      </c>
      <c r="W18" s="34" t="str">
        <f aca="false">IF($H18&gt;0,"Yes - "&amp;$H18&amp;" in stock at Store 0146 (size "&amp;$G18&amp;"). Back room location "&amp;$Q18&amp;" ("&amp;$R18&amp;"), "&amp;$S18&amp;". Back room "&amp;$J18&amp;" / sales floor "&amp;$I18&amp;".","Not currently in stock at Store 0146 (size "&amp;$G18&amp;"). Home location is "&amp;$Q18&amp;" ("&amp;$R18&amp;") when replenished.")</f>
        <v>Yes - 6 in stock at Store 0146 (size 9.5). Back room location A-01-4-03 (ZONE A / BAY 01 / SHELF 4 / BIN 03), Overhead - step stool. Back room 5 / sales floor 1.</v>
      </c>
    </row>
    <row r="19" customFormat="false" ht="15" hidden="false" customHeight="false" outlineLevel="0" collapsed="false">
      <c r="A19" s="34" t="s">
        <v>1673</v>
      </c>
      <c r="B19" s="34" t="s">
        <v>1674</v>
      </c>
      <c r="C19" s="34" t="s">
        <v>341</v>
      </c>
      <c r="D19" s="34" t="s">
        <v>343</v>
      </c>
      <c r="E19" s="34" t="s">
        <v>344</v>
      </c>
      <c r="F19" s="34" t="s">
        <v>346</v>
      </c>
      <c r="G19" s="24" t="s">
        <v>177</v>
      </c>
      <c r="H19" s="27" t="n">
        <f aca="false">IFERROR(INDEX('Inventory Master'!$T$2:$T$525,MATCH($A19,'Inventory Master'!$A$2:$A$525,0)),0)</f>
        <v>0</v>
      </c>
      <c r="I19" s="27" t="n">
        <v>0</v>
      </c>
      <c r="J19" s="27" t="n">
        <f aca="false">MAX(0,$H19-$I19)</f>
        <v>0</v>
      </c>
      <c r="K19" s="34" t="str">
        <f aca="false">IF($H19&gt;0,"In Stock","Out of Stock")</f>
        <v>Out of Stock</v>
      </c>
      <c r="L19" s="24" t="s">
        <v>1841</v>
      </c>
      <c r="M19" s="34" t="s">
        <v>1842</v>
      </c>
      <c r="N19" s="24" t="n">
        <v>1</v>
      </c>
      <c r="O19" s="24" t="n">
        <v>5</v>
      </c>
      <c r="P19" s="24" t="n">
        <v>1</v>
      </c>
      <c r="Q19" s="24" t="str">
        <f aca="false">$L19&amp;"-"&amp;TEXT($N19,"00")&amp;"-"&amp;$O19&amp;"-"&amp;TEXT($P19,"00")</f>
        <v>A-01-5-01</v>
      </c>
      <c r="R19" s="34" t="str">
        <f aca="false">"ZONE "&amp;$L19&amp;" / BAY "&amp;TEXT($N19,"00")&amp;" / SHELF "&amp;$O19&amp;" / BIN "&amp;TEXT($P19,"00")</f>
        <v>ZONE A / BAY 01 / SHELF 5 / BIN 01</v>
      </c>
      <c r="S19" s="34" t="s">
        <v>1848</v>
      </c>
      <c r="T19" s="34" t="s">
        <v>1844</v>
      </c>
      <c r="U19" s="27" t="n">
        <v>18</v>
      </c>
      <c r="V19" s="30" t="n">
        <v>46140</v>
      </c>
      <c r="W19" s="34" t="str">
        <f aca="false">IF($H19&gt;0,"Yes - "&amp;$H19&amp;" in stock at Store 0146 (size "&amp;$G19&amp;"). Back room location "&amp;$Q19&amp;" ("&amp;$R19&amp;"), "&amp;$S19&amp;". Back room "&amp;$J19&amp;" / sales floor "&amp;$I19&amp;".","Not currently in stock at Store 0146 (size "&amp;$G19&amp;"). Home location is "&amp;$Q19&amp;" ("&amp;$R19&amp;") when replenished.")</f>
        <v>Not currently in stock at Store 0146 (size 9.5). Home location is A-01-5-01 (ZONE A / BAY 01 / SHELF 5 / BIN 01) when replenished.</v>
      </c>
    </row>
    <row r="20" customFormat="false" ht="15" hidden="false" customHeight="false" outlineLevel="0" collapsed="false">
      <c r="A20" s="34" t="s">
        <v>339</v>
      </c>
      <c r="B20" s="34" t="s">
        <v>340</v>
      </c>
      <c r="C20" s="34" t="s">
        <v>341</v>
      </c>
      <c r="D20" s="34" t="s">
        <v>343</v>
      </c>
      <c r="E20" s="34" t="s">
        <v>344</v>
      </c>
      <c r="F20" s="34" t="s">
        <v>346</v>
      </c>
      <c r="G20" s="24" t="s">
        <v>211</v>
      </c>
      <c r="H20" s="27" t="n">
        <f aca="false">IFERROR(INDEX('Inventory Master'!$T$2:$T$525,MATCH($A20,'Inventory Master'!$A$2:$A$525,0)),0)</f>
        <v>3</v>
      </c>
      <c r="I20" s="27" t="n">
        <v>1</v>
      </c>
      <c r="J20" s="27" t="n">
        <f aca="false">MAX(0,$H20-$I20)</f>
        <v>2</v>
      </c>
      <c r="K20" s="34" t="str">
        <f aca="false">IF($H20&gt;0,"In Stock","Out of Stock")</f>
        <v>In Stock</v>
      </c>
      <c r="L20" s="24" t="s">
        <v>1841</v>
      </c>
      <c r="M20" s="34" t="s">
        <v>1842</v>
      </c>
      <c r="N20" s="24" t="n">
        <v>1</v>
      </c>
      <c r="O20" s="24" t="n">
        <v>5</v>
      </c>
      <c r="P20" s="24" t="n">
        <v>2</v>
      </c>
      <c r="Q20" s="24" t="str">
        <f aca="false">$L20&amp;"-"&amp;TEXT($N20,"00")&amp;"-"&amp;$O20&amp;"-"&amp;TEXT($P20,"00")</f>
        <v>A-01-5-02</v>
      </c>
      <c r="R20" s="34" t="str">
        <f aca="false">"ZONE "&amp;$L20&amp;" / BAY "&amp;TEXT($N20,"00")&amp;" / SHELF "&amp;$O20&amp;" / BIN "&amp;TEXT($P20,"00")</f>
        <v>ZONE A / BAY 01 / SHELF 5 / BIN 02</v>
      </c>
      <c r="S20" s="34" t="s">
        <v>1848</v>
      </c>
      <c r="T20" s="34" t="s">
        <v>1844</v>
      </c>
      <c r="U20" s="27" t="n">
        <v>19</v>
      </c>
      <c r="V20" s="30" t="n">
        <v>46215</v>
      </c>
      <c r="W20" s="34" t="str">
        <f aca="false">IF($H20&gt;0,"Yes - "&amp;$H20&amp;" in stock at Store 0146 (size "&amp;$G20&amp;"). Back room location "&amp;$Q20&amp;" ("&amp;$R20&amp;"), "&amp;$S20&amp;". Back room "&amp;$J20&amp;" / sales floor "&amp;$I20&amp;".","Not currently in stock at Store 0146 (size "&amp;$G20&amp;"). Home location is "&amp;$Q20&amp;" ("&amp;$R20&amp;") when replenished.")</f>
        <v>Yes - 3 in stock at Store 0146 (size 10). Back room location A-01-5-02 (ZONE A / BAY 01 / SHELF 5 / BIN 02), Top shelf - ladder required. Back room 2 / sales floor 1.</v>
      </c>
    </row>
    <row r="21" customFormat="false" ht="15" hidden="false" customHeight="false" outlineLevel="0" collapsed="false">
      <c r="A21" s="34" t="s">
        <v>1267</v>
      </c>
      <c r="B21" s="34" t="s">
        <v>1268</v>
      </c>
      <c r="C21" s="34" t="s">
        <v>341</v>
      </c>
      <c r="D21" s="34" t="s">
        <v>343</v>
      </c>
      <c r="E21" s="34" t="s">
        <v>344</v>
      </c>
      <c r="F21" s="34" t="s">
        <v>346</v>
      </c>
      <c r="G21" s="24" t="s">
        <v>327</v>
      </c>
      <c r="H21" s="27" t="n">
        <f aca="false">IFERROR(INDEX('Inventory Master'!$T$2:$T$525,MATCH($A21,'Inventory Master'!$A$2:$A$525,0)),0)</f>
        <v>1</v>
      </c>
      <c r="I21" s="27" t="n">
        <v>1</v>
      </c>
      <c r="J21" s="27" t="n">
        <f aca="false">MAX(0,$H21-$I21)</f>
        <v>0</v>
      </c>
      <c r="K21" s="34" t="str">
        <f aca="false">IF($H21&gt;0,"In Stock","Out of Stock")</f>
        <v>In Stock</v>
      </c>
      <c r="L21" s="24" t="s">
        <v>1841</v>
      </c>
      <c r="M21" s="34" t="s">
        <v>1842</v>
      </c>
      <c r="N21" s="24" t="n">
        <v>1</v>
      </c>
      <c r="O21" s="24" t="n">
        <v>5</v>
      </c>
      <c r="P21" s="24" t="n">
        <v>3</v>
      </c>
      <c r="Q21" s="24" t="str">
        <f aca="false">$L21&amp;"-"&amp;TEXT($N21,"00")&amp;"-"&amp;$O21&amp;"-"&amp;TEXT($P21,"00")</f>
        <v>A-01-5-03</v>
      </c>
      <c r="R21" s="34" t="str">
        <f aca="false">"ZONE "&amp;$L21&amp;" / BAY "&amp;TEXT($N21,"00")&amp;" / SHELF "&amp;$O21&amp;" / BIN "&amp;TEXT($P21,"00")</f>
        <v>ZONE A / BAY 01 / SHELF 5 / BIN 03</v>
      </c>
      <c r="S21" s="34" t="s">
        <v>1848</v>
      </c>
      <c r="T21" s="34" t="s">
        <v>1844</v>
      </c>
      <c r="U21" s="27" t="n">
        <v>20</v>
      </c>
      <c r="V21" s="30" t="n">
        <v>46229</v>
      </c>
      <c r="W21" s="34" t="str">
        <f aca="false">IF($H21&gt;0,"Yes - "&amp;$H21&amp;" in stock at Store 0146 (size "&amp;$G21&amp;"). Back room location "&amp;$Q21&amp;" ("&amp;$R21&amp;"), "&amp;$S21&amp;". Back room "&amp;$J21&amp;" / sales floor "&amp;$I21&amp;".","Not currently in stock at Store 0146 (size "&amp;$G21&amp;"). Home location is "&amp;$Q21&amp;" ("&amp;$R21&amp;") when replenished.")</f>
        <v>Yes - 1 in stock at Store 0146 (size 10.5). Back room location A-01-5-03 (ZONE A / BAY 01 / SHELF 5 / BIN 03), Top shelf - ladder required. Back room 0 / sales floor 1.</v>
      </c>
    </row>
    <row r="22" customFormat="false" ht="15" hidden="false" customHeight="false" outlineLevel="0" collapsed="false">
      <c r="A22" s="34" t="s">
        <v>1442</v>
      </c>
      <c r="B22" s="34" t="s">
        <v>1443</v>
      </c>
      <c r="C22" s="34" t="s">
        <v>404</v>
      </c>
      <c r="D22" s="34" t="s">
        <v>170</v>
      </c>
      <c r="E22" s="34" t="s">
        <v>405</v>
      </c>
      <c r="F22" s="34" t="s">
        <v>407</v>
      </c>
      <c r="G22" s="24" t="s">
        <v>356</v>
      </c>
      <c r="H22" s="27" t="n">
        <f aca="false">IFERROR(INDEX('Inventory Master'!$T$2:$T$525,MATCH($A22,'Inventory Master'!$A$2:$A$525,0)),0)</f>
        <v>4</v>
      </c>
      <c r="I22" s="27" t="n">
        <v>1</v>
      </c>
      <c r="J22" s="27" t="n">
        <f aca="false">MAX(0,$H22-$I22)</f>
        <v>3</v>
      </c>
      <c r="K22" s="34" t="str">
        <f aca="false">IF($H22&gt;0,"In Stock","Out of Stock")</f>
        <v>In Stock</v>
      </c>
      <c r="L22" s="24" t="s">
        <v>1841</v>
      </c>
      <c r="M22" s="34" t="s">
        <v>1842</v>
      </c>
      <c r="N22" s="24" t="n">
        <v>2</v>
      </c>
      <c r="O22" s="24" t="n">
        <v>1</v>
      </c>
      <c r="P22" s="24" t="n">
        <v>1</v>
      </c>
      <c r="Q22" s="24" t="str">
        <f aca="false">$L22&amp;"-"&amp;TEXT($N22,"00")&amp;"-"&amp;$O22&amp;"-"&amp;TEXT($P22,"00")</f>
        <v>A-02-1-01</v>
      </c>
      <c r="R22" s="34" t="str">
        <f aca="false">"ZONE "&amp;$L22&amp;" / BAY "&amp;TEXT($N22,"00")&amp;" / SHELF "&amp;$O22&amp;" / BIN "&amp;TEXT($P22,"00")</f>
        <v>ZONE A / BAY 02 / SHELF 1 / BIN 01</v>
      </c>
      <c r="S22" s="34" t="s">
        <v>1843</v>
      </c>
      <c r="T22" s="34" t="s">
        <v>1844</v>
      </c>
      <c r="U22" s="27" t="n">
        <v>21</v>
      </c>
      <c r="V22" s="30" t="n">
        <v>46163</v>
      </c>
      <c r="W22" s="34" t="str">
        <f aca="false">IF($H22&gt;0,"Yes - "&amp;$H22&amp;" in stock at Store 0146 (size "&amp;$G22&amp;"). Back room location "&amp;$Q22&amp;" ("&amp;$R22&amp;"), "&amp;$S22&amp;". Back room "&amp;$J22&amp;" / sales floor "&amp;$I22&amp;".","Not currently in stock at Store 0146 (size "&amp;$G22&amp;"). Home location is "&amp;$Q22&amp;" ("&amp;$R22&amp;") when replenished.")</f>
        <v>Yes - 4 in stock at Store 0146 (size 8). Back room location A-02-1-01 (ZONE A / BAY 02 / SHELF 1 / BIN 01), Floor level - no reach. Back room 3 / sales floor 1.</v>
      </c>
    </row>
    <row r="23" customFormat="false" ht="15" hidden="false" customHeight="false" outlineLevel="0" collapsed="false">
      <c r="A23" s="34" t="s">
        <v>1494</v>
      </c>
      <c r="B23" s="34" t="s">
        <v>1495</v>
      </c>
      <c r="C23" s="34" t="s">
        <v>404</v>
      </c>
      <c r="D23" s="34" t="s">
        <v>170</v>
      </c>
      <c r="E23" s="34" t="s">
        <v>405</v>
      </c>
      <c r="F23" s="34" t="s">
        <v>407</v>
      </c>
      <c r="G23" s="24" t="s">
        <v>188</v>
      </c>
      <c r="H23" s="27" t="n">
        <f aca="false">IFERROR(INDEX('Inventory Master'!$T$2:$T$525,MATCH($A23,'Inventory Master'!$A$2:$A$525,0)),0)</f>
        <v>0</v>
      </c>
      <c r="I23" s="27" t="n">
        <v>0</v>
      </c>
      <c r="J23" s="27" t="n">
        <f aca="false">MAX(0,$H23-$I23)</f>
        <v>0</v>
      </c>
      <c r="K23" s="34" t="str">
        <f aca="false">IF($H23&gt;0,"In Stock","Out of Stock")</f>
        <v>Out of Stock</v>
      </c>
      <c r="L23" s="24" t="s">
        <v>1841</v>
      </c>
      <c r="M23" s="34" t="s">
        <v>1842</v>
      </c>
      <c r="N23" s="24" t="n">
        <v>2</v>
      </c>
      <c r="O23" s="24" t="n">
        <v>1</v>
      </c>
      <c r="P23" s="24" t="n">
        <v>2</v>
      </c>
      <c r="Q23" s="24" t="str">
        <f aca="false">$L23&amp;"-"&amp;TEXT($N23,"00")&amp;"-"&amp;$O23&amp;"-"&amp;TEXT($P23,"00")</f>
        <v>A-02-1-02</v>
      </c>
      <c r="R23" s="34" t="str">
        <f aca="false">"ZONE "&amp;$L23&amp;" / BAY "&amp;TEXT($N23,"00")&amp;" / SHELF "&amp;$O23&amp;" / BIN "&amp;TEXT($P23,"00")</f>
        <v>ZONE A / BAY 02 / SHELF 1 / BIN 02</v>
      </c>
      <c r="S23" s="34" t="s">
        <v>1843</v>
      </c>
      <c r="T23" s="34" t="s">
        <v>1844</v>
      </c>
      <c r="U23" s="27" t="n">
        <v>22</v>
      </c>
      <c r="V23" s="30" t="n">
        <v>46159</v>
      </c>
      <c r="W23" s="34" t="str">
        <f aca="false">IF($H23&gt;0,"Yes - "&amp;$H23&amp;" in stock at Store 0146 (size "&amp;$G23&amp;"). Back room location "&amp;$Q23&amp;" ("&amp;$R23&amp;"), "&amp;$S23&amp;". Back room "&amp;$J23&amp;" / sales floor "&amp;$I23&amp;".","Not currently in stock at Store 0146 (size "&amp;$G23&amp;"). Home location is "&amp;$Q23&amp;" ("&amp;$R23&amp;") when replenished.")</f>
        <v>Not currently in stock at Store 0146 (size 8.5). Home location is A-02-1-02 (ZONE A / BAY 02 / SHELF 1 / BIN 02) when replenished.</v>
      </c>
    </row>
    <row r="24" customFormat="false" ht="15" hidden="false" customHeight="false" outlineLevel="0" collapsed="false">
      <c r="A24" s="34" t="s">
        <v>1353</v>
      </c>
      <c r="B24" s="34" t="s">
        <v>1354</v>
      </c>
      <c r="C24" s="34" t="s">
        <v>404</v>
      </c>
      <c r="D24" s="34" t="s">
        <v>170</v>
      </c>
      <c r="E24" s="34" t="s">
        <v>405</v>
      </c>
      <c r="F24" s="34" t="s">
        <v>407</v>
      </c>
      <c r="G24" s="24" t="s">
        <v>164</v>
      </c>
      <c r="H24" s="27" t="n">
        <f aca="false">IFERROR(INDEX('Inventory Master'!$T$2:$T$525,MATCH($A24,'Inventory Master'!$A$2:$A$525,0)),0)</f>
        <v>0</v>
      </c>
      <c r="I24" s="27" t="n">
        <v>0</v>
      </c>
      <c r="J24" s="27" t="n">
        <f aca="false">MAX(0,$H24-$I24)</f>
        <v>0</v>
      </c>
      <c r="K24" s="34" t="str">
        <f aca="false">IF($H24&gt;0,"In Stock","Out of Stock")</f>
        <v>Out of Stock</v>
      </c>
      <c r="L24" s="24" t="s">
        <v>1841</v>
      </c>
      <c r="M24" s="34" t="s">
        <v>1842</v>
      </c>
      <c r="N24" s="24" t="n">
        <v>2</v>
      </c>
      <c r="O24" s="24" t="n">
        <v>1</v>
      </c>
      <c r="P24" s="24" t="n">
        <v>3</v>
      </c>
      <c r="Q24" s="24" t="str">
        <f aca="false">$L24&amp;"-"&amp;TEXT($N24,"00")&amp;"-"&amp;$O24&amp;"-"&amp;TEXT($P24,"00")</f>
        <v>A-02-1-03</v>
      </c>
      <c r="R24" s="34" t="str">
        <f aca="false">"ZONE "&amp;$L24&amp;" / BAY "&amp;TEXT($N24,"00")&amp;" / SHELF "&amp;$O24&amp;" / BIN "&amp;TEXT($P24,"00")</f>
        <v>ZONE A / BAY 02 / SHELF 1 / BIN 03</v>
      </c>
      <c r="S24" s="34" t="s">
        <v>1843</v>
      </c>
      <c r="T24" s="34" t="s">
        <v>1844</v>
      </c>
      <c r="U24" s="27" t="n">
        <v>23</v>
      </c>
      <c r="V24" s="30" t="n">
        <v>46230</v>
      </c>
      <c r="W24" s="34" t="str">
        <f aca="false">IF($H24&gt;0,"Yes - "&amp;$H24&amp;" in stock at Store 0146 (size "&amp;$G24&amp;"). Back room location "&amp;$Q24&amp;" ("&amp;$R24&amp;"), "&amp;$S24&amp;". Back room "&amp;$J24&amp;" / sales floor "&amp;$I24&amp;".","Not currently in stock at Store 0146 (size "&amp;$G24&amp;"). Home location is "&amp;$Q24&amp;" ("&amp;$R24&amp;") when replenished.")</f>
        <v>Not currently in stock at Store 0146 (size 9). Home location is A-02-1-03 (ZONE A / BAY 02 / SHELF 1 / BIN 03) when replenished.</v>
      </c>
    </row>
    <row r="25" customFormat="false" ht="15" hidden="false" customHeight="false" outlineLevel="0" collapsed="false">
      <c r="A25" s="34" t="s">
        <v>402</v>
      </c>
      <c r="B25" s="34" t="s">
        <v>403</v>
      </c>
      <c r="C25" s="34" t="s">
        <v>404</v>
      </c>
      <c r="D25" s="34" t="s">
        <v>170</v>
      </c>
      <c r="E25" s="34" t="s">
        <v>405</v>
      </c>
      <c r="F25" s="34" t="s">
        <v>407</v>
      </c>
      <c r="G25" s="24" t="s">
        <v>177</v>
      </c>
      <c r="H25" s="27" t="n">
        <f aca="false">IFERROR(INDEX('Inventory Master'!$T$2:$T$525,MATCH($A25,'Inventory Master'!$A$2:$A$525,0)),0)</f>
        <v>1</v>
      </c>
      <c r="I25" s="27" t="n">
        <v>1</v>
      </c>
      <c r="J25" s="27" t="n">
        <f aca="false">MAX(0,$H25-$I25)</f>
        <v>0</v>
      </c>
      <c r="K25" s="34" t="str">
        <f aca="false">IF($H25&gt;0,"In Stock","Out of Stock")</f>
        <v>In Stock</v>
      </c>
      <c r="L25" s="24" t="s">
        <v>1841</v>
      </c>
      <c r="M25" s="34" t="s">
        <v>1842</v>
      </c>
      <c r="N25" s="24" t="n">
        <v>2</v>
      </c>
      <c r="O25" s="24" t="n">
        <v>1</v>
      </c>
      <c r="P25" s="24" t="n">
        <v>4</v>
      </c>
      <c r="Q25" s="24" t="str">
        <f aca="false">$L25&amp;"-"&amp;TEXT($N25,"00")&amp;"-"&amp;$O25&amp;"-"&amp;TEXT($P25,"00")</f>
        <v>A-02-1-04</v>
      </c>
      <c r="R25" s="34" t="str">
        <f aca="false">"ZONE "&amp;$L25&amp;" / BAY "&amp;TEXT($N25,"00")&amp;" / SHELF "&amp;$O25&amp;" / BIN "&amp;TEXT($P25,"00")</f>
        <v>ZONE A / BAY 02 / SHELF 1 / BIN 04</v>
      </c>
      <c r="S25" s="34" t="s">
        <v>1843</v>
      </c>
      <c r="T25" s="34" t="s">
        <v>1844</v>
      </c>
      <c r="U25" s="27" t="n">
        <v>24</v>
      </c>
      <c r="V25" s="30" t="n">
        <v>46165</v>
      </c>
      <c r="W25" s="34" t="str">
        <f aca="false">IF($H25&gt;0,"Yes - "&amp;$H25&amp;" in stock at Store 0146 (size "&amp;$G25&amp;"). Back room location "&amp;$Q25&amp;" ("&amp;$R25&amp;"), "&amp;$S25&amp;". Back room "&amp;$J25&amp;" / sales floor "&amp;$I25&amp;".","Not currently in stock at Store 0146 (size "&amp;$G25&amp;"). Home location is "&amp;$Q25&amp;" ("&amp;$R25&amp;") when replenished.")</f>
        <v>Yes - 1 in stock at Store 0146 (size 9.5). Back room location A-02-1-04 (ZONE A / BAY 02 / SHELF 1 / BIN 04), Floor level - no reach. Back room 0 / sales floor 1.</v>
      </c>
    </row>
    <row r="26" customFormat="false" ht="15" hidden="false" customHeight="false" outlineLevel="0" collapsed="false">
      <c r="A26" s="34" t="s">
        <v>408</v>
      </c>
      <c r="B26" s="34" t="s">
        <v>409</v>
      </c>
      <c r="C26" s="34" t="s">
        <v>134</v>
      </c>
      <c r="D26" s="34" t="s">
        <v>136</v>
      </c>
      <c r="E26" s="34" t="s">
        <v>137</v>
      </c>
      <c r="F26" s="34" t="s">
        <v>139</v>
      </c>
      <c r="G26" s="24" t="s">
        <v>327</v>
      </c>
      <c r="H26" s="27" t="n">
        <f aca="false">IFERROR(INDEX('Inventory Master'!$T$2:$T$525,MATCH($A26,'Inventory Master'!$A$2:$A$525,0)),0)</f>
        <v>5</v>
      </c>
      <c r="I26" s="27" t="n">
        <v>1</v>
      </c>
      <c r="J26" s="27" t="n">
        <f aca="false">MAX(0,$H26-$I26)</f>
        <v>4</v>
      </c>
      <c r="K26" s="34" t="str">
        <f aca="false">IF($H26&gt;0,"In Stock","Out of Stock")</f>
        <v>In Stock</v>
      </c>
      <c r="L26" s="24" t="s">
        <v>1841</v>
      </c>
      <c r="M26" s="34" t="s">
        <v>1842</v>
      </c>
      <c r="N26" s="24" t="n">
        <v>2</v>
      </c>
      <c r="O26" s="24" t="n">
        <v>2</v>
      </c>
      <c r="P26" s="24" t="n">
        <v>1</v>
      </c>
      <c r="Q26" s="24" t="str">
        <f aca="false">$L26&amp;"-"&amp;TEXT($N26,"00")&amp;"-"&amp;$O26&amp;"-"&amp;TEXT($P26,"00")</f>
        <v>A-02-2-01</v>
      </c>
      <c r="R26" s="34" t="str">
        <f aca="false">"ZONE "&amp;$L26&amp;" / BAY "&amp;TEXT($N26,"00")&amp;" / SHELF "&amp;$O26&amp;" / BIN "&amp;TEXT($P26,"00")</f>
        <v>ZONE A / BAY 02 / SHELF 2 / BIN 01</v>
      </c>
      <c r="S26" s="34" t="s">
        <v>1845</v>
      </c>
      <c r="T26" s="34" t="s">
        <v>1844</v>
      </c>
      <c r="U26" s="27" t="n">
        <v>25</v>
      </c>
      <c r="V26" s="30" t="n">
        <v>46141</v>
      </c>
      <c r="W26" s="34" t="str">
        <f aca="false">IF($H26&gt;0,"Yes - "&amp;$H26&amp;" in stock at Store 0146 (size "&amp;$G26&amp;"). Back room location "&amp;$Q26&amp;" ("&amp;$R26&amp;"), "&amp;$S26&amp;". Back room "&amp;$J26&amp;" / sales floor "&amp;$I26&amp;".","Not currently in stock at Store 0146 (size "&amp;$G26&amp;"). Home location is "&amp;$Q26&amp;" ("&amp;$R26&amp;") when replenished.")</f>
        <v>Yes - 5 in stock at Store 0146 (size 10.5). Back room location A-02-2-01 (ZONE A / BAY 02 / SHELF 2 / BIN 01), Waist height. Back room 4 / sales floor 1.</v>
      </c>
    </row>
    <row r="27" customFormat="false" ht="15" hidden="false" customHeight="false" outlineLevel="0" collapsed="false">
      <c r="A27" s="34" t="s">
        <v>1259</v>
      </c>
      <c r="B27" s="34" t="s">
        <v>1260</v>
      </c>
      <c r="C27" s="34" t="s">
        <v>134</v>
      </c>
      <c r="D27" s="34" t="s">
        <v>136</v>
      </c>
      <c r="E27" s="34" t="s">
        <v>137</v>
      </c>
      <c r="F27" s="34" t="s">
        <v>139</v>
      </c>
      <c r="G27" s="24" t="s">
        <v>258</v>
      </c>
      <c r="H27" s="27" t="n">
        <f aca="false">IFERROR(INDEX('Inventory Master'!$T$2:$T$525,MATCH($A27,'Inventory Master'!$A$2:$A$525,0)),0)</f>
        <v>0</v>
      </c>
      <c r="I27" s="27" t="n">
        <v>0</v>
      </c>
      <c r="J27" s="27" t="n">
        <f aca="false">MAX(0,$H27-$I27)</f>
        <v>0</v>
      </c>
      <c r="K27" s="34" t="str">
        <f aca="false">IF($H27&gt;0,"In Stock","Out of Stock")</f>
        <v>Out of Stock</v>
      </c>
      <c r="L27" s="24" t="s">
        <v>1841</v>
      </c>
      <c r="M27" s="34" t="s">
        <v>1842</v>
      </c>
      <c r="N27" s="24" t="n">
        <v>2</v>
      </c>
      <c r="O27" s="24" t="n">
        <v>2</v>
      </c>
      <c r="P27" s="24" t="n">
        <v>2</v>
      </c>
      <c r="Q27" s="24" t="str">
        <f aca="false">$L27&amp;"-"&amp;TEXT($N27,"00")&amp;"-"&amp;$O27&amp;"-"&amp;TEXT($P27,"00")</f>
        <v>A-02-2-02</v>
      </c>
      <c r="R27" s="34" t="str">
        <f aca="false">"ZONE "&amp;$L27&amp;" / BAY "&amp;TEXT($N27,"00")&amp;" / SHELF "&amp;$O27&amp;" / BIN "&amp;TEXT($P27,"00")</f>
        <v>ZONE A / BAY 02 / SHELF 2 / BIN 02</v>
      </c>
      <c r="S27" s="34" t="s">
        <v>1845</v>
      </c>
      <c r="T27" s="34" t="s">
        <v>1844</v>
      </c>
      <c r="U27" s="27" t="n">
        <v>26</v>
      </c>
      <c r="V27" s="30" t="n">
        <v>46170</v>
      </c>
      <c r="W27" s="34" t="str">
        <f aca="false">IF($H27&gt;0,"Yes - "&amp;$H27&amp;" in stock at Store 0146 (size "&amp;$G27&amp;"). Back room location "&amp;$Q27&amp;" ("&amp;$R27&amp;"), "&amp;$S27&amp;". Back room "&amp;$J27&amp;" / sales floor "&amp;$I27&amp;".","Not currently in stock at Store 0146 (size "&amp;$G27&amp;"). Home location is "&amp;$Q27&amp;" ("&amp;$R27&amp;") when replenished.")</f>
        <v>Not currently in stock at Store 0146 (size 11). Home location is A-02-2-02 (ZONE A / BAY 02 / SHELF 2 / BIN 02) when replenished.</v>
      </c>
    </row>
    <row r="28" customFormat="false" ht="15" hidden="false" customHeight="false" outlineLevel="0" collapsed="false">
      <c r="A28" s="34" t="s">
        <v>132</v>
      </c>
      <c r="B28" s="34" t="s">
        <v>133</v>
      </c>
      <c r="C28" s="34" t="s">
        <v>134</v>
      </c>
      <c r="D28" s="34" t="s">
        <v>136</v>
      </c>
      <c r="E28" s="34" t="s">
        <v>137</v>
      </c>
      <c r="F28" s="34" t="s">
        <v>139</v>
      </c>
      <c r="G28" s="24" t="s">
        <v>141</v>
      </c>
      <c r="H28" s="27" t="n">
        <f aca="false">IFERROR(INDEX('Inventory Master'!$T$2:$T$525,MATCH($A28,'Inventory Master'!$A$2:$A$525,0)),0)</f>
        <v>2</v>
      </c>
      <c r="I28" s="27" t="n">
        <v>1</v>
      </c>
      <c r="J28" s="27" t="n">
        <f aca="false">MAX(0,$H28-$I28)</f>
        <v>1</v>
      </c>
      <c r="K28" s="34" t="str">
        <f aca="false">IF($H28&gt;0,"In Stock","Out of Stock")</f>
        <v>In Stock</v>
      </c>
      <c r="L28" s="24" t="s">
        <v>1841</v>
      </c>
      <c r="M28" s="34" t="s">
        <v>1842</v>
      </c>
      <c r="N28" s="24" t="n">
        <v>2</v>
      </c>
      <c r="O28" s="24" t="n">
        <v>2</v>
      </c>
      <c r="P28" s="24" t="n">
        <v>3</v>
      </c>
      <c r="Q28" s="24" t="str">
        <f aca="false">$L28&amp;"-"&amp;TEXT($N28,"00")&amp;"-"&amp;$O28&amp;"-"&amp;TEXT($P28,"00")</f>
        <v>A-02-2-03</v>
      </c>
      <c r="R28" s="34" t="str">
        <f aca="false">"ZONE "&amp;$L28&amp;" / BAY "&amp;TEXT($N28,"00")&amp;" / SHELF "&amp;$O28&amp;" / BIN "&amp;TEXT($P28,"00")</f>
        <v>ZONE A / BAY 02 / SHELF 2 / BIN 03</v>
      </c>
      <c r="S28" s="34" t="s">
        <v>1845</v>
      </c>
      <c r="T28" s="34" t="s">
        <v>1844</v>
      </c>
      <c r="U28" s="27" t="n">
        <v>27</v>
      </c>
      <c r="V28" s="30" t="n">
        <v>46190</v>
      </c>
      <c r="W28" s="34" t="str">
        <f aca="false">IF($H28&gt;0,"Yes - "&amp;$H28&amp;" in stock at Store 0146 (size "&amp;$G28&amp;"). Back room location "&amp;$Q28&amp;" ("&amp;$R28&amp;"), "&amp;$S28&amp;". Back room "&amp;$J28&amp;" / sales floor "&amp;$I28&amp;".","Not currently in stock at Store 0146 (size "&amp;$G28&amp;"). Home location is "&amp;$Q28&amp;" ("&amp;$R28&amp;") when replenished.")</f>
        <v>Yes - 2 in stock at Store 0146 (size 11.5). Back room location A-02-2-03 (ZONE A / BAY 02 / SHELF 2 / BIN 03), Waist height. Back room 1 / sales floor 1.</v>
      </c>
    </row>
    <row r="29" customFormat="false" ht="15" hidden="false" customHeight="false" outlineLevel="0" collapsed="false">
      <c r="A29" s="34" t="s">
        <v>490</v>
      </c>
      <c r="B29" s="34" t="s">
        <v>491</v>
      </c>
      <c r="C29" s="34" t="s">
        <v>134</v>
      </c>
      <c r="D29" s="34" t="s">
        <v>136</v>
      </c>
      <c r="E29" s="34" t="s">
        <v>137</v>
      </c>
      <c r="F29" s="34" t="s">
        <v>139</v>
      </c>
      <c r="G29" s="24" t="s">
        <v>130</v>
      </c>
      <c r="H29" s="27" t="n">
        <f aca="false">IFERROR(INDEX('Inventory Master'!$T$2:$T$525,MATCH($A29,'Inventory Master'!$A$2:$A$525,0)),0)</f>
        <v>2</v>
      </c>
      <c r="I29" s="27" t="n">
        <v>1</v>
      </c>
      <c r="J29" s="27" t="n">
        <f aca="false">MAX(0,$H29-$I29)</f>
        <v>1</v>
      </c>
      <c r="K29" s="34" t="str">
        <f aca="false">IF($H29&gt;0,"In Stock","Out of Stock")</f>
        <v>In Stock</v>
      </c>
      <c r="L29" s="24" t="s">
        <v>1841</v>
      </c>
      <c r="M29" s="34" t="s">
        <v>1842</v>
      </c>
      <c r="N29" s="24" t="n">
        <v>2</v>
      </c>
      <c r="O29" s="24" t="n">
        <v>2</v>
      </c>
      <c r="P29" s="24" t="n">
        <v>4</v>
      </c>
      <c r="Q29" s="24" t="str">
        <f aca="false">$L29&amp;"-"&amp;TEXT($N29,"00")&amp;"-"&amp;$O29&amp;"-"&amp;TEXT($P29,"00")</f>
        <v>A-02-2-04</v>
      </c>
      <c r="R29" s="34" t="str">
        <f aca="false">"ZONE "&amp;$L29&amp;" / BAY "&amp;TEXT($N29,"00")&amp;" / SHELF "&amp;$O29&amp;" / BIN "&amp;TEXT($P29,"00")</f>
        <v>ZONE A / BAY 02 / SHELF 2 / BIN 04</v>
      </c>
      <c r="S29" s="34" t="s">
        <v>1845</v>
      </c>
      <c r="T29" s="34" t="s">
        <v>1844</v>
      </c>
      <c r="U29" s="27" t="n">
        <v>28</v>
      </c>
      <c r="V29" s="30" t="n">
        <v>46189</v>
      </c>
      <c r="W29" s="34" t="str">
        <f aca="false">IF($H29&gt;0,"Yes - "&amp;$H29&amp;" in stock at Store 0146 (size "&amp;$G29&amp;"). Back room location "&amp;$Q29&amp;" ("&amp;$R29&amp;"), "&amp;$S29&amp;". Back room "&amp;$J29&amp;" / sales floor "&amp;$I29&amp;".","Not currently in stock at Store 0146 (size "&amp;$G29&amp;"). Home location is "&amp;$Q29&amp;" ("&amp;$R29&amp;") when replenished.")</f>
        <v>Yes - 2 in stock at Store 0146 (size 12). Back room location A-02-2-04 (ZONE A / BAY 02 / SHELF 2 / BIN 04), Waist height. Back room 1 / sales floor 1.</v>
      </c>
    </row>
    <row r="30" customFormat="false" ht="15" hidden="false" customHeight="false" outlineLevel="0" collapsed="false">
      <c r="A30" s="34" t="s">
        <v>1715</v>
      </c>
      <c r="B30" s="34" t="s">
        <v>1716</v>
      </c>
      <c r="C30" s="34" t="s">
        <v>383</v>
      </c>
      <c r="D30" s="34" t="s">
        <v>136</v>
      </c>
      <c r="E30" s="34" t="s">
        <v>384</v>
      </c>
      <c r="F30" s="34" t="s">
        <v>386</v>
      </c>
      <c r="G30" s="24" t="s">
        <v>177</v>
      </c>
      <c r="H30" s="27" t="n">
        <f aca="false">IFERROR(INDEX('Inventory Master'!$T$2:$T$525,MATCH($A30,'Inventory Master'!$A$2:$A$525,0)),0)</f>
        <v>3</v>
      </c>
      <c r="I30" s="27" t="n">
        <v>2</v>
      </c>
      <c r="J30" s="27" t="n">
        <f aca="false">MAX(0,$H30-$I30)</f>
        <v>1</v>
      </c>
      <c r="K30" s="34" t="str">
        <f aca="false">IF($H30&gt;0,"In Stock","Out of Stock")</f>
        <v>In Stock</v>
      </c>
      <c r="L30" s="24" t="s">
        <v>1841</v>
      </c>
      <c r="M30" s="34" t="s">
        <v>1842</v>
      </c>
      <c r="N30" s="24" t="n">
        <v>2</v>
      </c>
      <c r="O30" s="24" t="n">
        <v>3</v>
      </c>
      <c r="P30" s="24" t="n">
        <v>1</v>
      </c>
      <c r="Q30" s="24" t="str">
        <f aca="false">$L30&amp;"-"&amp;TEXT($N30,"00")&amp;"-"&amp;$O30&amp;"-"&amp;TEXT($P30,"00")</f>
        <v>A-02-3-01</v>
      </c>
      <c r="R30" s="34" t="str">
        <f aca="false">"ZONE "&amp;$L30&amp;" / BAY "&amp;TEXT($N30,"00")&amp;" / SHELF "&amp;$O30&amp;" / BIN "&amp;TEXT($P30,"00")</f>
        <v>ZONE A / BAY 02 / SHELF 3 / BIN 01</v>
      </c>
      <c r="S30" s="34" t="s">
        <v>1846</v>
      </c>
      <c r="T30" s="34" t="s">
        <v>1844</v>
      </c>
      <c r="U30" s="27" t="n">
        <v>29</v>
      </c>
      <c r="V30" s="30" t="n">
        <v>46148</v>
      </c>
      <c r="W30" s="34" t="str">
        <f aca="false">IF($H30&gt;0,"Yes - "&amp;$H30&amp;" in stock at Store 0146 (size "&amp;$G30&amp;"). Back room location "&amp;$Q30&amp;" ("&amp;$R30&amp;"), "&amp;$S30&amp;". Back room "&amp;$J30&amp;" / sales floor "&amp;$I30&amp;".","Not currently in stock at Store 0146 (size "&amp;$G30&amp;"). Home location is "&amp;$Q30&amp;" ("&amp;$R30&amp;") when replenished.")</f>
        <v>Yes - 3 in stock at Store 0146 (size 9.5). Back room location A-02-3-01 (ZONE A / BAY 02 / SHELF 3 / BIN 01), Eye level. Back room 1 / sales floor 2.</v>
      </c>
    </row>
    <row r="31" customFormat="false" ht="15" hidden="false" customHeight="false" outlineLevel="0" collapsed="false">
      <c r="A31" s="34" t="s">
        <v>1198</v>
      </c>
      <c r="B31" s="34" t="s">
        <v>1199</v>
      </c>
      <c r="C31" s="34" t="s">
        <v>383</v>
      </c>
      <c r="D31" s="34" t="s">
        <v>136</v>
      </c>
      <c r="E31" s="34" t="s">
        <v>384</v>
      </c>
      <c r="F31" s="34" t="s">
        <v>386</v>
      </c>
      <c r="G31" s="24" t="s">
        <v>211</v>
      </c>
      <c r="H31" s="27" t="n">
        <f aca="false">IFERROR(INDEX('Inventory Master'!$T$2:$T$525,MATCH($A31,'Inventory Master'!$A$2:$A$525,0)),0)</f>
        <v>3</v>
      </c>
      <c r="I31" s="27" t="n">
        <v>1</v>
      </c>
      <c r="J31" s="27" t="n">
        <f aca="false">MAX(0,$H31-$I31)</f>
        <v>2</v>
      </c>
      <c r="K31" s="34" t="str">
        <f aca="false">IF($H31&gt;0,"In Stock","Out of Stock")</f>
        <v>In Stock</v>
      </c>
      <c r="L31" s="24" t="s">
        <v>1841</v>
      </c>
      <c r="M31" s="34" t="s">
        <v>1842</v>
      </c>
      <c r="N31" s="24" t="n">
        <v>2</v>
      </c>
      <c r="O31" s="24" t="n">
        <v>3</v>
      </c>
      <c r="P31" s="24" t="n">
        <v>2</v>
      </c>
      <c r="Q31" s="24" t="str">
        <f aca="false">$L31&amp;"-"&amp;TEXT($N31,"00")&amp;"-"&amp;$O31&amp;"-"&amp;TEXT($P31,"00")</f>
        <v>A-02-3-02</v>
      </c>
      <c r="R31" s="34" t="str">
        <f aca="false">"ZONE "&amp;$L31&amp;" / BAY "&amp;TEXT($N31,"00")&amp;" / SHELF "&amp;$O31&amp;" / BIN "&amp;TEXT($P31,"00")</f>
        <v>ZONE A / BAY 02 / SHELF 3 / BIN 02</v>
      </c>
      <c r="S31" s="34" t="s">
        <v>1846</v>
      </c>
      <c r="T31" s="34" t="s">
        <v>1844</v>
      </c>
      <c r="U31" s="27" t="n">
        <v>30</v>
      </c>
      <c r="V31" s="30" t="n">
        <v>46203</v>
      </c>
      <c r="W31" s="34" t="str">
        <f aca="false">IF($H31&gt;0,"Yes - "&amp;$H31&amp;" in stock at Store 0146 (size "&amp;$G31&amp;"). Back room location "&amp;$Q31&amp;" ("&amp;$R31&amp;"), "&amp;$S31&amp;". Back room "&amp;$J31&amp;" / sales floor "&amp;$I31&amp;".","Not currently in stock at Store 0146 (size "&amp;$G31&amp;"). Home location is "&amp;$Q31&amp;" ("&amp;$R31&amp;") when replenished.")</f>
        <v>Yes - 3 in stock at Store 0146 (size 10). Back room location A-02-3-02 (ZONE A / BAY 02 / SHELF 3 / BIN 02), Eye level. Back room 2 / sales floor 1.</v>
      </c>
    </row>
    <row r="32" customFormat="false" ht="15" hidden="false" customHeight="false" outlineLevel="0" collapsed="false">
      <c r="A32" s="34" t="s">
        <v>1298</v>
      </c>
      <c r="B32" s="34" t="s">
        <v>1299</v>
      </c>
      <c r="C32" s="34" t="s">
        <v>383</v>
      </c>
      <c r="D32" s="34" t="s">
        <v>136</v>
      </c>
      <c r="E32" s="34" t="s">
        <v>384</v>
      </c>
      <c r="F32" s="34" t="s">
        <v>386</v>
      </c>
      <c r="G32" s="24" t="s">
        <v>327</v>
      </c>
      <c r="H32" s="27" t="n">
        <f aca="false">IFERROR(INDEX('Inventory Master'!$T$2:$T$525,MATCH($A32,'Inventory Master'!$A$2:$A$525,0)),0)</f>
        <v>5</v>
      </c>
      <c r="I32" s="27" t="n">
        <v>1</v>
      </c>
      <c r="J32" s="27" t="n">
        <f aca="false">MAX(0,$H32-$I32)</f>
        <v>4</v>
      </c>
      <c r="K32" s="34" t="str">
        <f aca="false">IF($H32&gt;0,"In Stock","Out of Stock")</f>
        <v>In Stock</v>
      </c>
      <c r="L32" s="24" t="s">
        <v>1841</v>
      </c>
      <c r="M32" s="34" t="s">
        <v>1842</v>
      </c>
      <c r="N32" s="24" t="n">
        <v>2</v>
      </c>
      <c r="O32" s="24" t="n">
        <v>3</v>
      </c>
      <c r="P32" s="24" t="n">
        <v>3</v>
      </c>
      <c r="Q32" s="24" t="str">
        <f aca="false">$L32&amp;"-"&amp;TEXT($N32,"00")&amp;"-"&amp;$O32&amp;"-"&amp;TEXT($P32,"00")</f>
        <v>A-02-3-03</v>
      </c>
      <c r="R32" s="34" t="str">
        <f aca="false">"ZONE "&amp;$L32&amp;" / BAY "&amp;TEXT($N32,"00")&amp;" / SHELF "&amp;$O32&amp;" / BIN "&amp;TEXT($P32,"00")</f>
        <v>ZONE A / BAY 02 / SHELF 3 / BIN 03</v>
      </c>
      <c r="S32" s="34" t="s">
        <v>1846</v>
      </c>
      <c r="T32" s="34" t="s">
        <v>1844</v>
      </c>
      <c r="U32" s="27" t="n">
        <v>31</v>
      </c>
      <c r="V32" s="30" t="n">
        <v>46165</v>
      </c>
      <c r="W32" s="34" t="str">
        <f aca="false">IF($H32&gt;0,"Yes - "&amp;$H32&amp;" in stock at Store 0146 (size "&amp;$G32&amp;"). Back room location "&amp;$Q32&amp;" ("&amp;$R32&amp;"), "&amp;$S32&amp;". Back room "&amp;$J32&amp;" / sales floor "&amp;$I32&amp;".","Not currently in stock at Store 0146 (size "&amp;$G32&amp;"). Home location is "&amp;$Q32&amp;" ("&amp;$R32&amp;") when replenished.")</f>
        <v>Yes - 5 in stock at Store 0146 (size 10.5). Back room location A-02-3-03 (ZONE A / BAY 02 / SHELF 3 / BIN 03), Eye level. Back room 4 / sales floor 1.</v>
      </c>
    </row>
    <row r="33" customFormat="false" ht="15" hidden="false" customHeight="false" outlineLevel="0" collapsed="false">
      <c r="A33" s="34" t="s">
        <v>1685</v>
      </c>
      <c r="B33" s="34" t="s">
        <v>1686</v>
      </c>
      <c r="C33" s="34" t="s">
        <v>383</v>
      </c>
      <c r="D33" s="34" t="s">
        <v>136</v>
      </c>
      <c r="E33" s="34" t="s">
        <v>384</v>
      </c>
      <c r="F33" s="34" t="s">
        <v>386</v>
      </c>
      <c r="G33" s="24" t="s">
        <v>258</v>
      </c>
      <c r="H33" s="27" t="n">
        <f aca="false">IFERROR(INDEX('Inventory Master'!$T$2:$T$525,MATCH($A33,'Inventory Master'!$A$2:$A$525,0)),0)</f>
        <v>7</v>
      </c>
      <c r="I33" s="27" t="n">
        <v>0</v>
      </c>
      <c r="J33" s="27" t="n">
        <f aca="false">MAX(0,$H33-$I33)</f>
        <v>7</v>
      </c>
      <c r="K33" s="34" t="str">
        <f aca="false">IF($H33&gt;0,"In Stock","Out of Stock")</f>
        <v>In Stock</v>
      </c>
      <c r="L33" s="24" t="s">
        <v>1841</v>
      </c>
      <c r="M33" s="34" t="s">
        <v>1842</v>
      </c>
      <c r="N33" s="24" t="n">
        <v>2</v>
      </c>
      <c r="O33" s="24" t="n">
        <v>3</v>
      </c>
      <c r="P33" s="24" t="n">
        <v>4</v>
      </c>
      <c r="Q33" s="24" t="str">
        <f aca="false">$L33&amp;"-"&amp;TEXT($N33,"00")&amp;"-"&amp;$O33&amp;"-"&amp;TEXT($P33,"00")</f>
        <v>A-02-3-04</v>
      </c>
      <c r="R33" s="34" t="str">
        <f aca="false">"ZONE "&amp;$L33&amp;" / BAY "&amp;TEXT($N33,"00")&amp;" / SHELF "&amp;$O33&amp;" / BIN "&amp;TEXT($P33,"00")</f>
        <v>ZONE A / BAY 02 / SHELF 3 / BIN 04</v>
      </c>
      <c r="S33" s="34" t="s">
        <v>1846</v>
      </c>
      <c r="T33" s="34" t="s">
        <v>1849</v>
      </c>
      <c r="U33" s="27" t="n">
        <v>32</v>
      </c>
      <c r="V33" s="30" t="n">
        <v>46148</v>
      </c>
      <c r="W33" s="34" t="str">
        <f aca="false">IF($H33&gt;0,"Yes - "&amp;$H33&amp;" in stock at Store 0146 (size "&amp;$G33&amp;"). Back room location "&amp;$Q33&amp;" ("&amp;$R33&amp;"), "&amp;$S33&amp;". Back room "&amp;$J33&amp;" / sales floor "&amp;$I33&amp;".","Not currently in stock at Store 0146 (size "&amp;$G33&amp;"). Home location is "&amp;$Q33&amp;" ("&amp;$R33&amp;") when replenished.")</f>
        <v>Yes - 7 in stock at Store 0146 (size 11). Back room location A-02-3-04 (ZONE A / BAY 02 / SHELF 3 / BIN 04), Eye level. Back room 7 / sales floor 0.</v>
      </c>
    </row>
    <row r="34" customFormat="false" ht="15" hidden="false" customHeight="false" outlineLevel="0" collapsed="false">
      <c r="A34" s="34" t="s">
        <v>1398</v>
      </c>
      <c r="B34" s="34" t="s">
        <v>1399</v>
      </c>
      <c r="C34" s="34" t="s">
        <v>383</v>
      </c>
      <c r="D34" s="34" t="s">
        <v>136</v>
      </c>
      <c r="E34" s="34" t="s">
        <v>384</v>
      </c>
      <c r="F34" s="34" t="s">
        <v>386</v>
      </c>
      <c r="G34" s="24" t="s">
        <v>141</v>
      </c>
      <c r="H34" s="27" t="n">
        <f aca="false">IFERROR(INDEX('Inventory Master'!$T$2:$T$525,MATCH($A34,'Inventory Master'!$A$2:$A$525,0)),0)</f>
        <v>2</v>
      </c>
      <c r="I34" s="27" t="n">
        <v>1</v>
      </c>
      <c r="J34" s="27" t="n">
        <f aca="false">MAX(0,$H34-$I34)</f>
        <v>1</v>
      </c>
      <c r="K34" s="34" t="str">
        <f aca="false">IF($H34&gt;0,"In Stock","Out of Stock")</f>
        <v>In Stock</v>
      </c>
      <c r="L34" s="24" t="s">
        <v>1841</v>
      </c>
      <c r="M34" s="34" t="s">
        <v>1842</v>
      </c>
      <c r="N34" s="24" t="n">
        <v>2</v>
      </c>
      <c r="O34" s="24" t="n">
        <v>3</v>
      </c>
      <c r="P34" s="24" t="n">
        <v>5</v>
      </c>
      <c r="Q34" s="24" t="str">
        <f aca="false">$L34&amp;"-"&amp;TEXT($N34,"00")&amp;"-"&amp;$O34&amp;"-"&amp;TEXT($P34,"00")</f>
        <v>A-02-3-05</v>
      </c>
      <c r="R34" s="34" t="str">
        <f aca="false">"ZONE "&amp;$L34&amp;" / BAY "&amp;TEXT($N34,"00")&amp;" / SHELF "&amp;$O34&amp;" / BIN "&amp;TEXT($P34,"00")</f>
        <v>ZONE A / BAY 02 / SHELF 3 / BIN 05</v>
      </c>
      <c r="S34" s="34" t="s">
        <v>1846</v>
      </c>
      <c r="T34" s="34" t="s">
        <v>1844</v>
      </c>
      <c r="U34" s="27" t="n">
        <v>33</v>
      </c>
      <c r="V34" s="30" t="n">
        <v>46197</v>
      </c>
      <c r="W34" s="34" t="str">
        <f aca="false">IF($H34&gt;0,"Yes - "&amp;$H34&amp;" in stock at Store 0146 (size "&amp;$G34&amp;"). Back room location "&amp;$Q34&amp;" ("&amp;$R34&amp;"), "&amp;$S34&amp;". Back room "&amp;$J34&amp;" / sales floor "&amp;$I34&amp;".","Not currently in stock at Store 0146 (size "&amp;$G34&amp;"). Home location is "&amp;$Q34&amp;" ("&amp;$R34&amp;") when replenished.")</f>
        <v>Yes - 2 in stock at Store 0146 (size 11.5). Back room location A-02-3-05 (ZONE A / BAY 02 / SHELF 3 / BIN 05), Eye level. Back room 1 / sales floor 1.</v>
      </c>
    </row>
    <row r="35" customFormat="false" ht="15" hidden="false" customHeight="false" outlineLevel="0" collapsed="false">
      <c r="A35" s="34" t="s">
        <v>381</v>
      </c>
      <c r="B35" s="34" t="s">
        <v>382</v>
      </c>
      <c r="C35" s="34" t="s">
        <v>383</v>
      </c>
      <c r="D35" s="34" t="s">
        <v>136</v>
      </c>
      <c r="E35" s="34" t="s">
        <v>384</v>
      </c>
      <c r="F35" s="34" t="s">
        <v>386</v>
      </c>
      <c r="G35" s="24" t="s">
        <v>130</v>
      </c>
      <c r="H35" s="27" t="n">
        <f aca="false">IFERROR(INDEX('Inventory Master'!$T$2:$T$525,MATCH($A35,'Inventory Master'!$A$2:$A$525,0)),0)</f>
        <v>5</v>
      </c>
      <c r="I35" s="27" t="n">
        <v>2</v>
      </c>
      <c r="J35" s="27" t="n">
        <f aca="false">MAX(0,$H35-$I35)</f>
        <v>3</v>
      </c>
      <c r="K35" s="34" t="str">
        <f aca="false">IF($H35&gt;0,"In Stock","Out of Stock")</f>
        <v>In Stock</v>
      </c>
      <c r="L35" s="24" t="s">
        <v>1841</v>
      </c>
      <c r="M35" s="34" t="s">
        <v>1842</v>
      </c>
      <c r="N35" s="24" t="n">
        <v>2</v>
      </c>
      <c r="O35" s="24" t="n">
        <v>3</v>
      </c>
      <c r="P35" s="24" t="n">
        <v>6</v>
      </c>
      <c r="Q35" s="24" t="str">
        <f aca="false">$L35&amp;"-"&amp;TEXT($N35,"00")&amp;"-"&amp;$O35&amp;"-"&amp;TEXT($P35,"00")</f>
        <v>A-02-3-06</v>
      </c>
      <c r="R35" s="34" t="str">
        <f aca="false">"ZONE "&amp;$L35&amp;" / BAY "&amp;TEXT($N35,"00")&amp;" / SHELF "&amp;$O35&amp;" / BIN "&amp;TEXT($P35,"00")</f>
        <v>ZONE A / BAY 02 / SHELF 3 / BIN 06</v>
      </c>
      <c r="S35" s="34" t="s">
        <v>1846</v>
      </c>
      <c r="T35" s="34" t="s">
        <v>1844</v>
      </c>
      <c r="U35" s="27" t="n">
        <v>34</v>
      </c>
      <c r="V35" s="30" t="n">
        <v>46210</v>
      </c>
      <c r="W35" s="34" t="str">
        <f aca="false">IF($H35&gt;0,"Yes - "&amp;$H35&amp;" in stock at Store 0146 (size "&amp;$G35&amp;"). Back room location "&amp;$Q35&amp;" ("&amp;$R35&amp;"), "&amp;$S35&amp;". Back room "&amp;$J35&amp;" / sales floor "&amp;$I35&amp;".","Not currently in stock at Store 0146 (size "&amp;$G35&amp;"). Home location is "&amp;$Q35&amp;" ("&amp;$R35&amp;") when replenished.")</f>
        <v>Yes - 5 in stock at Store 0146 (size 12). Back room location A-02-3-06 (ZONE A / BAY 02 / SHELF 3 / BIN 06), Eye level. Back room 3 / sales floor 2.</v>
      </c>
    </row>
    <row r="36" customFormat="false" ht="15" hidden="false" customHeight="false" outlineLevel="0" collapsed="false">
      <c r="A36" s="34" t="s">
        <v>1458</v>
      </c>
      <c r="B36" s="34" t="s">
        <v>1459</v>
      </c>
      <c r="C36" s="34" t="s">
        <v>867</v>
      </c>
      <c r="D36" s="34" t="s">
        <v>123</v>
      </c>
      <c r="E36" s="34" t="s">
        <v>868</v>
      </c>
      <c r="F36" s="34" t="s">
        <v>870</v>
      </c>
      <c r="G36" s="24" t="s">
        <v>177</v>
      </c>
      <c r="H36" s="27" t="n">
        <f aca="false">IFERROR(INDEX('Inventory Master'!$T$2:$T$525,MATCH($A36,'Inventory Master'!$A$2:$A$525,0)),0)</f>
        <v>1</v>
      </c>
      <c r="I36" s="27" t="n">
        <v>1</v>
      </c>
      <c r="J36" s="27" t="n">
        <f aca="false">MAX(0,$H36-$I36)</f>
        <v>0</v>
      </c>
      <c r="K36" s="34" t="str">
        <f aca="false">IF($H36&gt;0,"In Stock","Out of Stock")</f>
        <v>In Stock</v>
      </c>
      <c r="L36" s="24" t="s">
        <v>1841</v>
      </c>
      <c r="M36" s="34" t="s">
        <v>1842</v>
      </c>
      <c r="N36" s="24" t="n">
        <v>2</v>
      </c>
      <c r="O36" s="24" t="n">
        <v>4</v>
      </c>
      <c r="P36" s="24" t="n">
        <v>1</v>
      </c>
      <c r="Q36" s="24" t="str">
        <f aca="false">$L36&amp;"-"&amp;TEXT($N36,"00")&amp;"-"&amp;$O36&amp;"-"&amp;TEXT($P36,"00")</f>
        <v>A-02-4-01</v>
      </c>
      <c r="R36" s="34" t="str">
        <f aca="false">"ZONE "&amp;$L36&amp;" / BAY "&amp;TEXT($N36,"00")&amp;" / SHELF "&amp;$O36&amp;" / BIN "&amp;TEXT($P36,"00")</f>
        <v>ZONE A / BAY 02 / SHELF 4 / BIN 01</v>
      </c>
      <c r="S36" s="34" t="s">
        <v>1847</v>
      </c>
      <c r="T36" s="34" t="s">
        <v>1844</v>
      </c>
      <c r="U36" s="27" t="n">
        <v>35</v>
      </c>
      <c r="V36" s="30" t="n">
        <v>46151</v>
      </c>
      <c r="W36" s="34" t="str">
        <f aca="false">IF($H36&gt;0,"Yes - "&amp;$H36&amp;" in stock at Store 0146 (size "&amp;$G36&amp;"). Back room location "&amp;$Q36&amp;" ("&amp;$R36&amp;"), "&amp;$S36&amp;". Back room "&amp;$J36&amp;" / sales floor "&amp;$I36&amp;".","Not currently in stock at Store 0146 (size "&amp;$G36&amp;"). Home location is "&amp;$Q36&amp;" ("&amp;$R36&amp;") when replenished.")</f>
        <v>Yes - 1 in stock at Store 0146 (size 9.5). Back room location A-02-4-01 (ZONE A / BAY 02 / SHELF 4 / BIN 01), Overhead - step stool. Back room 0 / sales floor 1.</v>
      </c>
    </row>
    <row r="37" customFormat="false" ht="15" hidden="false" customHeight="false" outlineLevel="0" collapsed="false">
      <c r="A37" s="34" t="s">
        <v>1653</v>
      </c>
      <c r="B37" s="34" t="s">
        <v>1654</v>
      </c>
      <c r="C37" s="34" t="s">
        <v>867</v>
      </c>
      <c r="D37" s="34" t="s">
        <v>123</v>
      </c>
      <c r="E37" s="34" t="s">
        <v>868</v>
      </c>
      <c r="F37" s="34" t="s">
        <v>870</v>
      </c>
      <c r="G37" s="24" t="s">
        <v>211</v>
      </c>
      <c r="H37" s="27" t="n">
        <f aca="false">IFERROR(INDEX('Inventory Master'!$T$2:$T$525,MATCH($A37,'Inventory Master'!$A$2:$A$525,0)),0)</f>
        <v>1</v>
      </c>
      <c r="I37" s="27" t="n">
        <v>1</v>
      </c>
      <c r="J37" s="27" t="n">
        <f aca="false">MAX(0,$H37-$I37)</f>
        <v>0</v>
      </c>
      <c r="K37" s="34" t="str">
        <f aca="false">IF($H37&gt;0,"In Stock","Out of Stock")</f>
        <v>In Stock</v>
      </c>
      <c r="L37" s="24" t="s">
        <v>1841</v>
      </c>
      <c r="M37" s="34" t="s">
        <v>1842</v>
      </c>
      <c r="N37" s="24" t="n">
        <v>2</v>
      </c>
      <c r="O37" s="24" t="n">
        <v>4</v>
      </c>
      <c r="P37" s="24" t="n">
        <v>2</v>
      </c>
      <c r="Q37" s="24" t="str">
        <f aca="false">$L37&amp;"-"&amp;TEXT($N37,"00")&amp;"-"&amp;$O37&amp;"-"&amp;TEXT($P37,"00")</f>
        <v>A-02-4-02</v>
      </c>
      <c r="R37" s="34" t="str">
        <f aca="false">"ZONE "&amp;$L37&amp;" / BAY "&amp;TEXT($N37,"00")&amp;" / SHELF "&amp;$O37&amp;" / BIN "&amp;TEXT($P37,"00")</f>
        <v>ZONE A / BAY 02 / SHELF 4 / BIN 02</v>
      </c>
      <c r="S37" s="34" t="s">
        <v>1847</v>
      </c>
      <c r="T37" s="34" t="s">
        <v>1844</v>
      </c>
      <c r="U37" s="27" t="n">
        <v>36</v>
      </c>
      <c r="V37" s="30" t="n">
        <v>46152</v>
      </c>
      <c r="W37" s="34" t="str">
        <f aca="false">IF($H37&gt;0,"Yes - "&amp;$H37&amp;" in stock at Store 0146 (size "&amp;$G37&amp;"). Back room location "&amp;$Q37&amp;" ("&amp;$R37&amp;"), "&amp;$S37&amp;". Back room "&amp;$J37&amp;" / sales floor "&amp;$I37&amp;".","Not currently in stock at Store 0146 (size "&amp;$G37&amp;"). Home location is "&amp;$Q37&amp;" ("&amp;$R37&amp;") when replenished.")</f>
        <v>Yes - 1 in stock at Store 0146 (size 10). Back room location A-02-4-02 (ZONE A / BAY 02 / SHELF 4 / BIN 02), Overhead - step stool. Back room 0 / sales floor 1.</v>
      </c>
    </row>
    <row r="38" customFormat="false" ht="15" hidden="false" customHeight="false" outlineLevel="0" collapsed="false">
      <c r="A38" s="34" t="s">
        <v>1548</v>
      </c>
      <c r="B38" s="34" t="s">
        <v>1549</v>
      </c>
      <c r="C38" s="34" t="s">
        <v>867</v>
      </c>
      <c r="D38" s="34" t="s">
        <v>123</v>
      </c>
      <c r="E38" s="34" t="s">
        <v>868</v>
      </c>
      <c r="F38" s="34" t="s">
        <v>870</v>
      </c>
      <c r="G38" s="24" t="s">
        <v>327</v>
      </c>
      <c r="H38" s="27" t="n">
        <f aca="false">IFERROR(INDEX('Inventory Master'!$T$2:$T$525,MATCH($A38,'Inventory Master'!$A$2:$A$525,0)),0)</f>
        <v>0</v>
      </c>
      <c r="I38" s="27" t="n">
        <v>0</v>
      </c>
      <c r="J38" s="27" t="n">
        <f aca="false">MAX(0,$H38-$I38)</f>
        <v>0</v>
      </c>
      <c r="K38" s="34" t="str">
        <f aca="false">IF($H38&gt;0,"In Stock","Out of Stock")</f>
        <v>Out of Stock</v>
      </c>
      <c r="L38" s="24" t="s">
        <v>1841</v>
      </c>
      <c r="M38" s="34" t="s">
        <v>1842</v>
      </c>
      <c r="N38" s="24" t="n">
        <v>2</v>
      </c>
      <c r="O38" s="24" t="n">
        <v>4</v>
      </c>
      <c r="P38" s="24" t="n">
        <v>3</v>
      </c>
      <c r="Q38" s="24" t="str">
        <f aca="false">$L38&amp;"-"&amp;TEXT($N38,"00")&amp;"-"&amp;$O38&amp;"-"&amp;TEXT($P38,"00")</f>
        <v>A-02-4-03</v>
      </c>
      <c r="R38" s="34" t="str">
        <f aca="false">"ZONE "&amp;$L38&amp;" / BAY "&amp;TEXT($N38,"00")&amp;" / SHELF "&amp;$O38&amp;" / BIN "&amp;TEXT($P38,"00")</f>
        <v>ZONE A / BAY 02 / SHELF 4 / BIN 03</v>
      </c>
      <c r="S38" s="34" t="s">
        <v>1847</v>
      </c>
      <c r="T38" s="34" t="s">
        <v>1844</v>
      </c>
      <c r="U38" s="27" t="n">
        <v>37</v>
      </c>
      <c r="V38" s="30" t="n">
        <v>46206</v>
      </c>
      <c r="W38" s="34" t="str">
        <f aca="false">IF($H38&gt;0,"Yes - "&amp;$H38&amp;" in stock at Store 0146 (size "&amp;$G38&amp;"). Back room location "&amp;$Q38&amp;" ("&amp;$R38&amp;"), "&amp;$S38&amp;". Back room "&amp;$J38&amp;" / sales floor "&amp;$I38&amp;".","Not currently in stock at Store 0146 (size "&amp;$G38&amp;"). Home location is "&amp;$Q38&amp;" ("&amp;$R38&amp;") when replenished.")</f>
        <v>Not currently in stock at Store 0146 (size 10.5). Home location is A-02-4-03 (ZONE A / BAY 02 / SHELF 4 / BIN 03) when replenished.</v>
      </c>
    </row>
    <row r="39" customFormat="false" ht="15" hidden="false" customHeight="false" outlineLevel="0" collapsed="false">
      <c r="A39" s="34" t="s">
        <v>1010</v>
      </c>
      <c r="B39" s="34" t="s">
        <v>1011</v>
      </c>
      <c r="C39" s="34" t="s">
        <v>867</v>
      </c>
      <c r="D39" s="34" t="s">
        <v>123</v>
      </c>
      <c r="E39" s="34" t="s">
        <v>868</v>
      </c>
      <c r="F39" s="34" t="s">
        <v>870</v>
      </c>
      <c r="G39" s="24" t="s">
        <v>258</v>
      </c>
      <c r="H39" s="27" t="n">
        <f aca="false">IFERROR(INDEX('Inventory Master'!$T$2:$T$525,MATCH($A39,'Inventory Master'!$A$2:$A$525,0)),0)</f>
        <v>3</v>
      </c>
      <c r="I39" s="27" t="n">
        <v>2</v>
      </c>
      <c r="J39" s="27" t="n">
        <f aca="false">MAX(0,$H39-$I39)</f>
        <v>1</v>
      </c>
      <c r="K39" s="34" t="str">
        <f aca="false">IF($H39&gt;0,"In Stock","Out of Stock")</f>
        <v>In Stock</v>
      </c>
      <c r="L39" s="24" t="s">
        <v>1841</v>
      </c>
      <c r="M39" s="34" t="s">
        <v>1842</v>
      </c>
      <c r="N39" s="24" t="n">
        <v>2</v>
      </c>
      <c r="O39" s="24" t="n">
        <v>4</v>
      </c>
      <c r="P39" s="24" t="n">
        <v>4</v>
      </c>
      <c r="Q39" s="24" t="str">
        <f aca="false">$L39&amp;"-"&amp;TEXT($N39,"00")&amp;"-"&amp;$O39&amp;"-"&amp;TEXT($P39,"00")</f>
        <v>A-02-4-04</v>
      </c>
      <c r="R39" s="34" t="str">
        <f aca="false">"ZONE "&amp;$L39&amp;" / BAY "&amp;TEXT($N39,"00")&amp;" / SHELF "&amp;$O39&amp;" / BIN "&amp;TEXT($P39,"00")</f>
        <v>ZONE A / BAY 02 / SHELF 4 / BIN 04</v>
      </c>
      <c r="S39" s="34" t="s">
        <v>1847</v>
      </c>
      <c r="T39" s="34" t="s">
        <v>1844</v>
      </c>
      <c r="U39" s="27" t="n">
        <v>38</v>
      </c>
      <c r="V39" s="30" t="n">
        <v>46136</v>
      </c>
      <c r="W39" s="34" t="str">
        <f aca="false">IF($H39&gt;0,"Yes - "&amp;$H39&amp;" in stock at Store 0146 (size "&amp;$G39&amp;"). Back room location "&amp;$Q39&amp;" ("&amp;$R39&amp;"), "&amp;$S39&amp;". Back room "&amp;$J39&amp;" / sales floor "&amp;$I39&amp;".","Not currently in stock at Store 0146 (size "&amp;$G39&amp;"). Home location is "&amp;$Q39&amp;" ("&amp;$R39&amp;") when replenished.")</f>
        <v>Yes - 3 in stock at Store 0146 (size 11). Back room location A-02-4-04 (ZONE A / BAY 02 / SHELF 4 / BIN 04), Overhead - step stool. Back room 1 / sales floor 2.</v>
      </c>
    </row>
    <row r="40" customFormat="false" ht="15" hidden="false" customHeight="false" outlineLevel="0" collapsed="false">
      <c r="A40" s="34" t="s">
        <v>865</v>
      </c>
      <c r="B40" s="34" t="s">
        <v>866</v>
      </c>
      <c r="C40" s="34" t="s">
        <v>867</v>
      </c>
      <c r="D40" s="34" t="s">
        <v>123</v>
      </c>
      <c r="E40" s="34" t="s">
        <v>868</v>
      </c>
      <c r="F40" s="34" t="s">
        <v>870</v>
      </c>
      <c r="G40" s="24" t="s">
        <v>141</v>
      </c>
      <c r="H40" s="27" t="n">
        <f aca="false">IFERROR(INDEX('Inventory Master'!$T$2:$T$525,MATCH($A40,'Inventory Master'!$A$2:$A$525,0)),0)</f>
        <v>0</v>
      </c>
      <c r="I40" s="27" t="n">
        <v>0</v>
      </c>
      <c r="J40" s="27" t="n">
        <f aca="false">MAX(0,$H40-$I40)</f>
        <v>0</v>
      </c>
      <c r="K40" s="34" t="str">
        <f aca="false">IF($H40&gt;0,"In Stock","Out of Stock")</f>
        <v>Out of Stock</v>
      </c>
      <c r="L40" s="24" t="s">
        <v>1841</v>
      </c>
      <c r="M40" s="34" t="s">
        <v>1842</v>
      </c>
      <c r="N40" s="24" t="n">
        <v>2</v>
      </c>
      <c r="O40" s="24" t="n">
        <v>4</v>
      </c>
      <c r="P40" s="24" t="n">
        <v>5</v>
      </c>
      <c r="Q40" s="24" t="str">
        <f aca="false">$L40&amp;"-"&amp;TEXT($N40,"00")&amp;"-"&amp;$O40&amp;"-"&amp;TEXT($P40,"00")</f>
        <v>A-02-4-05</v>
      </c>
      <c r="R40" s="34" t="str">
        <f aca="false">"ZONE "&amp;$L40&amp;" / BAY "&amp;TEXT($N40,"00")&amp;" / SHELF "&amp;$O40&amp;" / BIN "&amp;TEXT($P40,"00")</f>
        <v>ZONE A / BAY 02 / SHELF 4 / BIN 05</v>
      </c>
      <c r="S40" s="34" t="s">
        <v>1847</v>
      </c>
      <c r="T40" s="34" t="s">
        <v>1844</v>
      </c>
      <c r="U40" s="27" t="n">
        <v>39</v>
      </c>
      <c r="V40" s="30" t="n">
        <v>46169</v>
      </c>
      <c r="W40" s="34" t="str">
        <f aca="false">IF($H40&gt;0,"Yes - "&amp;$H40&amp;" in stock at Store 0146 (size "&amp;$G40&amp;"). Back room location "&amp;$Q40&amp;" ("&amp;$R40&amp;"), "&amp;$S40&amp;". Back room "&amp;$J40&amp;" / sales floor "&amp;$I40&amp;".","Not currently in stock at Store 0146 (size "&amp;$G40&amp;"). Home location is "&amp;$Q40&amp;" ("&amp;$R40&amp;") when replenished.")</f>
        <v>Not currently in stock at Store 0146 (size 11.5). Home location is A-02-4-05 (ZONE A / BAY 02 / SHELF 4 / BIN 05) when replenished.</v>
      </c>
    </row>
    <row r="41" customFormat="false" ht="15" hidden="false" customHeight="false" outlineLevel="0" collapsed="false">
      <c r="A41" s="34" t="s">
        <v>1414</v>
      </c>
      <c r="B41" s="34" t="s">
        <v>1415</v>
      </c>
      <c r="C41" s="34" t="s">
        <v>121</v>
      </c>
      <c r="D41" s="34" t="s">
        <v>123</v>
      </c>
      <c r="E41" s="34" t="s">
        <v>124</v>
      </c>
      <c r="F41" s="34" t="s">
        <v>126</v>
      </c>
      <c r="G41" s="24" t="s">
        <v>258</v>
      </c>
      <c r="H41" s="27" t="n">
        <f aca="false">IFERROR(INDEX('Inventory Master'!$T$2:$T$525,MATCH($A41,'Inventory Master'!$A$2:$A$525,0)),0)</f>
        <v>4</v>
      </c>
      <c r="I41" s="27" t="n">
        <v>1</v>
      </c>
      <c r="J41" s="27" t="n">
        <f aca="false">MAX(0,$H41-$I41)</f>
        <v>3</v>
      </c>
      <c r="K41" s="34" t="str">
        <f aca="false">IF($H41&gt;0,"In Stock","Out of Stock")</f>
        <v>In Stock</v>
      </c>
      <c r="L41" s="24" t="s">
        <v>1841</v>
      </c>
      <c r="M41" s="34" t="s">
        <v>1842</v>
      </c>
      <c r="N41" s="24" t="n">
        <v>2</v>
      </c>
      <c r="O41" s="24" t="n">
        <v>5</v>
      </c>
      <c r="P41" s="24" t="n">
        <v>1</v>
      </c>
      <c r="Q41" s="24" t="str">
        <f aca="false">$L41&amp;"-"&amp;TEXT($N41,"00")&amp;"-"&amp;$O41&amp;"-"&amp;TEXT($P41,"00")</f>
        <v>A-02-5-01</v>
      </c>
      <c r="R41" s="34" t="str">
        <f aca="false">"ZONE "&amp;$L41&amp;" / BAY "&amp;TEXT($N41,"00")&amp;" / SHELF "&amp;$O41&amp;" / BIN "&amp;TEXT($P41,"00")</f>
        <v>ZONE A / BAY 02 / SHELF 5 / BIN 01</v>
      </c>
      <c r="S41" s="34" t="s">
        <v>1848</v>
      </c>
      <c r="T41" s="34" t="s">
        <v>1844</v>
      </c>
      <c r="U41" s="27" t="n">
        <v>40</v>
      </c>
      <c r="V41" s="30" t="n">
        <v>46163</v>
      </c>
      <c r="W41" s="34" t="str">
        <f aca="false">IF($H41&gt;0,"Yes - "&amp;$H41&amp;" in stock at Store 0146 (size "&amp;$G41&amp;"). Back room location "&amp;$Q41&amp;" ("&amp;$R41&amp;"), "&amp;$S41&amp;". Back room "&amp;$J41&amp;" / sales floor "&amp;$I41&amp;".","Not currently in stock at Store 0146 (size "&amp;$G41&amp;"). Home location is "&amp;$Q41&amp;" ("&amp;$R41&amp;") when replenished.")</f>
        <v>Yes - 4 in stock at Store 0146 (size 11). Back room location A-02-5-01 (ZONE A / BAY 02 / SHELF 5 / BIN 01), Top shelf - ladder required. Back room 3 / sales floor 1.</v>
      </c>
    </row>
    <row r="42" customFormat="false" ht="15" hidden="false" customHeight="false" outlineLevel="0" collapsed="false">
      <c r="A42" s="34" t="s">
        <v>1699</v>
      </c>
      <c r="B42" s="34" t="s">
        <v>1700</v>
      </c>
      <c r="C42" s="34" t="s">
        <v>121</v>
      </c>
      <c r="D42" s="34" t="s">
        <v>123</v>
      </c>
      <c r="E42" s="34" t="s">
        <v>124</v>
      </c>
      <c r="F42" s="34" t="s">
        <v>126</v>
      </c>
      <c r="G42" s="24" t="s">
        <v>141</v>
      </c>
      <c r="H42" s="27" t="n">
        <f aca="false">IFERROR(INDEX('Inventory Master'!$T$2:$T$525,MATCH($A42,'Inventory Master'!$A$2:$A$525,0)),0)</f>
        <v>0</v>
      </c>
      <c r="I42" s="27" t="n">
        <v>0</v>
      </c>
      <c r="J42" s="27" t="n">
        <f aca="false">MAX(0,$H42-$I42)</f>
        <v>0</v>
      </c>
      <c r="K42" s="34" t="str">
        <f aca="false">IF($H42&gt;0,"In Stock","Out of Stock")</f>
        <v>Out of Stock</v>
      </c>
      <c r="L42" s="24" t="s">
        <v>1841</v>
      </c>
      <c r="M42" s="34" t="s">
        <v>1842</v>
      </c>
      <c r="N42" s="24" t="n">
        <v>2</v>
      </c>
      <c r="O42" s="24" t="n">
        <v>5</v>
      </c>
      <c r="P42" s="24" t="n">
        <v>2</v>
      </c>
      <c r="Q42" s="24" t="str">
        <f aca="false">$L42&amp;"-"&amp;TEXT($N42,"00")&amp;"-"&amp;$O42&amp;"-"&amp;TEXT($P42,"00")</f>
        <v>A-02-5-02</v>
      </c>
      <c r="R42" s="34" t="str">
        <f aca="false">"ZONE "&amp;$L42&amp;" / BAY "&amp;TEXT($N42,"00")&amp;" / SHELF "&amp;$O42&amp;" / BIN "&amp;TEXT($P42,"00")</f>
        <v>ZONE A / BAY 02 / SHELF 5 / BIN 02</v>
      </c>
      <c r="S42" s="34" t="s">
        <v>1848</v>
      </c>
      <c r="T42" s="34" t="s">
        <v>1844</v>
      </c>
      <c r="U42" s="27" t="n">
        <v>41</v>
      </c>
      <c r="V42" s="30" t="n">
        <v>46175</v>
      </c>
      <c r="W42" s="34" t="str">
        <f aca="false">IF($H42&gt;0,"Yes - "&amp;$H42&amp;" in stock at Store 0146 (size "&amp;$G42&amp;"). Back room location "&amp;$Q42&amp;" ("&amp;$R42&amp;"), "&amp;$S42&amp;". Back room "&amp;$J42&amp;" / sales floor "&amp;$I42&amp;".","Not currently in stock at Store 0146 (size "&amp;$G42&amp;"). Home location is "&amp;$Q42&amp;" ("&amp;$R42&amp;") when replenished.")</f>
        <v>Not currently in stock at Store 0146 (size 11.5). Home location is A-02-5-02 (ZONE A / BAY 02 / SHELF 5 / BIN 02) when replenished.</v>
      </c>
    </row>
    <row r="43" customFormat="false" ht="15" hidden="false" customHeight="false" outlineLevel="0" collapsed="false">
      <c r="A43" s="34" t="s">
        <v>119</v>
      </c>
      <c r="B43" s="34" t="s">
        <v>120</v>
      </c>
      <c r="C43" s="34" t="s">
        <v>121</v>
      </c>
      <c r="D43" s="34" t="s">
        <v>123</v>
      </c>
      <c r="E43" s="34" t="s">
        <v>124</v>
      </c>
      <c r="F43" s="34" t="s">
        <v>126</v>
      </c>
      <c r="G43" s="24" t="s">
        <v>130</v>
      </c>
      <c r="H43" s="27" t="n">
        <f aca="false">IFERROR(INDEX('Inventory Master'!$T$2:$T$525,MATCH($A43,'Inventory Master'!$A$2:$A$525,0)),0)</f>
        <v>0</v>
      </c>
      <c r="I43" s="27" t="n">
        <v>0</v>
      </c>
      <c r="J43" s="27" t="n">
        <f aca="false">MAX(0,$H43-$I43)</f>
        <v>0</v>
      </c>
      <c r="K43" s="34" t="str">
        <f aca="false">IF($H43&gt;0,"In Stock","Out of Stock")</f>
        <v>Out of Stock</v>
      </c>
      <c r="L43" s="24" t="s">
        <v>1841</v>
      </c>
      <c r="M43" s="34" t="s">
        <v>1842</v>
      </c>
      <c r="N43" s="24" t="n">
        <v>2</v>
      </c>
      <c r="O43" s="24" t="n">
        <v>5</v>
      </c>
      <c r="P43" s="24" t="n">
        <v>3</v>
      </c>
      <c r="Q43" s="24" t="str">
        <f aca="false">$L43&amp;"-"&amp;TEXT($N43,"00")&amp;"-"&amp;$O43&amp;"-"&amp;TEXT($P43,"00")</f>
        <v>A-02-5-03</v>
      </c>
      <c r="R43" s="34" t="str">
        <f aca="false">"ZONE "&amp;$L43&amp;" / BAY "&amp;TEXT($N43,"00")&amp;" / SHELF "&amp;$O43&amp;" / BIN "&amp;TEXT($P43,"00")</f>
        <v>ZONE A / BAY 02 / SHELF 5 / BIN 03</v>
      </c>
      <c r="S43" s="34" t="s">
        <v>1848</v>
      </c>
      <c r="T43" s="34" t="s">
        <v>1844</v>
      </c>
      <c r="U43" s="27" t="n">
        <v>42</v>
      </c>
      <c r="V43" s="30" t="n">
        <v>46199</v>
      </c>
      <c r="W43" s="34" t="str">
        <f aca="false">IF($H43&gt;0,"Yes - "&amp;$H43&amp;" in stock at Store 0146 (size "&amp;$G43&amp;"). Back room location "&amp;$Q43&amp;" ("&amp;$R43&amp;"), "&amp;$S43&amp;". Back room "&amp;$J43&amp;" / sales floor "&amp;$I43&amp;".","Not currently in stock at Store 0146 (size "&amp;$G43&amp;"). Home location is "&amp;$Q43&amp;" ("&amp;$R43&amp;") when replenished.")</f>
        <v>Not currently in stock at Store 0146 (size 12). Home location is A-02-5-03 (ZONE A / BAY 02 / SHELF 5 / BIN 03) when replenished.</v>
      </c>
    </row>
    <row r="44" customFormat="false" ht="15" hidden="false" customHeight="false" outlineLevel="0" collapsed="false">
      <c r="A44" s="34" t="s">
        <v>881</v>
      </c>
      <c r="B44" s="34" t="s">
        <v>882</v>
      </c>
      <c r="C44" s="34" t="s">
        <v>883</v>
      </c>
      <c r="D44" s="34" t="s">
        <v>123</v>
      </c>
      <c r="E44" s="34" t="s">
        <v>884</v>
      </c>
      <c r="F44" s="34" t="s">
        <v>886</v>
      </c>
      <c r="G44" s="24" t="s">
        <v>177</v>
      </c>
      <c r="H44" s="27" t="n">
        <f aca="false">IFERROR(INDEX('Inventory Master'!$T$2:$T$525,MATCH($A44,'Inventory Master'!$A$2:$A$525,0)),0)</f>
        <v>0</v>
      </c>
      <c r="I44" s="27" t="n">
        <v>0</v>
      </c>
      <c r="J44" s="27" t="n">
        <f aca="false">MAX(0,$H44-$I44)</f>
        <v>0</v>
      </c>
      <c r="K44" s="34" t="str">
        <f aca="false">IF($H44&gt;0,"In Stock","Out of Stock")</f>
        <v>Out of Stock</v>
      </c>
      <c r="L44" s="24" t="s">
        <v>1841</v>
      </c>
      <c r="M44" s="34" t="s">
        <v>1842</v>
      </c>
      <c r="N44" s="24" t="n">
        <v>3</v>
      </c>
      <c r="O44" s="24" t="n">
        <v>1</v>
      </c>
      <c r="P44" s="24" t="n">
        <v>1</v>
      </c>
      <c r="Q44" s="24" t="str">
        <f aca="false">$L44&amp;"-"&amp;TEXT($N44,"00")&amp;"-"&amp;$O44&amp;"-"&amp;TEXT($P44,"00")</f>
        <v>A-03-1-01</v>
      </c>
      <c r="R44" s="34" t="str">
        <f aca="false">"ZONE "&amp;$L44&amp;" / BAY "&amp;TEXT($N44,"00")&amp;" / SHELF "&amp;$O44&amp;" / BIN "&amp;TEXT($P44,"00")</f>
        <v>ZONE A / BAY 03 / SHELF 1 / BIN 01</v>
      </c>
      <c r="S44" s="34" t="s">
        <v>1843</v>
      </c>
      <c r="T44" s="34" t="s">
        <v>1844</v>
      </c>
      <c r="U44" s="27" t="n">
        <v>43</v>
      </c>
      <c r="V44" s="30" t="n">
        <v>46157</v>
      </c>
      <c r="W44" s="34" t="str">
        <f aca="false">IF($H44&gt;0,"Yes - "&amp;$H44&amp;" in stock at Store 0146 (size "&amp;$G44&amp;"). Back room location "&amp;$Q44&amp;" ("&amp;$R44&amp;"), "&amp;$S44&amp;". Back room "&amp;$J44&amp;" / sales floor "&amp;$I44&amp;".","Not currently in stock at Store 0146 (size "&amp;$G44&amp;"). Home location is "&amp;$Q44&amp;" ("&amp;$R44&amp;") when replenished.")</f>
        <v>Not currently in stock at Store 0146 (size 9.5). Home location is A-03-1-01 (ZONE A / BAY 03 / SHELF 1 / BIN 01) when replenished.</v>
      </c>
    </row>
    <row r="45" customFormat="false" ht="15" hidden="false" customHeight="false" outlineLevel="0" collapsed="false">
      <c r="A45" s="34" t="s">
        <v>1621</v>
      </c>
      <c r="B45" s="34" t="s">
        <v>1622</v>
      </c>
      <c r="C45" s="34" t="s">
        <v>883</v>
      </c>
      <c r="D45" s="34" t="s">
        <v>123</v>
      </c>
      <c r="E45" s="34" t="s">
        <v>884</v>
      </c>
      <c r="F45" s="34" t="s">
        <v>886</v>
      </c>
      <c r="G45" s="24" t="s">
        <v>211</v>
      </c>
      <c r="H45" s="27" t="n">
        <f aca="false">IFERROR(INDEX('Inventory Master'!$T$2:$T$525,MATCH($A45,'Inventory Master'!$A$2:$A$525,0)),0)</f>
        <v>3</v>
      </c>
      <c r="I45" s="27" t="n">
        <v>1</v>
      </c>
      <c r="J45" s="27" t="n">
        <f aca="false">MAX(0,$H45-$I45)</f>
        <v>2</v>
      </c>
      <c r="K45" s="34" t="str">
        <f aca="false">IF($H45&gt;0,"In Stock","Out of Stock")</f>
        <v>In Stock</v>
      </c>
      <c r="L45" s="24" t="s">
        <v>1841</v>
      </c>
      <c r="M45" s="34" t="s">
        <v>1842</v>
      </c>
      <c r="N45" s="24" t="n">
        <v>3</v>
      </c>
      <c r="O45" s="24" t="n">
        <v>1</v>
      </c>
      <c r="P45" s="24" t="n">
        <v>2</v>
      </c>
      <c r="Q45" s="24" t="str">
        <f aca="false">$L45&amp;"-"&amp;TEXT($N45,"00")&amp;"-"&amp;$O45&amp;"-"&amp;TEXT($P45,"00")</f>
        <v>A-03-1-02</v>
      </c>
      <c r="R45" s="34" t="str">
        <f aca="false">"ZONE "&amp;$L45&amp;" / BAY "&amp;TEXT($N45,"00")&amp;" / SHELF "&amp;$O45&amp;" / BIN "&amp;TEXT($P45,"00")</f>
        <v>ZONE A / BAY 03 / SHELF 1 / BIN 02</v>
      </c>
      <c r="S45" s="34" t="s">
        <v>1843</v>
      </c>
      <c r="T45" s="34" t="s">
        <v>1844</v>
      </c>
      <c r="U45" s="27" t="n">
        <v>44</v>
      </c>
      <c r="V45" s="30" t="n">
        <v>46176</v>
      </c>
      <c r="W45" s="34" t="str">
        <f aca="false">IF($H45&gt;0,"Yes - "&amp;$H45&amp;" in stock at Store 0146 (size "&amp;$G45&amp;"). Back room location "&amp;$Q45&amp;" ("&amp;$R45&amp;"), "&amp;$S45&amp;". Back room "&amp;$J45&amp;" / sales floor "&amp;$I45&amp;".","Not currently in stock at Store 0146 (size "&amp;$G45&amp;"). Home location is "&amp;$Q45&amp;" ("&amp;$R45&amp;") when replenished.")</f>
        <v>Yes - 3 in stock at Store 0146 (size 10). Back room location A-03-1-02 (ZONE A / BAY 03 / SHELF 1 / BIN 02), Floor level - no reach. Back room 2 / sales floor 1.</v>
      </c>
    </row>
    <row r="46" customFormat="false" ht="15" hidden="false" customHeight="false" outlineLevel="0" collapsed="false">
      <c r="A46" s="34" t="s">
        <v>1693</v>
      </c>
      <c r="B46" s="34" t="s">
        <v>1694</v>
      </c>
      <c r="C46" s="34" t="s">
        <v>883</v>
      </c>
      <c r="D46" s="34" t="s">
        <v>123</v>
      </c>
      <c r="E46" s="34" t="s">
        <v>884</v>
      </c>
      <c r="F46" s="34" t="s">
        <v>886</v>
      </c>
      <c r="G46" s="24" t="s">
        <v>327</v>
      </c>
      <c r="H46" s="27" t="n">
        <f aca="false">IFERROR(INDEX('Inventory Master'!$T$2:$T$525,MATCH($A46,'Inventory Master'!$A$2:$A$525,0)),0)</f>
        <v>0</v>
      </c>
      <c r="I46" s="27" t="n">
        <v>0</v>
      </c>
      <c r="J46" s="27" t="n">
        <f aca="false">MAX(0,$H46-$I46)</f>
        <v>0</v>
      </c>
      <c r="K46" s="34" t="str">
        <f aca="false">IF($H46&gt;0,"In Stock","Out of Stock")</f>
        <v>Out of Stock</v>
      </c>
      <c r="L46" s="24" t="s">
        <v>1841</v>
      </c>
      <c r="M46" s="34" t="s">
        <v>1842</v>
      </c>
      <c r="N46" s="24" t="n">
        <v>3</v>
      </c>
      <c r="O46" s="24" t="n">
        <v>1</v>
      </c>
      <c r="P46" s="24" t="n">
        <v>3</v>
      </c>
      <c r="Q46" s="24" t="str">
        <f aca="false">$L46&amp;"-"&amp;TEXT($N46,"00")&amp;"-"&amp;$O46&amp;"-"&amp;TEXT($P46,"00")</f>
        <v>A-03-1-03</v>
      </c>
      <c r="R46" s="34" t="str">
        <f aca="false">"ZONE "&amp;$L46&amp;" / BAY "&amp;TEXT($N46,"00")&amp;" / SHELF "&amp;$O46&amp;" / BIN "&amp;TEXT($P46,"00")</f>
        <v>ZONE A / BAY 03 / SHELF 1 / BIN 03</v>
      </c>
      <c r="S46" s="34" t="s">
        <v>1843</v>
      </c>
      <c r="T46" s="34" t="s">
        <v>1844</v>
      </c>
      <c r="U46" s="27" t="n">
        <v>45</v>
      </c>
      <c r="V46" s="30" t="n">
        <v>46182</v>
      </c>
      <c r="W46" s="34" t="str">
        <f aca="false">IF($H46&gt;0,"Yes - "&amp;$H46&amp;" in stock at Store 0146 (size "&amp;$G46&amp;"). Back room location "&amp;$Q46&amp;" ("&amp;$R46&amp;"), "&amp;$S46&amp;". Back room "&amp;$J46&amp;" / sales floor "&amp;$I46&amp;".","Not currently in stock at Store 0146 (size "&amp;$G46&amp;"). Home location is "&amp;$Q46&amp;" ("&amp;$R46&amp;") when replenished.")</f>
        <v>Not currently in stock at Store 0146 (size 10.5). Home location is A-03-1-03 (ZONE A / BAY 03 / SHELF 1 / BIN 03) when replenished.</v>
      </c>
    </row>
    <row r="47" customFormat="false" ht="15" hidden="false" customHeight="false" outlineLevel="0" collapsed="false">
      <c r="A47" s="34" t="s">
        <v>309</v>
      </c>
      <c r="B47" s="34" t="s">
        <v>310</v>
      </c>
      <c r="C47" s="34" t="s">
        <v>294</v>
      </c>
      <c r="D47" s="34" t="s">
        <v>252</v>
      </c>
      <c r="E47" s="34" t="s">
        <v>295</v>
      </c>
      <c r="F47" s="34" t="s">
        <v>297</v>
      </c>
      <c r="G47" s="24" t="s">
        <v>188</v>
      </c>
      <c r="H47" s="27" t="n">
        <f aca="false">IFERROR(INDEX('Inventory Master'!$T$2:$T$525,MATCH($A47,'Inventory Master'!$A$2:$A$525,0)),0)</f>
        <v>4</v>
      </c>
      <c r="I47" s="27" t="n">
        <v>1</v>
      </c>
      <c r="J47" s="27" t="n">
        <f aca="false">MAX(0,$H47-$I47)</f>
        <v>3</v>
      </c>
      <c r="K47" s="34" t="str">
        <f aca="false">IF($H47&gt;0,"In Stock","Out of Stock")</f>
        <v>In Stock</v>
      </c>
      <c r="L47" s="24" t="s">
        <v>1841</v>
      </c>
      <c r="M47" s="34" t="s">
        <v>1842</v>
      </c>
      <c r="N47" s="24" t="n">
        <v>3</v>
      </c>
      <c r="O47" s="24" t="n">
        <v>2</v>
      </c>
      <c r="P47" s="24" t="n">
        <v>1</v>
      </c>
      <c r="Q47" s="24" t="str">
        <f aca="false">$L47&amp;"-"&amp;TEXT($N47,"00")&amp;"-"&amp;$O47&amp;"-"&amp;TEXT($P47,"00")</f>
        <v>A-03-2-01</v>
      </c>
      <c r="R47" s="34" t="str">
        <f aca="false">"ZONE "&amp;$L47&amp;" / BAY "&amp;TEXT($N47,"00")&amp;" / SHELF "&amp;$O47&amp;" / BIN "&amp;TEXT($P47,"00")</f>
        <v>ZONE A / BAY 03 / SHELF 2 / BIN 01</v>
      </c>
      <c r="S47" s="34" t="s">
        <v>1845</v>
      </c>
      <c r="T47" s="34" t="s">
        <v>1844</v>
      </c>
      <c r="U47" s="27" t="n">
        <v>46</v>
      </c>
      <c r="V47" s="30" t="n">
        <v>46164</v>
      </c>
      <c r="W47" s="34" t="str">
        <f aca="false">IF($H47&gt;0,"Yes - "&amp;$H47&amp;" in stock at Store 0146 (size "&amp;$G47&amp;"). Back room location "&amp;$Q47&amp;" ("&amp;$R47&amp;"), "&amp;$S47&amp;". Back room "&amp;$J47&amp;" / sales floor "&amp;$I47&amp;".","Not currently in stock at Store 0146 (size "&amp;$G47&amp;"). Home location is "&amp;$Q47&amp;" ("&amp;$R47&amp;") when replenished.")</f>
        <v>Yes - 4 in stock at Store 0146 (size 8.5). Back room location A-03-2-01 (ZONE A / BAY 03 / SHELF 2 / BIN 01), Waist height. Back room 3 / sales floor 1.</v>
      </c>
    </row>
    <row r="48" customFormat="false" ht="15" hidden="false" customHeight="false" outlineLevel="0" collapsed="false">
      <c r="A48" s="34" t="s">
        <v>1390</v>
      </c>
      <c r="B48" s="34" t="s">
        <v>1391</v>
      </c>
      <c r="C48" s="34" t="s">
        <v>294</v>
      </c>
      <c r="D48" s="34" t="s">
        <v>252</v>
      </c>
      <c r="E48" s="34" t="s">
        <v>295</v>
      </c>
      <c r="F48" s="34" t="s">
        <v>297</v>
      </c>
      <c r="G48" s="24" t="s">
        <v>164</v>
      </c>
      <c r="H48" s="27" t="n">
        <f aca="false">IFERROR(INDEX('Inventory Master'!$T$2:$T$525,MATCH($A48,'Inventory Master'!$A$2:$A$525,0)),0)</f>
        <v>7</v>
      </c>
      <c r="I48" s="27" t="n">
        <v>2</v>
      </c>
      <c r="J48" s="27" t="n">
        <f aca="false">MAX(0,$H48-$I48)</f>
        <v>5</v>
      </c>
      <c r="K48" s="34" t="str">
        <f aca="false">IF($H48&gt;0,"In Stock","Out of Stock")</f>
        <v>In Stock</v>
      </c>
      <c r="L48" s="24" t="s">
        <v>1841</v>
      </c>
      <c r="M48" s="34" t="s">
        <v>1842</v>
      </c>
      <c r="N48" s="24" t="n">
        <v>3</v>
      </c>
      <c r="O48" s="24" t="n">
        <v>2</v>
      </c>
      <c r="P48" s="24" t="n">
        <v>2</v>
      </c>
      <c r="Q48" s="24" t="str">
        <f aca="false">$L48&amp;"-"&amp;TEXT($N48,"00")&amp;"-"&amp;$O48&amp;"-"&amp;TEXT($P48,"00")</f>
        <v>A-03-2-02</v>
      </c>
      <c r="R48" s="34" t="str">
        <f aca="false">"ZONE "&amp;$L48&amp;" / BAY "&amp;TEXT($N48,"00")&amp;" / SHELF "&amp;$O48&amp;" / BIN "&amp;TEXT($P48,"00")</f>
        <v>ZONE A / BAY 03 / SHELF 2 / BIN 02</v>
      </c>
      <c r="S48" s="34" t="s">
        <v>1845</v>
      </c>
      <c r="T48" s="34" t="s">
        <v>1844</v>
      </c>
      <c r="U48" s="27" t="n">
        <v>47</v>
      </c>
      <c r="V48" s="30" t="n">
        <v>46192</v>
      </c>
      <c r="W48" s="34" t="str">
        <f aca="false">IF($H48&gt;0,"Yes - "&amp;$H48&amp;" in stock at Store 0146 (size "&amp;$G48&amp;"). Back room location "&amp;$Q48&amp;" ("&amp;$R48&amp;"), "&amp;$S48&amp;". Back room "&amp;$J48&amp;" / sales floor "&amp;$I48&amp;".","Not currently in stock at Store 0146 (size "&amp;$G48&amp;"). Home location is "&amp;$Q48&amp;" ("&amp;$R48&amp;") when replenished.")</f>
        <v>Yes - 7 in stock at Store 0146 (size 9). Back room location A-03-2-02 (ZONE A / BAY 03 / SHELF 2 / BIN 02), Waist height. Back room 5 / sales floor 2.</v>
      </c>
    </row>
    <row r="49" customFormat="false" ht="15" hidden="false" customHeight="false" outlineLevel="0" collapsed="false">
      <c r="A49" s="34" t="s">
        <v>1609</v>
      </c>
      <c r="B49" s="34" t="s">
        <v>1610</v>
      </c>
      <c r="C49" s="34" t="s">
        <v>294</v>
      </c>
      <c r="D49" s="34" t="s">
        <v>252</v>
      </c>
      <c r="E49" s="34" t="s">
        <v>295</v>
      </c>
      <c r="F49" s="34" t="s">
        <v>297</v>
      </c>
      <c r="G49" s="24" t="s">
        <v>177</v>
      </c>
      <c r="H49" s="27" t="n">
        <f aca="false">IFERROR(INDEX('Inventory Master'!$T$2:$T$525,MATCH($A49,'Inventory Master'!$A$2:$A$525,0)),0)</f>
        <v>3</v>
      </c>
      <c r="I49" s="27" t="n">
        <v>1</v>
      </c>
      <c r="J49" s="27" t="n">
        <f aca="false">MAX(0,$H49-$I49)</f>
        <v>2</v>
      </c>
      <c r="K49" s="34" t="str">
        <f aca="false">IF($H49&gt;0,"In Stock","Out of Stock")</f>
        <v>In Stock</v>
      </c>
      <c r="L49" s="24" t="s">
        <v>1841</v>
      </c>
      <c r="M49" s="34" t="s">
        <v>1842</v>
      </c>
      <c r="N49" s="24" t="n">
        <v>3</v>
      </c>
      <c r="O49" s="24" t="n">
        <v>2</v>
      </c>
      <c r="P49" s="24" t="n">
        <v>3</v>
      </c>
      <c r="Q49" s="24" t="str">
        <f aca="false">$L49&amp;"-"&amp;TEXT($N49,"00")&amp;"-"&amp;$O49&amp;"-"&amp;TEXT($P49,"00")</f>
        <v>A-03-2-03</v>
      </c>
      <c r="R49" s="34" t="str">
        <f aca="false">"ZONE "&amp;$L49&amp;" / BAY "&amp;TEXT($N49,"00")&amp;" / SHELF "&amp;$O49&amp;" / BIN "&amp;TEXT($P49,"00")</f>
        <v>ZONE A / BAY 03 / SHELF 2 / BIN 03</v>
      </c>
      <c r="S49" s="34" t="s">
        <v>1845</v>
      </c>
      <c r="T49" s="34" t="s">
        <v>1844</v>
      </c>
      <c r="U49" s="27" t="n">
        <v>48</v>
      </c>
      <c r="V49" s="30" t="n">
        <v>46155</v>
      </c>
      <c r="W49" s="34" t="str">
        <f aca="false">IF($H49&gt;0,"Yes - "&amp;$H49&amp;" in stock at Store 0146 (size "&amp;$G49&amp;"). Back room location "&amp;$Q49&amp;" ("&amp;$R49&amp;"), "&amp;$S49&amp;". Back room "&amp;$J49&amp;" / sales floor "&amp;$I49&amp;".","Not currently in stock at Store 0146 (size "&amp;$G49&amp;"). Home location is "&amp;$Q49&amp;" ("&amp;$R49&amp;") when replenished.")</f>
        <v>Yes - 3 in stock at Store 0146 (size 9.5). Back room location A-03-2-03 (ZONE A / BAY 03 / SHELF 2 / BIN 03), Waist height. Back room 2 / sales floor 1.</v>
      </c>
    </row>
    <row r="50" customFormat="false" ht="15" hidden="false" customHeight="false" outlineLevel="0" collapsed="false">
      <c r="A50" s="34" t="s">
        <v>292</v>
      </c>
      <c r="B50" s="34" t="s">
        <v>293</v>
      </c>
      <c r="C50" s="34" t="s">
        <v>294</v>
      </c>
      <c r="D50" s="34" t="s">
        <v>252</v>
      </c>
      <c r="E50" s="34" t="s">
        <v>295</v>
      </c>
      <c r="F50" s="34" t="s">
        <v>297</v>
      </c>
      <c r="G50" s="24" t="s">
        <v>211</v>
      </c>
      <c r="H50" s="27" t="n">
        <f aca="false">IFERROR(INDEX('Inventory Master'!$T$2:$T$525,MATCH($A50,'Inventory Master'!$A$2:$A$525,0)),0)</f>
        <v>3</v>
      </c>
      <c r="I50" s="27" t="n">
        <v>2</v>
      </c>
      <c r="J50" s="27" t="n">
        <f aca="false">MAX(0,$H50-$I50)</f>
        <v>1</v>
      </c>
      <c r="K50" s="34" t="str">
        <f aca="false">IF($H50&gt;0,"In Stock","Out of Stock")</f>
        <v>In Stock</v>
      </c>
      <c r="L50" s="24" t="s">
        <v>1841</v>
      </c>
      <c r="M50" s="34" t="s">
        <v>1842</v>
      </c>
      <c r="N50" s="24" t="n">
        <v>3</v>
      </c>
      <c r="O50" s="24" t="n">
        <v>2</v>
      </c>
      <c r="P50" s="24" t="n">
        <v>4</v>
      </c>
      <c r="Q50" s="24" t="str">
        <f aca="false">$L50&amp;"-"&amp;TEXT($N50,"00")&amp;"-"&amp;$O50&amp;"-"&amp;TEXT($P50,"00")</f>
        <v>A-03-2-04</v>
      </c>
      <c r="R50" s="34" t="str">
        <f aca="false">"ZONE "&amp;$L50&amp;" / BAY "&amp;TEXT($N50,"00")&amp;" / SHELF "&amp;$O50&amp;" / BIN "&amp;TEXT($P50,"00")</f>
        <v>ZONE A / BAY 03 / SHELF 2 / BIN 04</v>
      </c>
      <c r="S50" s="34" t="s">
        <v>1845</v>
      </c>
      <c r="T50" s="34" t="s">
        <v>1844</v>
      </c>
      <c r="U50" s="27" t="n">
        <v>49</v>
      </c>
      <c r="V50" s="30" t="n">
        <v>46197</v>
      </c>
      <c r="W50" s="34" t="str">
        <f aca="false">IF($H50&gt;0,"Yes - "&amp;$H50&amp;" in stock at Store 0146 (size "&amp;$G50&amp;"). Back room location "&amp;$Q50&amp;" ("&amp;$R50&amp;"), "&amp;$S50&amp;". Back room "&amp;$J50&amp;" / sales floor "&amp;$I50&amp;".","Not currently in stock at Store 0146 (size "&amp;$G50&amp;"). Home location is "&amp;$Q50&amp;" ("&amp;$R50&amp;") when replenished.")</f>
        <v>Yes - 3 in stock at Store 0146 (size 10). Back room location A-03-2-04 (ZONE A / BAY 03 / SHELF 2 / BIN 04), Waist height. Back room 1 / sales floor 2.</v>
      </c>
    </row>
    <row r="51" customFormat="false" ht="15" hidden="false" customHeight="false" outlineLevel="0" collapsed="false">
      <c r="A51" s="34" t="s">
        <v>1416</v>
      </c>
      <c r="B51" s="34" t="s">
        <v>1417</v>
      </c>
      <c r="C51" s="34" t="s">
        <v>294</v>
      </c>
      <c r="D51" s="34" t="s">
        <v>252</v>
      </c>
      <c r="E51" s="34" t="s">
        <v>295</v>
      </c>
      <c r="F51" s="34" t="s">
        <v>297</v>
      </c>
      <c r="G51" s="24" t="s">
        <v>327</v>
      </c>
      <c r="H51" s="27" t="n">
        <f aca="false">IFERROR(INDEX('Inventory Master'!$T$2:$T$525,MATCH($A51,'Inventory Master'!$A$2:$A$525,0)),0)</f>
        <v>0</v>
      </c>
      <c r="I51" s="27" t="n">
        <v>0</v>
      </c>
      <c r="J51" s="27" t="n">
        <f aca="false">MAX(0,$H51-$I51)</f>
        <v>0</v>
      </c>
      <c r="K51" s="34" t="str">
        <f aca="false">IF($H51&gt;0,"In Stock","Out of Stock")</f>
        <v>Out of Stock</v>
      </c>
      <c r="L51" s="24" t="s">
        <v>1841</v>
      </c>
      <c r="M51" s="34" t="s">
        <v>1842</v>
      </c>
      <c r="N51" s="24" t="n">
        <v>3</v>
      </c>
      <c r="O51" s="24" t="n">
        <v>2</v>
      </c>
      <c r="P51" s="24" t="n">
        <v>5</v>
      </c>
      <c r="Q51" s="24" t="str">
        <f aca="false">$L51&amp;"-"&amp;TEXT($N51,"00")&amp;"-"&amp;$O51&amp;"-"&amp;TEXT($P51,"00")</f>
        <v>A-03-2-05</v>
      </c>
      <c r="R51" s="34" t="str">
        <f aca="false">"ZONE "&amp;$L51&amp;" / BAY "&amp;TEXT($N51,"00")&amp;" / SHELF "&amp;$O51&amp;" / BIN "&amp;TEXT($P51,"00")</f>
        <v>ZONE A / BAY 03 / SHELF 2 / BIN 05</v>
      </c>
      <c r="S51" s="34" t="s">
        <v>1845</v>
      </c>
      <c r="T51" s="34" t="s">
        <v>1844</v>
      </c>
      <c r="U51" s="27" t="n">
        <v>50</v>
      </c>
      <c r="V51" s="30" t="n">
        <v>46174</v>
      </c>
      <c r="W51" s="34" t="str">
        <f aca="false">IF($H51&gt;0,"Yes - "&amp;$H51&amp;" in stock at Store 0146 (size "&amp;$G51&amp;"). Back room location "&amp;$Q51&amp;" ("&amp;$R51&amp;"), "&amp;$S51&amp;". Back room "&amp;$J51&amp;" / sales floor "&amp;$I51&amp;".","Not currently in stock at Store 0146 (size "&amp;$G51&amp;"). Home location is "&amp;$Q51&amp;" ("&amp;$R51&amp;") when replenished.")</f>
        <v>Not currently in stock at Store 0146 (size 10.5). Home location is A-03-2-05 (ZONE A / BAY 03 / SHELF 2 / BIN 05) when replenished.</v>
      </c>
    </row>
    <row r="52" customFormat="false" ht="15" hidden="false" customHeight="false" outlineLevel="0" collapsed="false">
      <c r="A52" s="34" t="s">
        <v>1181</v>
      </c>
      <c r="B52" s="34" t="s">
        <v>1182</v>
      </c>
      <c r="C52" s="34" t="s">
        <v>294</v>
      </c>
      <c r="D52" s="34" t="s">
        <v>252</v>
      </c>
      <c r="E52" s="34" t="s">
        <v>295</v>
      </c>
      <c r="F52" s="34" t="s">
        <v>297</v>
      </c>
      <c r="G52" s="24" t="s">
        <v>258</v>
      </c>
      <c r="H52" s="27" t="n">
        <f aca="false">IFERROR(INDEX('Inventory Master'!$T$2:$T$525,MATCH($A52,'Inventory Master'!$A$2:$A$525,0)),0)</f>
        <v>3</v>
      </c>
      <c r="I52" s="27" t="n">
        <v>1</v>
      </c>
      <c r="J52" s="27" t="n">
        <f aca="false">MAX(0,$H52-$I52)</f>
        <v>2</v>
      </c>
      <c r="K52" s="34" t="str">
        <f aca="false">IF($H52&gt;0,"In Stock","Out of Stock")</f>
        <v>In Stock</v>
      </c>
      <c r="L52" s="24" t="s">
        <v>1841</v>
      </c>
      <c r="M52" s="34" t="s">
        <v>1842</v>
      </c>
      <c r="N52" s="24" t="n">
        <v>3</v>
      </c>
      <c r="O52" s="24" t="n">
        <v>2</v>
      </c>
      <c r="P52" s="24" t="n">
        <v>6</v>
      </c>
      <c r="Q52" s="24" t="str">
        <f aca="false">$L52&amp;"-"&amp;TEXT($N52,"00")&amp;"-"&amp;$O52&amp;"-"&amp;TEXT($P52,"00")</f>
        <v>A-03-2-06</v>
      </c>
      <c r="R52" s="34" t="str">
        <f aca="false">"ZONE "&amp;$L52&amp;" / BAY "&amp;TEXT($N52,"00")&amp;" / SHELF "&amp;$O52&amp;" / BIN "&amp;TEXT($P52,"00")</f>
        <v>ZONE A / BAY 03 / SHELF 2 / BIN 06</v>
      </c>
      <c r="S52" s="34" t="s">
        <v>1845</v>
      </c>
      <c r="T52" s="34" t="s">
        <v>1844</v>
      </c>
      <c r="U52" s="27" t="n">
        <v>51</v>
      </c>
      <c r="V52" s="30" t="n">
        <v>46222</v>
      </c>
      <c r="W52" s="34" t="str">
        <f aca="false">IF($H52&gt;0,"Yes - "&amp;$H52&amp;" in stock at Store 0146 (size "&amp;$G52&amp;"). Back room location "&amp;$Q52&amp;" ("&amp;$R52&amp;"), "&amp;$S52&amp;". Back room "&amp;$J52&amp;" / sales floor "&amp;$I52&amp;".","Not currently in stock at Store 0146 (size "&amp;$G52&amp;"). Home location is "&amp;$Q52&amp;" ("&amp;$R52&amp;") when replenished.")</f>
        <v>Yes - 3 in stock at Store 0146 (size 11). Back room location A-03-2-06 (ZONE A / BAY 03 / SHELF 2 / BIN 06), Waist height. Back room 2 / sales floor 1.</v>
      </c>
    </row>
    <row r="53" customFormat="false" ht="15" hidden="false" customHeight="false" outlineLevel="0" collapsed="false">
      <c r="A53" s="34" t="s">
        <v>971</v>
      </c>
      <c r="B53" s="34" t="s">
        <v>972</v>
      </c>
      <c r="C53" s="34" t="s">
        <v>483</v>
      </c>
      <c r="D53" s="34" t="s">
        <v>485</v>
      </c>
      <c r="E53" s="34" t="s">
        <v>486</v>
      </c>
      <c r="F53" s="34" t="s">
        <v>488</v>
      </c>
      <c r="G53" s="24" t="s">
        <v>356</v>
      </c>
      <c r="H53" s="27" t="n">
        <f aca="false">IFERROR(INDEX('Inventory Master'!$T$2:$T$525,MATCH($A53,'Inventory Master'!$A$2:$A$525,0)),0)</f>
        <v>0</v>
      </c>
      <c r="I53" s="27" t="n">
        <v>0</v>
      </c>
      <c r="J53" s="27" t="n">
        <f aca="false">MAX(0,$H53-$I53)</f>
        <v>0</v>
      </c>
      <c r="K53" s="34" t="str">
        <f aca="false">IF($H53&gt;0,"In Stock","Out of Stock")</f>
        <v>Out of Stock</v>
      </c>
      <c r="L53" s="24" t="s">
        <v>1841</v>
      </c>
      <c r="M53" s="34" t="s">
        <v>1842</v>
      </c>
      <c r="N53" s="24" t="n">
        <v>3</v>
      </c>
      <c r="O53" s="24" t="n">
        <v>3</v>
      </c>
      <c r="P53" s="24" t="n">
        <v>1</v>
      </c>
      <c r="Q53" s="24" t="str">
        <f aca="false">$L53&amp;"-"&amp;TEXT($N53,"00")&amp;"-"&amp;$O53&amp;"-"&amp;TEXT($P53,"00")</f>
        <v>A-03-3-01</v>
      </c>
      <c r="R53" s="34" t="str">
        <f aca="false">"ZONE "&amp;$L53&amp;" / BAY "&amp;TEXT($N53,"00")&amp;" / SHELF "&amp;$O53&amp;" / BIN "&amp;TEXT($P53,"00")</f>
        <v>ZONE A / BAY 03 / SHELF 3 / BIN 01</v>
      </c>
      <c r="S53" s="34" t="s">
        <v>1846</v>
      </c>
      <c r="T53" s="34" t="s">
        <v>1844</v>
      </c>
      <c r="U53" s="27" t="n">
        <v>52</v>
      </c>
      <c r="V53" s="30" t="n">
        <v>46145</v>
      </c>
      <c r="W53" s="34" t="str">
        <f aca="false">IF($H53&gt;0,"Yes - "&amp;$H53&amp;" in stock at Store 0146 (size "&amp;$G53&amp;"). Back room location "&amp;$Q53&amp;" ("&amp;$R53&amp;"), "&amp;$S53&amp;". Back room "&amp;$J53&amp;" / sales floor "&amp;$I53&amp;".","Not currently in stock at Store 0146 (size "&amp;$G53&amp;"). Home location is "&amp;$Q53&amp;" ("&amp;$R53&amp;") when replenished.")</f>
        <v>Not currently in stock at Store 0146 (size 8). Home location is A-03-3-01 (ZONE A / BAY 03 / SHELF 3 / BIN 01) when replenished.</v>
      </c>
    </row>
    <row r="54" customFormat="false" ht="15" hidden="false" customHeight="false" outlineLevel="0" collapsed="false">
      <c r="A54" s="34" t="s">
        <v>1731</v>
      </c>
      <c r="B54" s="34" t="s">
        <v>1732</v>
      </c>
      <c r="C54" s="34" t="s">
        <v>483</v>
      </c>
      <c r="D54" s="34" t="s">
        <v>485</v>
      </c>
      <c r="E54" s="34" t="s">
        <v>486</v>
      </c>
      <c r="F54" s="34" t="s">
        <v>488</v>
      </c>
      <c r="G54" s="24" t="s">
        <v>188</v>
      </c>
      <c r="H54" s="27" t="n">
        <f aca="false">IFERROR(INDEX('Inventory Master'!$T$2:$T$525,MATCH($A54,'Inventory Master'!$A$2:$A$525,0)),0)</f>
        <v>1</v>
      </c>
      <c r="I54" s="27" t="n">
        <v>1</v>
      </c>
      <c r="J54" s="27" t="n">
        <f aca="false">MAX(0,$H54-$I54)</f>
        <v>0</v>
      </c>
      <c r="K54" s="34" t="str">
        <f aca="false">IF($H54&gt;0,"In Stock","Out of Stock")</f>
        <v>In Stock</v>
      </c>
      <c r="L54" s="24" t="s">
        <v>1841</v>
      </c>
      <c r="M54" s="34" t="s">
        <v>1842</v>
      </c>
      <c r="N54" s="24" t="n">
        <v>3</v>
      </c>
      <c r="O54" s="24" t="n">
        <v>3</v>
      </c>
      <c r="P54" s="24" t="n">
        <v>2</v>
      </c>
      <c r="Q54" s="24" t="str">
        <f aca="false">$L54&amp;"-"&amp;TEXT($N54,"00")&amp;"-"&amp;$O54&amp;"-"&amp;TEXT($P54,"00")</f>
        <v>A-03-3-02</v>
      </c>
      <c r="R54" s="34" t="str">
        <f aca="false">"ZONE "&amp;$L54&amp;" / BAY "&amp;TEXT($N54,"00")&amp;" / SHELF "&amp;$O54&amp;" / BIN "&amp;TEXT($P54,"00")</f>
        <v>ZONE A / BAY 03 / SHELF 3 / BIN 02</v>
      </c>
      <c r="S54" s="34" t="s">
        <v>1846</v>
      </c>
      <c r="T54" s="34" t="s">
        <v>1844</v>
      </c>
      <c r="U54" s="27" t="n">
        <v>53</v>
      </c>
      <c r="V54" s="30" t="n">
        <v>46163</v>
      </c>
      <c r="W54" s="34" t="str">
        <f aca="false">IF($H54&gt;0,"Yes - "&amp;$H54&amp;" in stock at Store 0146 (size "&amp;$G54&amp;"). Back room location "&amp;$Q54&amp;" ("&amp;$R54&amp;"), "&amp;$S54&amp;". Back room "&amp;$J54&amp;" / sales floor "&amp;$I54&amp;".","Not currently in stock at Store 0146 (size "&amp;$G54&amp;"). Home location is "&amp;$Q54&amp;" ("&amp;$R54&amp;") when replenished.")</f>
        <v>Yes - 1 in stock at Store 0146 (size 8.5). Back room location A-03-3-02 (ZONE A / BAY 03 / SHELF 3 / BIN 02), Eye level. Back room 0 / sales floor 1.</v>
      </c>
    </row>
    <row r="55" customFormat="false" ht="15" hidden="false" customHeight="false" outlineLevel="0" collapsed="false">
      <c r="A55" s="34" t="s">
        <v>1797</v>
      </c>
      <c r="B55" s="34" t="s">
        <v>1798</v>
      </c>
      <c r="C55" s="34" t="s">
        <v>483</v>
      </c>
      <c r="D55" s="34" t="s">
        <v>485</v>
      </c>
      <c r="E55" s="34" t="s">
        <v>486</v>
      </c>
      <c r="F55" s="34" t="s">
        <v>488</v>
      </c>
      <c r="G55" s="24" t="s">
        <v>164</v>
      </c>
      <c r="H55" s="27" t="n">
        <f aca="false">IFERROR(INDEX('Inventory Master'!$T$2:$T$525,MATCH($A55,'Inventory Master'!$A$2:$A$525,0)),0)</f>
        <v>0</v>
      </c>
      <c r="I55" s="27" t="n">
        <v>0</v>
      </c>
      <c r="J55" s="27" t="n">
        <f aca="false">MAX(0,$H55-$I55)</f>
        <v>0</v>
      </c>
      <c r="K55" s="34" t="str">
        <f aca="false">IF($H55&gt;0,"In Stock","Out of Stock")</f>
        <v>Out of Stock</v>
      </c>
      <c r="L55" s="24" t="s">
        <v>1841</v>
      </c>
      <c r="M55" s="34" t="s">
        <v>1842</v>
      </c>
      <c r="N55" s="24" t="n">
        <v>3</v>
      </c>
      <c r="O55" s="24" t="n">
        <v>3</v>
      </c>
      <c r="P55" s="24" t="n">
        <v>3</v>
      </c>
      <c r="Q55" s="24" t="str">
        <f aca="false">$L55&amp;"-"&amp;TEXT($N55,"00")&amp;"-"&amp;$O55&amp;"-"&amp;TEXT($P55,"00")</f>
        <v>A-03-3-03</v>
      </c>
      <c r="R55" s="34" t="str">
        <f aca="false">"ZONE "&amp;$L55&amp;" / BAY "&amp;TEXT($N55,"00")&amp;" / SHELF "&amp;$O55&amp;" / BIN "&amp;TEXT($P55,"00")</f>
        <v>ZONE A / BAY 03 / SHELF 3 / BIN 03</v>
      </c>
      <c r="S55" s="34" t="s">
        <v>1846</v>
      </c>
      <c r="T55" s="34" t="s">
        <v>1844</v>
      </c>
      <c r="U55" s="27" t="n">
        <v>54</v>
      </c>
      <c r="V55" s="30" t="n">
        <v>46209</v>
      </c>
      <c r="W55" s="34" t="str">
        <f aca="false">IF($H55&gt;0,"Yes - "&amp;$H55&amp;" in stock at Store 0146 (size "&amp;$G55&amp;"). Back room location "&amp;$Q55&amp;" ("&amp;$R55&amp;"), "&amp;$S55&amp;". Back room "&amp;$J55&amp;" / sales floor "&amp;$I55&amp;".","Not currently in stock at Store 0146 (size "&amp;$G55&amp;"). Home location is "&amp;$Q55&amp;" ("&amp;$R55&amp;") when replenished.")</f>
        <v>Not currently in stock at Store 0146 (size 9). Home location is A-03-3-03 (ZONE A / BAY 03 / SHELF 3 / BIN 03) when replenished.</v>
      </c>
    </row>
    <row r="56" customFormat="false" ht="15" hidden="false" customHeight="false" outlineLevel="0" collapsed="false">
      <c r="A56" s="34" t="s">
        <v>1679</v>
      </c>
      <c r="B56" s="34" t="s">
        <v>1680</v>
      </c>
      <c r="C56" s="34" t="s">
        <v>483</v>
      </c>
      <c r="D56" s="34" t="s">
        <v>485</v>
      </c>
      <c r="E56" s="34" t="s">
        <v>486</v>
      </c>
      <c r="F56" s="34" t="s">
        <v>488</v>
      </c>
      <c r="G56" s="24" t="s">
        <v>177</v>
      </c>
      <c r="H56" s="27" t="n">
        <f aca="false">IFERROR(INDEX('Inventory Master'!$T$2:$T$525,MATCH($A56,'Inventory Master'!$A$2:$A$525,0)),0)</f>
        <v>2</v>
      </c>
      <c r="I56" s="27" t="n">
        <v>1</v>
      </c>
      <c r="J56" s="27" t="n">
        <f aca="false">MAX(0,$H56-$I56)</f>
        <v>1</v>
      </c>
      <c r="K56" s="34" t="str">
        <f aca="false">IF($H56&gt;0,"In Stock","Out of Stock")</f>
        <v>In Stock</v>
      </c>
      <c r="L56" s="24" t="s">
        <v>1841</v>
      </c>
      <c r="M56" s="34" t="s">
        <v>1842</v>
      </c>
      <c r="N56" s="24" t="n">
        <v>3</v>
      </c>
      <c r="O56" s="24" t="n">
        <v>3</v>
      </c>
      <c r="P56" s="24" t="n">
        <v>4</v>
      </c>
      <c r="Q56" s="24" t="str">
        <f aca="false">$L56&amp;"-"&amp;TEXT($N56,"00")&amp;"-"&amp;$O56&amp;"-"&amp;TEXT($P56,"00")</f>
        <v>A-03-3-04</v>
      </c>
      <c r="R56" s="34" t="str">
        <f aca="false">"ZONE "&amp;$L56&amp;" / BAY "&amp;TEXT($N56,"00")&amp;" / SHELF "&amp;$O56&amp;" / BIN "&amp;TEXT($P56,"00")</f>
        <v>ZONE A / BAY 03 / SHELF 3 / BIN 04</v>
      </c>
      <c r="S56" s="34" t="s">
        <v>1846</v>
      </c>
      <c r="T56" s="34" t="s">
        <v>1844</v>
      </c>
      <c r="U56" s="27" t="n">
        <v>55</v>
      </c>
      <c r="V56" s="30" t="n">
        <v>46230</v>
      </c>
      <c r="W56" s="34" t="str">
        <f aca="false">IF($H56&gt;0,"Yes - "&amp;$H56&amp;" in stock at Store 0146 (size "&amp;$G56&amp;"). Back room location "&amp;$Q56&amp;" ("&amp;$R56&amp;"), "&amp;$S56&amp;". Back room "&amp;$J56&amp;" / sales floor "&amp;$I56&amp;".","Not currently in stock at Store 0146 (size "&amp;$G56&amp;"). Home location is "&amp;$Q56&amp;" ("&amp;$R56&amp;") when replenished.")</f>
        <v>Yes - 2 in stock at Store 0146 (size 9.5). Back room location A-03-3-04 (ZONE A / BAY 03 / SHELF 3 / BIN 04), Eye level. Back room 1 / sales floor 1.</v>
      </c>
    </row>
    <row r="57" customFormat="false" ht="15" hidden="false" customHeight="false" outlineLevel="0" collapsed="false">
      <c r="A57" s="34" t="s">
        <v>481</v>
      </c>
      <c r="B57" s="34" t="s">
        <v>482</v>
      </c>
      <c r="C57" s="34" t="s">
        <v>483</v>
      </c>
      <c r="D57" s="34" t="s">
        <v>485</v>
      </c>
      <c r="E57" s="34" t="s">
        <v>486</v>
      </c>
      <c r="F57" s="34" t="s">
        <v>488</v>
      </c>
      <c r="G57" s="24" t="s">
        <v>211</v>
      </c>
      <c r="H57" s="27" t="n">
        <f aca="false">IFERROR(INDEX('Inventory Master'!$T$2:$T$525,MATCH($A57,'Inventory Master'!$A$2:$A$525,0)),0)</f>
        <v>2</v>
      </c>
      <c r="I57" s="27" t="n">
        <v>1</v>
      </c>
      <c r="J57" s="27" t="n">
        <f aca="false">MAX(0,$H57-$I57)</f>
        <v>1</v>
      </c>
      <c r="K57" s="34" t="str">
        <f aca="false">IF($H57&gt;0,"In Stock","Out of Stock")</f>
        <v>In Stock</v>
      </c>
      <c r="L57" s="24" t="s">
        <v>1841</v>
      </c>
      <c r="M57" s="34" t="s">
        <v>1842</v>
      </c>
      <c r="N57" s="24" t="n">
        <v>3</v>
      </c>
      <c r="O57" s="24" t="n">
        <v>3</v>
      </c>
      <c r="P57" s="24" t="n">
        <v>5</v>
      </c>
      <c r="Q57" s="24" t="str">
        <f aca="false">$L57&amp;"-"&amp;TEXT($N57,"00")&amp;"-"&amp;$O57&amp;"-"&amp;TEXT($P57,"00")</f>
        <v>A-03-3-05</v>
      </c>
      <c r="R57" s="34" t="str">
        <f aca="false">"ZONE "&amp;$L57&amp;" / BAY "&amp;TEXT($N57,"00")&amp;" / SHELF "&amp;$O57&amp;" / BIN "&amp;TEXT($P57,"00")</f>
        <v>ZONE A / BAY 03 / SHELF 3 / BIN 05</v>
      </c>
      <c r="S57" s="34" t="s">
        <v>1846</v>
      </c>
      <c r="T57" s="34" t="s">
        <v>1844</v>
      </c>
      <c r="U57" s="27" t="n">
        <v>56</v>
      </c>
      <c r="V57" s="30" t="n">
        <v>46187</v>
      </c>
      <c r="W57" s="34" t="str">
        <f aca="false">IF($H57&gt;0,"Yes - "&amp;$H57&amp;" in stock at Store 0146 (size "&amp;$G57&amp;"). Back room location "&amp;$Q57&amp;" ("&amp;$R57&amp;"), "&amp;$S57&amp;". Back room "&amp;$J57&amp;" / sales floor "&amp;$I57&amp;".","Not currently in stock at Store 0146 (size "&amp;$G57&amp;"). Home location is "&amp;$Q57&amp;" ("&amp;$R57&amp;") when replenished.")</f>
        <v>Yes - 2 in stock at Store 0146 (size 10). Back room location A-03-3-05 (ZONE A / BAY 03 / SHELF 3 / BIN 05), Eye level. Back room 1 / sales floor 1.</v>
      </c>
    </row>
    <row r="58" customFormat="false" ht="15" hidden="false" customHeight="false" outlineLevel="0" collapsed="false">
      <c r="A58" s="34" t="s">
        <v>1643</v>
      </c>
      <c r="B58" s="34" t="s">
        <v>1644</v>
      </c>
      <c r="C58" s="34" t="s">
        <v>483</v>
      </c>
      <c r="D58" s="34" t="s">
        <v>485</v>
      </c>
      <c r="E58" s="34" t="s">
        <v>486</v>
      </c>
      <c r="F58" s="34" t="s">
        <v>488</v>
      </c>
      <c r="G58" s="24" t="s">
        <v>327</v>
      </c>
      <c r="H58" s="27" t="n">
        <f aca="false">IFERROR(INDEX('Inventory Master'!$T$2:$T$525,MATCH($A58,'Inventory Master'!$A$2:$A$525,0)),0)</f>
        <v>2</v>
      </c>
      <c r="I58" s="27" t="n">
        <v>1</v>
      </c>
      <c r="J58" s="27" t="n">
        <f aca="false">MAX(0,$H58-$I58)</f>
        <v>1</v>
      </c>
      <c r="K58" s="34" t="str">
        <f aca="false">IF($H58&gt;0,"In Stock","Out of Stock")</f>
        <v>In Stock</v>
      </c>
      <c r="L58" s="24" t="s">
        <v>1841</v>
      </c>
      <c r="M58" s="34" t="s">
        <v>1842</v>
      </c>
      <c r="N58" s="24" t="n">
        <v>3</v>
      </c>
      <c r="O58" s="24" t="n">
        <v>3</v>
      </c>
      <c r="P58" s="24" t="n">
        <v>6</v>
      </c>
      <c r="Q58" s="24" t="str">
        <f aca="false">$L58&amp;"-"&amp;TEXT($N58,"00")&amp;"-"&amp;$O58&amp;"-"&amp;TEXT($P58,"00")</f>
        <v>A-03-3-06</v>
      </c>
      <c r="R58" s="34" t="str">
        <f aca="false">"ZONE "&amp;$L58&amp;" / BAY "&amp;TEXT($N58,"00")&amp;" / SHELF "&amp;$O58&amp;" / BIN "&amp;TEXT($P58,"00")</f>
        <v>ZONE A / BAY 03 / SHELF 3 / BIN 06</v>
      </c>
      <c r="S58" s="34" t="s">
        <v>1846</v>
      </c>
      <c r="T58" s="34" t="s">
        <v>1844</v>
      </c>
      <c r="U58" s="27" t="n">
        <v>57</v>
      </c>
      <c r="V58" s="30" t="n">
        <v>46141</v>
      </c>
      <c r="W58" s="34" t="str">
        <f aca="false">IF($H58&gt;0,"Yes - "&amp;$H58&amp;" in stock at Store 0146 (size "&amp;$G58&amp;"). Back room location "&amp;$Q58&amp;" ("&amp;$R58&amp;"), "&amp;$S58&amp;". Back room "&amp;$J58&amp;" / sales floor "&amp;$I58&amp;".","Not currently in stock at Store 0146 (size "&amp;$G58&amp;"). Home location is "&amp;$Q58&amp;" ("&amp;$R58&amp;") when replenished.")</f>
        <v>Yes - 2 in stock at Store 0146 (size 10.5). Back room location A-03-3-06 (ZONE A / BAY 03 / SHELF 3 / BIN 06), Eye level. Back room 1 / sales floor 1.</v>
      </c>
    </row>
    <row r="59" customFormat="false" ht="15" hidden="false" customHeight="false" outlineLevel="0" collapsed="false">
      <c r="A59" s="34" t="s">
        <v>754</v>
      </c>
      <c r="B59" s="34" t="s">
        <v>755</v>
      </c>
      <c r="C59" s="34" t="s">
        <v>426</v>
      </c>
      <c r="D59" s="34" t="s">
        <v>428</v>
      </c>
      <c r="E59" s="34" t="s">
        <v>429</v>
      </c>
      <c r="F59" s="34" t="s">
        <v>431</v>
      </c>
      <c r="G59" s="24" t="s">
        <v>177</v>
      </c>
      <c r="H59" s="27" t="n">
        <f aca="false">IFERROR(INDEX('Inventory Master'!$T$2:$T$525,MATCH($A59,'Inventory Master'!$A$2:$A$525,0)),0)</f>
        <v>1</v>
      </c>
      <c r="I59" s="27" t="n">
        <v>1</v>
      </c>
      <c r="J59" s="27" t="n">
        <f aca="false">MAX(0,$H59-$I59)</f>
        <v>0</v>
      </c>
      <c r="K59" s="34" t="str">
        <f aca="false">IF($H59&gt;0,"In Stock","Out of Stock")</f>
        <v>In Stock</v>
      </c>
      <c r="L59" s="24" t="s">
        <v>1841</v>
      </c>
      <c r="M59" s="34" t="s">
        <v>1842</v>
      </c>
      <c r="N59" s="24" t="n">
        <v>3</v>
      </c>
      <c r="O59" s="24" t="n">
        <v>4</v>
      </c>
      <c r="P59" s="24" t="n">
        <v>1</v>
      </c>
      <c r="Q59" s="24" t="str">
        <f aca="false">$L59&amp;"-"&amp;TEXT($N59,"00")&amp;"-"&amp;$O59&amp;"-"&amp;TEXT($P59,"00")</f>
        <v>A-03-4-01</v>
      </c>
      <c r="R59" s="34" t="str">
        <f aca="false">"ZONE "&amp;$L59&amp;" / BAY "&amp;TEXT($N59,"00")&amp;" / SHELF "&amp;$O59&amp;" / BIN "&amp;TEXT($P59,"00")</f>
        <v>ZONE A / BAY 03 / SHELF 4 / BIN 01</v>
      </c>
      <c r="S59" s="34" t="s">
        <v>1847</v>
      </c>
      <c r="T59" s="34" t="s">
        <v>1844</v>
      </c>
      <c r="U59" s="27" t="n">
        <v>58</v>
      </c>
      <c r="V59" s="30" t="n">
        <v>46195</v>
      </c>
      <c r="W59" s="34" t="str">
        <f aca="false">IF($H59&gt;0,"Yes - "&amp;$H59&amp;" in stock at Store 0146 (size "&amp;$G59&amp;"). Back room location "&amp;$Q59&amp;" ("&amp;$R59&amp;"), "&amp;$S59&amp;". Back room "&amp;$J59&amp;" / sales floor "&amp;$I59&amp;".","Not currently in stock at Store 0146 (size "&amp;$G59&amp;"). Home location is "&amp;$Q59&amp;" ("&amp;$R59&amp;") when replenished.")</f>
        <v>Yes - 1 in stock at Store 0146 (size 9.5). Back room location A-03-4-01 (ZONE A / BAY 03 / SHELF 4 / BIN 01), Overhead - step stool. Back room 0 / sales floor 1.</v>
      </c>
    </row>
    <row r="60" customFormat="false" ht="15" hidden="false" customHeight="false" outlineLevel="0" collapsed="false">
      <c r="A60" s="34" t="s">
        <v>933</v>
      </c>
      <c r="B60" s="34" t="s">
        <v>934</v>
      </c>
      <c r="C60" s="34" t="s">
        <v>426</v>
      </c>
      <c r="D60" s="34" t="s">
        <v>428</v>
      </c>
      <c r="E60" s="34" t="s">
        <v>429</v>
      </c>
      <c r="F60" s="34" t="s">
        <v>431</v>
      </c>
      <c r="G60" s="24" t="s">
        <v>211</v>
      </c>
      <c r="H60" s="27" t="n">
        <f aca="false">IFERROR(INDEX('Inventory Master'!$T$2:$T$525,MATCH($A60,'Inventory Master'!$A$2:$A$525,0)),0)</f>
        <v>1</v>
      </c>
      <c r="I60" s="27" t="n">
        <v>1</v>
      </c>
      <c r="J60" s="27" t="n">
        <f aca="false">MAX(0,$H60-$I60)</f>
        <v>0</v>
      </c>
      <c r="K60" s="34" t="str">
        <f aca="false">IF($H60&gt;0,"In Stock","Out of Stock")</f>
        <v>In Stock</v>
      </c>
      <c r="L60" s="24" t="s">
        <v>1841</v>
      </c>
      <c r="M60" s="34" t="s">
        <v>1842</v>
      </c>
      <c r="N60" s="24" t="n">
        <v>3</v>
      </c>
      <c r="O60" s="24" t="n">
        <v>4</v>
      </c>
      <c r="P60" s="24" t="n">
        <v>2</v>
      </c>
      <c r="Q60" s="24" t="str">
        <f aca="false">$L60&amp;"-"&amp;TEXT($N60,"00")&amp;"-"&amp;$O60&amp;"-"&amp;TEXT($P60,"00")</f>
        <v>A-03-4-02</v>
      </c>
      <c r="R60" s="34" t="str">
        <f aca="false">"ZONE "&amp;$L60&amp;" / BAY "&amp;TEXT($N60,"00")&amp;" / SHELF "&amp;$O60&amp;" / BIN "&amp;TEXT($P60,"00")</f>
        <v>ZONE A / BAY 03 / SHELF 4 / BIN 02</v>
      </c>
      <c r="S60" s="34" t="s">
        <v>1847</v>
      </c>
      <c r="T60" s="34" t="s">
        <v>1844</v>
      </c>
      <c r="U60" s="27" t="n">
        <v>59</v>
      </c>
      <c r="V60" s="30" t="n">
        <v>46178</v>
      </c>
      <c r="W60" s="34" t="str">
        <f aca="false">IF($H60&gt;0,"Yes - "&amp;$H60&amp;" in stock at Store 0146 (size "&amp;$G60&amp;"). Back room location "&amp;$Q60&amp;" ("&amp;$R60&amp;"), "&amp;$S60&amp;". Back room "&amp;$J60&amp;" / sales floor "&amp;$I60&amp;".","Not currently in stock at Store 0146 (size "&amp;$G60&amp;"). Home location is "&amp;$Q60&amp;" ("&amp;$R60&amp;") when replenished.")</f>
        <v>Yes - 1 in stock at Store 0146 (size 10). Back room location A-03-4-02 (ZONE A / BAY 03 / SHELF 4 / BIN 02), Overhead - step stool. Back room 0 / sales floor 1.</v>
      </c>
    </row>
    <row r="61" customFormat="false" ht="15" hidden="false" customHeight="false" outlineLevel="0" collapsed="false">
      <c r="A61" s="34" t="s">
        <v>1279</v>
      </c>
      <c r="B61" s="34" t="s">
        <v>1280</v>
      </c>
      <c r="C61" s="34" t="s">
        <v>426</v>
      </c>
      <c r="D61" s="34" t="s">
        <v>428</v>
      </c>
      <c r="E61" s="34" t="s">
        <v>429</v>
      </c>
      <c r="F61" s="34" t="s">
        <v>431</v>
      </c>
      <c r="G61" s="24" t="s">
        <v>327</v>
      </c>
      <c r="H61" s="27" t="n">
        <f aca="false">IFERROR(INDEX('Inventory Master'!$T$2:$T$525,MATCH($A61,'Inventory Master'!$A$2:$A$525,0)),0)</f>
        <v>2</v>
      </c>
      <c r="I61" s="27" t="n">
        <v>1</v>
      </c>
      <c r="J61" s="27" t="n">
        <f aca="false">MAX(0,$H61-$I61)</f>
        <v>1</v>
      </c>
      <c r="K61" s="34" t="str">
        <f aca="false">IF($H61&gt;0,"In Stock","Out of Stock")</f>
        <v>In Stock</v>
      </c>
      <c r="L61" s="24" t="s">
        <v>1841</v>
      </c>
      <c r="M61" s="34" t="s">
        <v>1842</v>
      </c>
      <c r="N61" s="24" t="n">
        <v>3</v>
      </c>
      <c r="O61" s="24" t="n">
        <v>4</v>
      </c>
      <c r="P61" s="24" t="n">
        <v>3</v>
      </c>
      <c r="Q61" s="24" t="str">
        <f aca="false">$L61&amp;"-"&amp;TEXT($N61,"00")&amp;"-"&amp;$O61&amp;"-"&amp;TEXT($P61,"00")</f>
        <v>A-03-4-03</v>
      </c>
      <c r="R61" s="34" t="str">
        <f aca="false">"ZONE "&amp;$L61&amp;" / BAY "&amp;TEXT($N61,"00")&amp;" / SHELF "&amp;$O61&amp;" / BIN "&amp;TEXT($P61,"00")</f>
        <v>ZONE A / BAY 03 / SHELF 4 / BIN 03</v>
      </c>
      <c r="S61" s="34" t="s">
        <v>1847</v>
      </c>
      <c r="T61" s="34" t="s">
        <v>1844</v>
      </c>
      <c r="U61" s="27" t="n">
        <v>60</v>
      </c>
      <c r="V61" s="30" t="n">
        <v>46208</v>
      </c>
      <c r="W61" s="34" t="str">
        <f aca="false">IF($H61&gt;0,"Yes - "&amp;$H61&amp;" in stock at Store 0146 (size "&amp;$G61&amp;"). Back room location "&amp;$Q61&amp;" ("&amp;$R61&amp;"), "&amp;$S61&amp;". Back room "&amp;$J61&amp;" / sales floor "&amp;$I61&amp;".","Not currently in stock at Store 0146 (size "&amp;$G61&amp;"). Home location is "&amp;$Q61&amp;" ("&amp;$R61&amp;") when replenished.")</f>
        <v>Yes - 2 in stock at Store 0146 (size 10.5). Back room location A-03-4-03 (ZONE A / BAY 03 / SHELF 4 / BIN 03), Overhead - step stool. Back room 1 / sales floor 1.</v>
      </c>
    </row>
    <row r="62" customFormat="false" ht="15" hidden="false" customHeight="false" outlineLevel="0" collapsed="false">
      <c r="A62" s="34" t="s">
        <v>424</v>
      </c>
      <c r="B62" s="34" t="s">
        <v>425</v>
      </c>
      <c r="C62" s="34" t="s">
        <v>426</v>
      </c>
      <c r="D62" s="34" t="s">
        <v>428</v>
      </c>
      <c r="E62" s="34" t="s">
        <v>429</v>
      </c>
      <c r="F62" s="34" t="s">
        <v>431</v>
      </c>
      <c r="G62" s="24" t="s">
        <v>258</v>
      </c>
      <c r="H62" s="27" t="n">
        <f aca="false">IFERROR(INDEX('Inventory Master'!$T$2:$T$525,MATCH($A62,'Inventory Master'!$A$2:$A$525,0)),0)</f>
        <v>3</v>
      </c>
      <c r="I62" s="27" t="n">
        <v>1</v>
      </c>
      <c r="J62" s="27" t="n">
        <f aca="false">MAX(0,$H62-$I62)</f>
        <v>2</v>
      </c>
      <c r="K62" s="34" t="str">
        <f aca="false">IF($H62&gt;0,"In Stock","Out of Stock")</f>
        <v>In Stock</v>
      </c>
      <c r="L62" s="24" t="s">
        <v>1841</v>
      </c>
      <c r="M62" s="34" t="s">
        <v>1842</v>
      </c>
      <c r="N62" s="24" t="n">
        <v>3</v>
      </c>
      <c r="O62" s="24" t="n">
        <v>4</v>
      </c>
      <c r="P62" s="24" t="n">
        <v>4</v>
      </c>
      <c r="Q62" s="24" t="str">
        <f aca="false">$L62&amp;"-"&amp;TEXT($N62,"00")&amp;"-"&amp;$O62&amp;"-"&amp;TEXT($P62,"00")</f>
        <v>A-03-4-04</v>
      </c>
      <c r="R62" s="34" t="str">
        <f aca="false">"ZONE "&amp;$L62&amp;" / BAY "&amp;TEXT($N62,"00")&amp;" / SHELF "&amp;$O62&amp;" / BIN "&amp;TEXT($P62,"00")</f>
        <v>ZONE A / BAY 03 / SHELF 4 / BIN 04</v>
      </c>
      <c r="S62" s="34" t="s">
        <v>1847</v>
      </c>
      <c r="T62" s="34" t="s">
        <v>1844</v>
      </c>
      <c r="U62" s="27" t="n">
        <v>61</v>
      </c>
      <c r="V62" s="30" t="n">
        <v>46212</v>
      </c>
      <c r="W62" s="34" t="str">
        <f aca="false">IF($H62&gt;0,"Yes - "&amp;$H62&amp;" in stock at Store 0146 (size "&amp;$G62&amp;"). Back room location "&amp;$Q62&amp;" ("&amp;$R62&amp;"), "&amp;$S62&amp;". Back room "&amp;$J62&amp;" / sales floor "&amp;$I62&amp;".","Not currently in stock at Store 0146 (size "&amp;$G62&amp;"). Home location is "&amp;$Q62&amp;" ("&amp;$R62&amp;") when replenished.")</f>
        <v>Yes - 3 in stock at Store 0146 (size 11). Back room location A-03-4-04 (ZONE A / BAY 03 / SHELF 4 / BIN 04), Overhead - step stool. Back room 2 / sales floor 1.</v>
      </c>
    </row>
    <row r="63" customFormat="false" ht="15" hidden="false" customHeight="false" outlineLevel="0" collapsed="false">
      <c r="A63" s="34" t="s">
        <v>916</v>
      </c>
      <c r="B63" s="34" t="s">
        <v>917</v>
      </c>
      <c r="C63" s="34" t="s">
        <v>426</v>
      </c>
      <c r="D63" s="34" t="s">
        <v>428</v>
      </c>
      <c r="E63" s="34" t="s">
        <v>429</v>
      </c>
      <c r="F63" s="34" t="s">
        <v>431</v>
      </c>
      <c r="G63" s="24" t="s">
        <v>141</v>
      </c>
      <c r="H63" s="27" t="n">
        <f aca="false">IFERROR(INDEX('Inventory Master'!$T$2:$T$525,MATCH($A63,'Inventory Master'!$A$2:$A$525,0)),0)</f>
        <v>1</v>
      </c>
      <c r="I63" s="27" t="n">
        <v>1</v>
      </c>
      <c r="J63" s="27" t="n">
        <f aca="false">MAX(0,$H63-$I63)</f>
        <v>0</v>
      </c>
      <c r="K63" s="34" t="str">
        <f aca="false">IF($H63&gt;0,"In Stock","Out of Stock")</f>
        <v>In Stock</v>
      </c>
      <c r="L63" s="24" t="s">
        <v>1841</v>
      </c>
      <c r="M63" s="34" t="s">
        <v>1842</v>
      </c>
      <c r="N63" s="24" t="n">
        <v>3</v>
      </c>
      <c r="O63" s="24" t="n">
        <v>4</v>
      </c>
      <c r="P63" s="24" t="n">
        <v>5</v>
      </c>
      <c r="Q63" s="24" t="str">
        <f aca="false">$L63&amp;"-"&amp;TEXT($N63,"00")&amp;"-"&amp;$O63&amp;"-"&amp;TEXT($P63,"00")</f>
        <v>A-03-4-05</v>
      </c>
      <c r="R63" s="34" t="str">
        <f aca="false">"ZONE "&amp;$L63&amp;" / BAY "&amp;TEXT($N63,"00")&amp;" / SHELF "&amp;$O63&amp;" / BIN "&amp;TEXT($P63,"00")</f>
        <v>ZONE A / BAY 03 / SHELF 4 / BIN 05</v>
      </c>
      <c r="S63" s="34" t="s">
        <v>1847</v>
      </c>
      <c r="T63" s="34" t="s">
        <v>1844</v>
      </c>
      <c r="U63" s="27" t="n">
        <v>62</v>
      </c>
      <c r="V63" s="30" t="n">
        <v>46208</v>
      </c>
      <c r="W63" s="34" t="str">
        <f aca="false">IF($H63&gt;0,"Yes - "&amp;$H63&amp;" in stock at Store 0146 (size "&amp;$G63&amp;"). Back room location "&amp;$Q63&amp;" ("&amp;$R63&amp;"), "&amp;$S63&amp;". Back room "&amp;$J63&amp;" / sales floor "&amp;$I63&amp;".","Not currently in stock at Store 0146 (size "&amp;$G63&amp;"). Home location is "&amp;$Q63&amp;" ("&amp;$R63&amp;") when replenished.")</f>
        <v>Yes - 1 in stock at Store 0146 (size 11.5). Back room location A-03-4-05 (ZONE A / BAY 03 / SHELF 4 / BIN 05), Overhead - step stool. Back room 0 / sales floor 1.</v>
      </c>
    </row>
    <row r="64" customFormat="false" ht="15" hidden="false" customHeight="false" outlineLevel="0" collapsed="false">
      <c r="A64" s="34" t="s">
        <v>977</v>
      </c>
      <c r="B64" s="34" t="s">
        <v>978</v>
      </c>
      <c r="C64" s="34" t="s">
        <v>426</v>
      </c>
      <c r="D64" s="34" t="s">
        <v>428</v>
      </c>
      <c r="E64" s="34" t="s">
        <v>429</v>
      </c>
      <c r="F64" s="34" t="s">
        <v>431</v>
      </c>
      <c r="G64" s="24" t="s">
        <v>130</v>
      </c>
      <c r="H64" s="27" t="n">
        <f aca="false">IFERROR(INDEX('Inventory Master'!$T$2:$T$525,MATCH($A64,'Inventory Master'!$A$2:$A$525,0)),0)</f>
        <v>6</v>
      </c>
      <c r="I64" s="27" t="n">
        <v>2</v>
      </c>
      <c r="J64" s="27" t="n">
        <f aca="false">MAX(0,$H64-$I64)</f>
        <v>4</v>
      </c>
      <c r="K64" s="34" t="str">
        <f aca="false">IF($H64&gt;0,"In Stock","Out of Stock")</f>
        <v>In Stock</v>
      </c>
      <c r="L64" s="24" t="s">
        <v>1841</v>
      </c>
      <c r="M64" s="34" t="s">
        <v>1842</v>
      </c>
      <c r="N64" s="24" t="n">
        <v>3</v>
      </c>
      <c r="O64" s="24" t="n">
        <v>4</v>
      </c>
      <c r="P64" s="24" t="n">
        <v>6</v>
      </c>
      <c r="Q64" s="24" t="str">
        <f aca="false">$L64&amp;"-"&amp;TEXT($N64,"00")&amp;"-"&amp;$O64&amp;"-"&amp;TEXT($P64,"00")</f>
        <v>A-03-4-06</v>
      </c>
      <c r="R64" s="34" t="str">
        <f aca="false">"ZONE "&amp;$L64&amp;" / BAY "&amp;TEXT($N64,"00")&amp;" / SHELF "&amp;$O64&amp;" / BIN "&amp;TEXT($P64,"00")</f>
        <v>ZONE A / BAY 03 / SHELF 4 / BIN 06</v>
      </c>
      <c r="S64" s="34" t="s">
        <v>1847</v>
      </c>
      <c r="T64" s="34" t="s">
        <v>1844</v>
      </c>
      <c r="U64" s="27" t="n">
        <v>63</v>
      </c>
      <c r="V64" s="30" t="n">
        <v>46139</v>
      </c>
      <c r="W64" s="34" t="str">
        <f aca="false">IF($H64&gt;0,"Yes - "&amp;$H64&amp;" in stock at Store 0146 (size "&amp;$G64&amp;"). Back room location "&amp;$Q64&amp;" ("&amp;$R64&amp;"), "&amp;$S64&amp;". Back room "&amp;$J64&amp;" / sales floor "&amp;$I64&amp;".","Not currently in stock at Store 0146 (size "&amp;$G64&amp;"). Home location is "&amp;$Q64&amp;" ("&amp;$R64&amp;") when replenished.")</f>
        <v>Yes - 6 in stock at Store 0146 (size 12). Back room location A-03-4-06 (ZONE A / BAY 03 / SHELF 4 / BIN 06), Overhead - step stool. Back room 4 / sales floor 2.</v>
      </c>
    </row>
    <row r="65" customFormat="false" ht="15" hidden="false" customHeight="false" outlineLevel="0" collapsed="false">
      <c r="A65" s="34" t="s">
        <v>1631</v>
      </c>
      <c r="B65" s="34" t="s">
        <v>1632</v>
      </c>
      <c r="C65" s="34" t="s">
        <v>562</v>
      </c>
      <c r="D65" s="34" t="s">
        <v>146</v>
      </c>
      <c r="E65" s="34" t="s">
        <v>563</v>
      </c>
      <c r="F65" s="34" t="s">
        <v>565</v>
      </c>
      <c r="G65" s="24" t="s">
        <v>356</v>
      </c>
      <c r="H65" s="27" t="n">
        <f aca="false">IFERROR(INDEX('Inventory Master'!$T$2:$T$525,MATCH($A65,'Inventory Master'!$A$2:$A$525,0)),0)</f>
        <v>6</v>
      </c>
      <c r="I65" s="27" t="n">
        <v>2</v>
      </c>
      <c r="J65" s="27" t="n">
        <f aca="false">MAX(0,$H65-$I65)</f>
        <v>4</v>
      </c>
      <c r="K65" s="34" t="str">
        <f aca="false">IF($H65&gt;0,"In Stock","Out of Stock")</f>
        <v>In Stock</v>
      </c>
      <c r="L65" s="24" t="s">
        <v>1841</v>
      </c>
      <c r="M65" s="34" t="s">
        <v>1842</v>
      </c>
      <c r="N65" s="24" t="n">
        <v>3</v>
      </c>
      <c r="O65" s="24" t="n">
        <v>5</v>
      </c>
      <c r="P65" s="24" t="n">
        <v>1</v>
      </c>
      <c r="Q65" s="24" t="str">
        <f aca="false">$L65&amp;"-"&amp;TEXT($N65,"00")&amp;"-"&amp;$O65&amp;"-"&amp;TEXT($P65,"00")</f>
        <v>A-03-5-01</v>
      </c>
      <c r="R65" s="34" t="str">
        <f aca="false">"ZONE "&amp;$L65&amp;" / BAY "&amp;TEXT($N65,"00")&amp;" / SHELF "&amp;$O65&amp;" / BIN "&amp;TEXT($P65,"00")</f>
        <v>ZONE A / BAY 03 / SHELF 5 / BIN 01</v>
      </c>
      <c r="S65" s="34" t="s">
        <v>1848</v>
      </c>
      <c r="T65" s="34" t="s">
        <v>1844</v>
      </c>
      <c r="U65" s="27" t="n">
        <v>64</v>
      </c>
      <c r="V65" s="30" t="n">
        <v>46192</v>
      </c>
      <c r="W65" s="34" t="str">
        <f aca="false">IF($H65&gt;0,"Yes - "&amp;$H65&amp;" in stock at Store 0146 (size "&amp;$G65&amp;"). Back room location "&amp;$Q65&amp;" ("&amp;$R65&amp;"), "&amp;$S65&amp;". Back room "&amp;$J65&amp;" / sales floor "&amp;$I65&amp;".","Not currently in stock at Store 0146 (size "&amp;$G65&amp;"). Home location is "&amp;$Q65&amp;" ("&amp;$R65&amp;") when replenished.")</f>
        <v>Yes - 6 in stock at Store 0146 (size 8). Back room location A-03-5-01 (ZONE A / BAY 03 / SHELF 5 / BIN 01), Top shelf - ladder required. Back room 4 / sales floor 2.</v>
      </c>
    </row>
    <row r="66" customFormat="false" ht="15" hidden="false" customHeight="false" outlineLevel="0" collapsed="false">
      <c r="A66" s="34" t="s">
        <v>1615</v>
      </c>
      <c r="B66" s="34" t="s">
        <v>1616</v>
      </c>
      <c r="C66" s="34" t="s">
        <v>562</v>
      </c>
      <c r="D66" s="34" t="s">
        <v>146</v>
      </c>
      <c r="E66" s="34" t="s">
        <v>563</v>
      </c>
      <c r="F66" s="34" t="s">
        <v>565</v>
      </c>
      <c r="G66" s="24" t="s">
        <v>188</v>
      </c>
      <c r="H66" s="27" t="n">
        <f aca="false">IFERROR(INDEX('Inventory Master'!$T$2:$T$525,MATCH($A66,'Inventory Master'!$A$2:$A$525,0)),0)</f>
        <v>2</v>
      </c>
      <c r="I66" s="27" t="n">
        <v>1</v>
      </c>
      <c r="J66" s="27" t="n">
        <f aca="false">MAX(0,$H66-$I66)</f>
        <v>1</v>
      </c>
      <c r="K66" s="34" t="str">
        <f aca="false">IF($H66&gt;0,"In Stock","Out of Stock")</f>
        <v>In Stock</v>
      </c>
      <c r="L66" s="24" t="s">
        <v>1841</v>
      </c>
      <c r="M66" s="34" t="s">
        <v>1842</v>
      </c>
      <c r="N66" s="24" t="n">
        <v>3</v>
      </c>
      <c r="O66" s="24" t="n">
        <v>5</v>
      </c>
      <c r="P66" s="24" t="n">
        <v>2</v>
      </c>
      <c r="Q66" s="24" t="str">
        <f aca="false">$L66&amp;"-"&amp;TEXT($N66,"00")&amp;"-"&amp;$O66&amp;"-"&amp;TEXT($P66,"00")</f>
        <v>A-03-5-02</v>
      </c>
      <c r="R66" s="34" t="str">
        <f aca="false">"ZONE "&amp;$L66&amp;" / BAY "&amp;TEXT($N66,"00")&amp;" / SHELF "&amp;$O66&amp;" / BIN "&amp;TEXT($P66,"00")</f>
        <v>ZONE A / BAY 03 / SHELF 5 / BIN 02</v>
      </c>
      <c r="S66" s="34" t="s">
        <v>1848</v>
      </c>
      <c r="T66" s="34" t="s">
        <v>1844</v>
      </c>
      <c r="U66" s="27" t="n">
        <v>65</v>
      </c>
      <c r="V66" s="30" t="n">
        <v>46221</v>
      </c>
      <c r="W66" s="34" t="str">
        <f aca="false">IF($H66&gt;0,"Yes - "&amp;$H66&amp;" in stock at Store 0146 (size "&amp;$G66&amp;"). Back room location "&amp;$Q66&amp;" ("&amp;$R66&amp;"), "&amp;$S66&amp;". Back room "&amp;$J66&amp;" / sales floor "&amp;$I66&amp;".","Not currently in stock at Store 0146 (size "&amp;$G66&amp;"). Home location is "&amp;$Q66&amp;" ("&amp;$R66&amp;") when replenished.")</f>
        <v>Yes - 2 in stock at Store 0146 (size 8.5). Back room location A-03-5-02 (ZONE A / BAY 03 / SHELF 5 / BIN 02), Top shelf - ladder required. Back room 1 / sales floor 1.</v>
      </c>
    </row>
    <row r="67" customFormat="false" ht="15" hidden="false" customHeight="false" outlineLevel="0" collapsed="false">
      <c r="A67" s="34" t="s">
        <v>560</v>
      </c>
      <c r="B67" s="34" t="s">
        <v>561</v>
      </c>
      <c r="C67" s="34" t="s">
        <v>562</v>
      </c>
      <c r="D67" s="34" t="s">
        <v>146</v>
      </c>
      <c r="E67" s="34" t="s">
        <v>563</v>
      </c>
      <c r="F67" s="34" t="s">
        <v>565</v>
      </c>
      <c r="G67" s="24" t="s">
        <v>164</v>
      </c>
      <c r="H67" s="27" t="n">
        <f aca="false">IFERROR(INDEX('Inventory Master'!$T$2:$T$525,MATCH($A67,'Inventory Master'!$A$2:$A$525,0)),0)</f>
        <v>2</v>
      </c>
      <c r="I67" s="27" t="n">
        <v>1</v>
      </c>
      <c r="J67" s="27" t="n">
        <f aca="false">MAX(0,$H67-$I67)</f>
        <v>1</v>
      </c>
      <c r="K67" s="34" t="str">
        <f aca="false">IF($H67&gt;0,"In Stock","Out of Stock")</f>
        <v>In Stock</v>
      </c>
      <c r="L67" s="24" t="s">
        <v>1841</v>
      </c>
      <c r="M67" s="34" t="s">
        <v>1842</v>
      </c>
      <c r="N67" s="24" t="n">
        <v>3</v>
      </c>
      <c r="O67" s="24" t="n">
        <v>5</v>
      </c>
      <c r="P67" s="24" t="n">
        <v>3</v>
      </c>
      <c r="Q67" s="24" t="str">
        <f aca="false">$L67&amp;"-"&amp;TEXT($N67,"00")&amp;"-"&amp;$O67&amp;"-"&amp;TEXT($P67,"00")</f>
        <v>A-03-5-03</v>
      </c>
      <c r="R67" s="34" t="str">
        <f aca="false">"ZONE "&amp;$L67&amp;" / BAY "&amp;TEXT($N67,"00")&amp;" / SHELF "&amp;$O67&amp;" / BIN "&amp;TEXT($P67,"00")</f>
        <v>ZONE A / BAY 03 / SHELF 5 / BIN 03</v>
      </c>
      <c r="S67" s="34" t="s">
        <v>1848</v>
      </c>
      <c r="T67" s="34" t="s">
        <v>1844</v>
      </c>
      <c r="U67" s="27" t="n">
        <v>66</v>
      </c>
      <c r="V67" s="30" t="n">
        <v>46217</v>
      </c>
      <c r="W67" s="34" t="str">
        <f aca="false">IF($H67&gt;0,"Yes - "&amp;$H67&amp;" in stock at Store 0146 (size "&amp;$G67&amp;"). Back room location "&amp;$Q67&amp;" ("&amp;$R67&amp;"), "&amp;$S67&amp;". Back room "&amp;$J67&amp;" / sales floor "&amp;$I67&amp;".","Not currently in stock at Store 0146 (size "&amp;$G67&amp;"). Home location is "&amp;$Q67&amp;" ("&amp;$R67&amp;") when replenished.")</f>
        <v>Yes - 2 in stock at Store 0146 (size 9). Back room location A-03-5-03 (ZONE A / BAY 03 / SHELF 5 / BIN 03), Top shelf - ladder required. Back room 1 / sales floor 1.</v>
      </c>
    </row>
    <row r="68" customFormat="false" ht="15" hidden="false" customHeight="false" outlineLevel="0" collapsed="false">
      <c r="A68" s="34" t="s">
        <v>969</v>
      </c>
      <c r="B68" s="34" t="s">
        <v>970</v>
      </c>
      <c r="C68" s="34" t="s">
        <v>562</v>
      </c>
      <c r="D68" s="34" t="s">
        <v>146</v>
      </c>
      <c r="E68" s="34" t="s">
        <v>563</v>
      </c>
      <c r="F68" s="34" t="s">
        <v>565</v>
      </c>
      <c r="G68" s="24" t="s">
        <v>177</v>
      </c>
      <c r="H68" s="27" t="n">
        <f aca="false">IFERROR(INDEX('Inventory Master'!$T$2:$T$525,MATCH($A68,'Inventory Master'!$A$2:$A$525,0)),0)</f>
        <v>1</v>
      </c>
      <c r="I68" s="27" t="n">
        <v>0</v>
      </c>
      <c r="J68" s="27" t="n">
        <f aca="false">MAX(0,$H68-$I68)</f>
        <v>1</v>
      </c>
      <c r="K68" s="34" t="str">
        <f aca="false">IF($H68&gt;0,"In Stock","Out of Stock")</f>
        <v>In Stock</v>
      </c>
      <c r="L68" s="24" t="s">
        <v>1841</v>
      </c>
      <c r="M68" s="34" t="s">
        <v>1842</v>
      </c>
      <c r="N68" s="24" t="n">
        <v>3</v>
      </c>
      <c r="O68" s="24" t="n">
        <v>5</v>
      </c>
      <c r="P68" s="24" t="n">
        <v>4</v>
      </c>
      <c r="Q68" s="24" t="str">
        <f aca="false">$L68&amp;"-"&amp;TEXT($N68,"00")&amp;"-"&amp;$O68&amp;"-"&amp;TEXT($P68,"00")</f>
        <v>A-03-5-04</v>
      </c>
      <c r="R68" s="34" t="str">
        <f aca="false">"ZONE "&amp;$L68&amp;" / BAY "&amp;TEXT($N68,"00")&amp;" / SHELF "&amp;$O68&amp;" / BIN "&amp;TEXT($P68,"00")</f>
        <v>ZONE A / BAY 03 / SHELF 5 / BIN 04</v>
      </c>
      <c r="S68" s="34" t="s">
        <v>1848</v>
      </c>
      <c r="T68" s="34" t="s">
        <v>1844</v>
      </c>
      <c r="U68" s="27" t="n">
        <v>67</v>
      </c>
      <c r="V68" s="30" t="n">
        <v>46217</v>
      </c>
      <c r="W68" s="34" t="str">
        <f aca="false">IF($H68&gt;0,"Yes - "&amp;$H68&amp;" in stock at Store 0146 (size "&amp;$G68&amp;"). Back room location "&amp;$Q68&amp;" ("&amp;$R68&amp;"), "&amp;$S68&amp;". Back room "&amp;$J68&amp;" / sales floor "&amp;$I68&amp;".","Not currently in stock at Store 0146 (size "&amp;$G68&amp;"). Home location is "&amp;$Q68&amp;" ("&amp;$R68&amp;") when replenished.")</f>
        <v>Yes - 1 in stock at Store 0146 (size 9.5). Back room location A-03-5-04 (ZONE A / BAY 03 / SHELF 5 / BIN 04), Top shelf - ladder required. Back room 1 / sales floor 0.</v>
      </c>
    </row>
    <row r="69" customFormat="false" ht="15" hidden="false" customHeight="false" outlineLevel="0" collapsed="false">
      <c r="A69" s="34" t="s">
        <v>920</v>
      </c>
      <c r="B69" s="34" t="s">
        <v>921</v>
      </c>
      <c r="C69" s="34" t="s">
        <v>562</v>
      </c>
      <c r="D69" s="34" t="s">
        <v>146</v>
      </c>
      <c r="E69" s="34" t="s">
        <v>563</v>
      </c>
      <c r="F69" s="34" t="s">
        <v>565</v>
      </c>
      <c r="G69" s="24" t="s">
        <v>211</v>
      </c>
      <c r="H69" s="27" t="n">
        <f aca="false">IFERROR(INDEX('Inventory Master'!$T$2:$T$525,MATCH($A69,'Inventory Master'!$A$2:$A$525,0)),0)</f>
        <v>3</v>
      </c>
      <c r="I69" s="27" t="n">
        <v>2</v>
      </c>
      <c r="J69" s="27" t="n">
        <f aca="false">MAX(0,$H69-$I69)</f>
        <v>1</v>
      </c>
      <c r="K69" s="34" t="str">
        <f aca="false">IF($H69&gt;0,"In Stock","Out of Stock")</f>
        <v>In Stock</v>
      </c>
      <c r="L69" s="24" t="s">
        <v>1841</v>
      </c>
      <c r="M69" s="34" t="s">
        <v>1842</v>
      </c>
      <c r="N69" s="24" t="n">
        <v>3</v>
      </c>
      <c r="O69" s="24" t="n">
        <v>5</v>
      </c>
      <c r="P69" s="24" t="n">
        <v>5</v>
      </c>
      <c r="Q69" s="24" t="str">
        <f aca="false">$L69&amp;"-"&amp;TEXT($N69,"00")&amp;"-"&amp;$O69&amp;"-"&amp;TEXT($P69,"00")</f>
        <v>A-03-5-05</v>
      </c>
      <c r="R69" s="34" t="str">
        <f aca="false">"ZONE "&amp;$L69&amp;" / BAY "&amp;TEXT($N69,"00")&amp;" / SHELF "&amp;$O69&amp;" / BIN "&amp;TEXT($P69,"00")</f>
        <v>ZONE A / BAY 03 / SHELF 5 / BIN 05</v>
      </c>
      <c r="S69" s="34" t="s">
        <v>1848</v>
      </c>
      <c r="T69" s="34" t="s">
        <v>1844</v>
      </c>
      <c r="U69" s="27" t="n">
        <v>68</v>
      </c>
      <c r="V69" s="30" t="n">
        <v>46182</v>
      </c>
      <c r="W69" s="34" t="str">
        <f aca="false">IF($H69&gt;0,"Yes - "&amp;$H69&amp;" in stock at Store 0146 (size "&amp;$G69&amp;"). Back room location "&amp;$Q69&amp;" ("&amp;$R69&amp;"), "&amp;$S69&amp;". Back room "&amp;$J69&amp;" / sales floor "&amp;$I69&amp;".","Not currently in stock at Store 0146 (size "&amp;$G69&amp;"). Home location is "&amp;$Q69&amp;" ("&amp;$R69&amp;") when replenished.")</f>
        <v>Yes - 3 in stock at Store 0146 (size 10). Back room location A-03-5-05 (ZONE A / BAY 03 / SHELF 5 / BIN 05), Top shelf - ladder required. Back room 1 / sales floor 2.</v>
      </c>
    </row>
    <row r="70" customFormat="false" ht="15" hidden="false" customHeight="false" outlineLevel="0" collapsed="false">
      <c r="A70" s="34" t="s">
        <v>956</v>
      </c>
      <c r="B70" s="34" t="s">
        <v>957</v>
      </c>
      <c r="C70" s="34" t="s">
        <v>611</v>
      </c>
      <c r="D70" s="34" t="s">
        <v>146</v>
      </c>
      <c r="E70" s="34" t="s">
        <v>612</v>
      </c>
      <c r="F70" s="34" t="s">
        <v>614</v>
      </c>
      <c r="G70" s="24" t="s">
        <v>164</v>
      </c>
      <c r="H70" s="27" t="n">
        <f aca="false">IFERROR(INDEX('Inventory Master'!$T$2:$T$525,MATCH($A70,'Inventory Master'!$A$2:$A$525,0)),0)</f>
        <v>0</v>
      </c>
      <c r="I70" s="27" t="n">
        <v>0</v>
      </c>
      <c r="J70" s="27" t="n">
        <f aca="false">MAX(0,$H70-$I70)</f>
        <v>0</v>
      </c>
      <c r="K70" s="34" t="str">
        <f aca="false">IF($H70&gt;0,"In Stock","Out of Stock")</f>
        <v>Out of Stock</v>
      </c>
      <c r="L70" s="24" t="s">
        <v>1841</v>
      </c>
      <c r="M70" s="34" t="s">
        <v>1842</v>
      </c>
      <c r="N70" s="24" t="n">
        <v>4</v>
      </c>
      <c r="O70" s="24" t="n">
        <v>1</v>
      </c>
      <c r="P70" s="24" t="n">
        <v>1</v>
      </c>
      <c r="Q70" s="24" t="str">
        <f aca="false">$L70&amp;"-"&amp;TEXT($N70,"00")&amp;"-"&amp;$O70&amp;"-"&amp;TEXT($P70,"00")</f>
        <v>A-04-1-01</v>
      </c>
      <c r="R70" s="34" t="str">
        <f aca="false">"ZONE "&amp;$L70&amp;" / BAY "&amp;TEXT($N70,"00")&amp;" / SHELF "&amp;$O70&amp;" / BIN "&amp;TEXT($P70,"00")</f>
        <v>ZONE A / BAY 04 / SHELF 1 / BIN 01</v>
      </c>
      <c r="S70" s="34" t="s">
        <v>1843</v>
      </c>
      <c r="T70" s="34" t="s">
        <v>1844</v>
      </c>
      <c r="U70" s="27" t="n">
        <v>69</v>
      </c>
      <c r="V70" s="30" t="n">
        <v>46154</v>
      </c>
      <c r="W70" s="34" t="str">
        <f aca="false">IF($H70&gt;0,"Yes - "&amp;$H70&amp;" in stock at Store 0146 (size "&amp;$G70&amp;"). Back room location "&amp;$Q70&amp;" ("&amp;$R70&amp;"), "&amp;$S70&amp;". Back room "&amp;$J70&amp;" / sales floor "&amp;$I70&amp;".","Not currently in stock at Store 0146 (size "&amp;$G70&amp;"). Home location is "&amp;$Q70&amp;" ("&amp;$R70&amp;") when replenished.")</f>
        <v>Not currently in stock at Store 0146 (size 9). Home location is A-04-1-01 (ZONE A / BAY 04 / SHELF 1 / BIN 01) when replenished.</v>
      </c>
    </row>
    <row r="71" customFormat="false" ht="15" hidden="false" customHeight="false" outlineLevel="0" collapsed="false">
      <c r="A71" s="34" t="s">
        <v>1641</v>
      </c>
      <c r="B71" s="34" t="s">
        <v>1642</v>
      </c>
      <c r="C71" s="34" t="s">
        <v>611</v>
      </c>
      <c r="D71" s="34" t="s">
        <v>146</v>
      </c>
      <c r="E71" s="34" t="s">
        <v>612</v>
      </c>
      <c r="F71" s="34" t="s">
        <v>614</v>
      </c>
      <c r="G71" s="24" t="s">
        <v>177</v>
      </c>
      <c r="H71" s="27" t="n">
        <f aca="false">IFERROR(INDEX('Inventory Master'!$T$2:$T$525,MATCH($A71,'Inventory Master'!$A$2:$A$525,0)),0)</f>
        <v>2</v>
      </c>
      <c r="I71" s="27" t="n">
        <v>1</v>
      </c>
      <c r="J71" s="27" t="n">
        <f aca="false">MAX(0,$H71-$I71)</f>
        <v>1</v>
      </c>
      <c r="K71" s="34" t="str">
        <f aca="false">IF($H71&gt;0,"In Stock","Out of Stock")</f>
        <v>In Stock</v>
      </c>
      <c r="L71" s="24" t="s">
        <v>1841</v>
      </c>
      <c r="M71" s="34" t="s">
        <v>1842</v>
      </c>
      <c r="N71" s="24" t="n">
        <v>4</v>
      </c>
      <c r="O71" s="24" t="n">
        <v>1</v>
      </c>
      <c r="P71" s="24" t="n">
        <v>2</v>
      </c>
      <c r="Q71" s="24" t="str">
        <f aca="false">$L71&amp;"-"&amp;TEXT($N71,"00")&amp;"-"&amp;$O71&amp;"-"&amp;TEXT($P71,"00")</f>
        <v>A-04-1-02</v>
      </c>
      <c r="R71" s="34" t="str">
        <f aca="false">"ZONE "&amp;$L71&amp;" / BAY "&amp;TEXT($N71,"00")&amp;" / SHELF "&amp;$O71&amp;" / BIN "&amp;TEXT($P71,"00")</f>
        <v>ZONE A / BAY 04 / SHELF 1 / BIN 02</v>
      </c>
      <c r="S71" s="34" t="s">
        <v>1843</v>
      </c>
      <c r="T71" s="34" t="s">
        <v>1844</v>
      </c>
      <c r="U71" s="27" t="n">
        <v>70</v>
      </c>
      <c r="V71" s="30" t="n">
        <v>46229</v>
      </c>
      <c r="W71" s="34" t="str">
        <f aca="false">IF($H71&gt;0,"Yes - "&amp;$H71&amp;" in stock at Store 0146 (size "&amp;$G71&amp;"). Back room location "&amp;$Q71&amp;" ("&amp;$R71&amp;"), "&amp;$S71&amp;". Back room "&amp;$J71&amp;" / sales floor "&amp;$I71&amp;".","Not currently in stock at Store 0146 (size "&amp;$G71&amp;"). Home location is "&amp;$Q71&amp;" ("&amp;$R71&amp;") when replenished.")</f>
        <v>Yes - 2 in stock at Store 0146 (size 9.5). Back room location A-04-1-02 (ZONE A / BAY 04 / SHELF 1 / BIN 02), Floor level - no reach. Back room 1 / sales floor 1.</v>
      </c>
    </row>
    <row r="72" customFormat="false" ht="15" hidden="false" customHeight="false" outlineLevel="0" collapsed="false">
      <c r="A72" s="34" t="s">
        <v>609</v>
      </c>
      <c r="B72" s="34" t="s">
        <v>610</v>
      </c>
      <c r="C72" s="34" t="s">
        <v>611</v>
      </c>
      <c r="D72" s="34" t="s">
        <v>146</v>
      </c>
      <c r="E72" s="34" t="s">
        <v>612</v>
      </c>
      <c r="F72" s="34" t="s">
        <v>614</v>
      </c>
      <c r="G72" s="24" t="s">
        <v>211</v>
      </c>
      <c r="H72" s="27" t="n">
        <f aca="false">IFERROR(INDEX('Inventory Master'!$T$2:$T$525,MATCH($A72,'Inventory Master'!$A$2:$A$525,0)),0)</f>
        <v>3</v>
      </c>
      <c r="I72" s="27" t="n">
        <v>0</v>
      </c>
      <c r="J72" s="27" t="n">
        <f aca="false">MAX(0,$H72-$I72)</f>
        <v>3</v>
      </c>
      <c r="K72" s="34" t="str">
        <f aca="false">IF($H72&gt;0,"In Stock","Out of Stock")</f>
        <v>In Stock</v>
      </c>
      <c r="L72" s="24" t="s">
        <v>1841</v>
      </c>
      <c r="M72" s="34" t="s">
        <v>1842</v>
      </c>
      <c r="N72" s="24" t="n">
        <v>4</v>
      </c>
      <c r="O72" s="24" t="n">
        <v>1</v>
      </c>
      <c r="P72" s="24" t="n">
        <v>3</v>
      </c>
      <c r="Q72" s="24" t="str">
        <f aca="false">$L72&amp;"-"&amp;TEXT($N72,"00")&amp;"-"&amp;$O72&amp;"-"&amp;TEXT($P72,"00")</f>
        <v>A-04-1-03</v>
      </c>
      <c r="R72" s="34" t="str">
        <f aca="false">"ZONE "&amp;$L72&amp;" / BAY "&amp;TEXT($N72,"00")&amp;" / SHELF "&amp;$O72&amp;" / BIN "&amp;TEXT($P72,"00")</f>
        <v>ZONE A / BAY 04 / SHELF 1 / BIN 03</v>
      </c>
      <c r="S72" s="34" t="s">
        <v>1843</v>
      </c>
      <c r="T72" s="34" t="s">
        <v>1844</v>
      </c>
      <c r="U72" s="27" t="n">
        <v>71</v>
      </c>
      <c r="V72" s="30" t="n">
        <v>46143</v>
      </c>
      <c r="W72" s="34" t="str">
        <f aca="false">IF($H72&gt;0,"Yes - "&amp;$H72&amp;" in stock at Store 0146 (size "&amp;$G72&amp;"). Back room location "&amp;$Q72&amp;" ("&amp;$R72&amp;"), "&amp;$S72&amp;". Back room "&amp;$J72&amp;" / sales floor "&amp;$I72&amp;".","Not currently in stock at Store 0146 (size "&amp;$G72&amp;"). Home location is "&amp;$Q72&amp;" ("&amp;$R72&amp;") when replenished.")</f>
        <v>Yes - 3 in stock at Store 0146 (size 10). Back room location A-04-1-03 (ZONE A / BAY 04 / SHELF 1 / BIN 03), Floor level - no reach. Back room 3 / sales floor 0.</v>
      </c>
    </row>
    <row r="73" customFormat="false" ht="15" hidden="false" customHeight="false" outlineLevel="0" collapsed="false">
      <c r="A73" s="34" t="s">
        <v>1340</v>
      </c>
      <c r="B73" s="34" t="s">
        <v>1341</v>
      </c>
      <c r="C73" s="34" t="s">
        <v>1342</v>
      </c>
      <c r="D73" s="34" t="s">
        <v>146</v>
      </c>
      <c r="E73" s="34" t="s">
        <v>1343</v>
      </c>
      <c r="F73" s="34" t="s">
        <v>1345</v>
      </c>
      <c r="G73" s="24" t="s">
        <v>258</v>
      </c>
      <c r="H73" s="27" t="n">
        <f aca="false">IFERROR(INDEX('Inventory Master'!$T$2:$T$525,MATCH($A73,'Inventory Master'!$A$2:$A$525,0)),0)</f>
        <v>3</v>
      </c>
      <c r="I73" s="27" t="n">
        <v>1</v>
      </c>
      <c r="J73" s="27" t="n">
        <f aca="false">MAX(0,$H73-$I73)</f>
        <v>2</v>
      </c>
      <c r="K73" s="34" t="str">
        <f aca="false">IF($H73&gt;0,"In Stock","Out of Stock")</f>
        <v>In Stock</v>
      </c>
      <c r="L73" s="24" t="s">
        <v>1841</v>
      </c>
      <c r="M73" s="34" t="s">
        <v>1842</v>
      </c>
      <c r="N73" s="24" t="n">
        <v>4</v>
      </c>
      <c r="O73" s="24" t="n">
        <v>2</v>
      </c>
      <c r="P73" s="24" t="n">
        <v>1</v>
      </c>
      <c r="Q73" s="24" t="str">
        <f aca="false">$L73&amp;"-"&amp;TEXT($N73,"00")&amp;"-"&amp;$O73&amp;"-"&amp;TEXT($P73,"00")</f>
        <v>A-04-2-01</v>
      </c>
      <c r="R73" s="34" t="str">
        <f aca="false">"ZONE "&amp;$L73&amp;" / BAY "&amp;TEXT($N73,"00")&amp;" / SHELF "&amp;$O73&amp;" / BIN "&amp;TEXT($P73,"00")</f>
        <v>ZONE A / BAY 04 / SHELF 2 / BIN 01</v>
      </c>
      <c r="S73" s="34" t="s">
        <v>1845</v>
      </c>
      <c r="T73" s="34" t="s">
        <v>1844</v>
      </c>
      <c r="U73" s="27" t="n">
        <v>72</v>
      </c>
      <c r="V73" s="30" t="n">
        <v>46230</v>
      </c>
      <c r="W73" s="34" t="str">
        <f aca="false">IF($H73&gt;0,"Yes - "&amp;$H73&amp;" in stock at Store 0146 (size "&amp;$G73&amp;"). Back room location "&amp;$Q73&amp;" ("&amp;$R73&amp;"), "&amp;$S73&amp;". Back room "&amp;$J73&amp;" / sales floor "&amp;$I73&amp;".","Not currently in stock at Store 0146 (size "&amp;$G73&amp;"). Home location is "&amp;$Q73&amp;" ("&amp;$R73&amp;") when replenished.")</f>
        <v>Yes - 3 in stock at Store 0146 (size 11). Back room location A-04-2-01 (ZONE A / BAY 04 / SHELF 2 / BIN 01), Waist height. Back room 2 / sales floor 1.</v>
      </c>
    </row>
    <row r="74" customFormat="false" ht="15" hidden="false" customHeight="false" outlineLevel="0" collapsed="false">
      <c r="A74" s="34" t="s">
        <v>1522</v>
      </c>
      <c r="B74" s="34" t="s">
        <v>1523</v>
      </c>
      <c r="C74" s="34" t="s">
        <v>1342</v>
      </c>
      <c r="D74" s="34" t="s">
        <v>146</v>
      </c>
      <c r="E74" s="34" t="s">
        <v>1343</v>
      </c>
      <c r="F74" s="34" t="s">
        <v>1345</v>
      </c>
      <c r="G74" s="24" t="s">
        <v>141</v>
      </c>
      <c r="H74" s="27" t="n">
        <f aca="false">IFERROR(INDEX('Inventory Master'!$T$2:$T$525,MATCH($A74,'Inventory Master'!$A$2:$A$525,0)),0)</f>
        <v>1</v>
      </c>
      <c r="I74" s="27" t="n">
        <v>1</v>
      </c>
      <c r="J74" s="27" t="n">
        <f aca="false">MAX(0,$H74-$I74)</f>
        <v>0</v>
      </c>
      <c r="K74" s="34" t="str">
        <f aca="false">IF($H74&gt;0,"In Stock","Out of Stock")</f>
        <v>In Stock</v>
      </c>
      <c r="L74" s="24" t="s">
        <v>1841</v>
      </c>
      <c r="M74" s="34" t="s">
        <v>1842</v>
      </c>
      <c r="N74" s="24" t="n">
        <v>4</v>
      </c>
      <c r="O74" s="24" t="n">
        <v>2</v>
      </c>
      <c r="P74" s="24" t="n">
        <v>2</v>
      </c>
      <c r="Q74" s="24" t="str">
        <f aca="false">$L74&amp;"-"&amp;TEXT($N74,"00")&amp;"-"&amp;$O74&amp;"-"&amp;TEXT($P74,"00")</f>
        <v>A-04-2-02</v>
      </c>
      <c r="R74" s="34" t="str">
        <f aca="false">"ZONE "&amp;$L74&amp;" / BAY "&amp;TEXT($N74,"00")&amp;" / SHELF "&amp;$O74&amp;" / BIN "&amp;TEXT($P74,"00")</f>
        <v>ZONE A / BAY 04 / SHELF 2 / BIN 02</v>
      </c>
      <c r="S74" s="34" t="s">
        <v>1845</v>
      </c>
      <c r="T74" s="34" t="s">
        <v>1844</v>
      </c>
      <c r="U74" s="27" t="n">
        <v>73</v>
      </c>
      <c r="V74" s="30" t="n">
        <v>46218</v>
      </c>
      <c r="W74" s="34" t="str">
        <f aca="false">IF($H74&gt;0,"Yes - "&amp;$H74&amp;" in stock at Store 0146 (size "&amp;$G74&amp;"). Back room location "&amp;$Q74&amp;" ("&amp;$R74&amp;"), "&amp;$S74&amp;". Back room "&amp;$J74&amp;" / sales floor "&amp;$I74&amp;".","Not currently in stock at Store 0146 (size "&amp;$G74&amp;"). Home location is "&amp;$Q74&amp;" ("&amp;$R74&amp;") when replenished.")</f>
        <v>Yes - 1 in stock at Store 0146 (size 11.5). Back room location A-04-2-02 (ZONE A / BAY 04 / SHELF 2 / BIN 02), Waist height. Back room 0 / sales floor 1.</v>
      </c>
    </row>
    <row r="75" customFormat="false" ht="15" hidden="false" customHeight="false" outlineLevel="0" collapsed="false">
      <c r="A75" s="34" t="s">
        <v>1591</v>
      </c>
      <c r="B75" s="34" t="s">
        <v>1592</v>
      </c>
      <c r="C75" s="34" t="s">
        <v>1342</v>
      </c>
      <c r="D75" s="34" t="s">
        <v>146</v>
      </c>
      <c r="E75" s="34" t="s">
        <v>1343</v>
      </c>
      <c r="F75" s="34" t="s">
        <v>1345</v>
      </c>
      <c r="G75" s="24" t="s">
        <v>130</v>
      </c>
      <c r="H75" s="27" t="n">
        <f aca="false">IFERROR(INDEX('Inventory Master'!$T$2:$T$525,MATCH($A75,'Inventory Master'!$A$2:$A$525,0)),0)</f>
        <v>0</v>
      </c>
      <c r="I75" s="27" t="n">
        <v>0</v>
      </c>
      <c r="J75" s="27" t="n">
        <f aca="false">MAX(0,$H75-$I75)</f>
        <v>0</v>
      </c>
      <c r="K75" s="34" t="str">
        <f aca="false">IF($H75&gt;0,"In Stock","Out of Stock")</f>
        <v>Out of Stock</v>
      </c>
      <c r="L75" s="24" t="s">
        <v>1841</v>
      </c>
      <c r="M75" s="34" t="s">
        <v>1842</v>
      </c>
      <c r="N75" s="24" t="n">
        <v>4</v>
      </c>
      <c r="O75" s="24" t="n">
        <v>2</v>
      </c>
      <c r="P75" s="24" t="n">
        <v>3</v>
      </c>
      <c r="Q75" s="24" t="str">
        <f aca="false">$L75&amp;"-"&amp;TEXT($N75,"00")&amp;"-"&amp;$O75&amp;"-"&amp;TEXT($P75,"00")</f>
        <v>A-04-2-03</v>
      </c>
      <c r="R75" s="34" t="str">
        <f aca="false">"ZONE "&amp;$L75&amp;" / BAY "&amp;TEXT($N75,"00")&amp;" / SHELF "&amp;$O75&amp;" / BIN "&amp;TEXT($P75,"00")</f>
        <v>ZONE A / BAY 04 / SHELF 2 / BIN 03</v>
      </c>
      <c r="S75" s="34" t="s">
        <v>1845</v>
      </c>
      <c r="T75" s="34" t="s">
        <v>1844</v>
      </c>
      <c r="U75" s="27" t="n">
        <v>74</v>
      </c>
      <c r="V75" s="30" t="n">
        <v>46224</v>
      </c>
      <c r="W75" s="34" t="str">
        <f aca="false">IF($H75&gt;0,"Yes - "&amp;$H75&amp;" in stock at Store 0146 (size "&amp;$G75&amp;"). Back room location "&amp;$Q75&amp;" ("&amp;$R75&amp;"), "&amp;$S75&amp;". Back room "&amp;$J75&amp;" / sales floor "&amp;$I75&amp;".","Not currently in stock at Store 0146 (size "&amp;$G75&amp;"). Home location is "&amp;$Q75&amp;" ("&amp;$R75&amp;") when replenished.")</f>
        <v>Not currently in stock at Store 0146 (size 12). Home location is A-04-2-03 (ZONE A / BAY 04 / SHELF 2 / BIN 03) when replenished.</v>
      </c>
    </row>
    <row r="76" customFormat="false" ht="15" hidden="false" customHeight="false" outlineLevel="0" collapsed="false">
      <c r="A76" s="34" t="s">
        <v>1289</v>
      </c>
      <c r="B76" s="34" t="s">
        <v>1290</v>
      </c>
      <c r="C76" s="34" t="s">
        <v>1291</v>
      </c>
      <c r="D76" s="34" t="s">
        <v>146</v>
      </c>
      <c r="E76" s="34" t="s">
        <v>1292</v>
      </c>
      <c r="F76" s="34" t="s">
        <v>1294</v>
      </c>
      <c r="G76" s="24" t="s">
        <v>211</v>
      </c>
      <c r="H76" s="27" t="n">
        <f aca="false">IFERROR(INDEX('Inventory Master'!$T$2:$T$525,MATCH($A76,'Inventory Master'!$A$2:$A$525,0)),0)</f>
        <v>2</v>
      </c>
      <c r="I76" s="27" t="n">
        <v>1</v>
      </c>
      <c r="J76" s="27" t="n">
        <f aca="false">MAX(0,$H76-$I76)</f>
        <v>1</v>
      </c>
      <c r="K76" s="34" t="str">
        <f aca="false">IF($H76&gt;0,"In Stock","Out of Stock")</f>
        <v>In Stock</v>
      </c>
      <c r="L76" s="24" t="s">
        <v>1841</v>
      </c>
      <c r="M76" s="34" t="s">
        <v>1842</v>
      </c>
      <c r="N76" s="24" t="n">
        <v>4</v>
      </c>
      <c r="O76" s="24" t="n">
        <v>3</v>
      </c>
      <c r="P76" s="24" t="n">
        <v>1</v>
      </c>
      <c r="Q76" s="24" t="str">
        <f aca="false">$L76&amp;"-"&amp;TEXT($N76,"00")&amp;"-"&amp;$O76&amp;"-"&amp;TEXT($P76,"00")</f>
        <v>A-04-3-01</v>
      </c>
      <c r="R76" s="34" t="str">
        <f aca="false">"ZONE "&amp;$L76&amp;" / BAY "&amp;TEXT($N76,"00")&amp;" / SHELF "&amp;$O76&amp;" / BIN "&amp;TEXT($P76,"00")</f>
        <v>ZONE A / BAY 04 / SHELF 3 / BIN 01</v>
      </c>
      <c r="S76" s="34" t="s">
        <v>1846</v>
      </c>
      <c r="T76" s="34" t="s">
        <v>1844</v>
      </c>
      <c r="U76" s="27" t="n">
        <v>75</v>
      </c>
      <c r="V76" s="30" t="n">
        <v>46165</v>
      </c>
      <c r="W76" s="34" t="str">
        <f aca="false">IF($H76&gt;0,"Yes - "&amp;$H76&amp;" in stock at Store 0146 (size "&amp;$G76&amp;"). Back room location "&amp;$Q76&amp;" ("&amp;$R76&amp;"), "&amp;$S76&amp;". Back room "&amp;$J76&amp;" / sales floor "&amp;$I76&amp;".","Not currently in stock at Store 0146 (size "&amp;$G76&amp;"). Home location is "&amp;$Q76&amp;" ("&amp;$R76&amp;") when replenished.")</f>
        <v>Yes - 2 in stock at Store 0146 (size 10). Back room location A-04-3-01 (ZONE A / BAY 04 / SHELF 3 / BIN 01), Eye level. Back room 1 / sales floor 1.</v>
      </c>
    </row>
    <row r="77" customFormat="false" ht="15" hidden="false" customHeight="false" outlineLevel="0" collapsed="false">
      <c r="A77" s="34" t="s">
        <v>1663</v>
      </c>
      <c r="B77" s="34" t="s">
        <v>1664</v>
      </c>
      <c r="C77" s="34" t="s">
        <v>1291</v>
      </c>
      <c r="D77" s="34" t="s">
        <v>146</v>
      </c>
      <c r="E77" s="34" t="s">
        <v>1292</v>
      </c>
      <c r="F77" s="34" t="s">
        <v>1294</v>
      </c>
      <c r="G77" s="24" t="s">
        <v>327</v>
      </c>
      <c r="H77" s="27" t="n">
        <f aca="false">IFERROR(INDEX('Inventory Master'!$T$2:$T$525,MATCH($A77,'Inventory Master'!$A$2:$A$525,0)),0)</f>
        <v>0</v>
      </c>
      <c r="I77" s="27" t="n">
        <v>0</v>
      </c>
      <c r="J77" s="27" t="n">
        <f aca="false">MAX(0,$H77-$I77)</f>
        <v>0</v>
      </c>
      <c r="K77" s="34" t="str">
        <f aca="false">IF($H77&gt;0,"In Stock","Out of Stock")</f>
        <v>Out of Stock</v>
      </c>
      <c r="L77" s="24" t="s">
        <v>1841</v>
      </c>
      <c r="M77" s="34" t="s">
        <v>1842</v>
      </c>
      <c r="N77" s="24" t="n">
        <v>4</v>
      </c>
      <c r="O77" s="24" t="n">
        <v>3</v>
      </c>
      <c r="P77" s="24" t="n">
        <v>2</v>
      </c>
      <c r="Q77" s="24" t="str">
        <f aca="false">$L77&amp;"-"&amp;TEXT($N77,"00")&amp;"-"&amp;$O77&amp;"-"&amp;TEXT($P77,"00")</f>
        <v>A-04-3-02</v>
      </c>
      <c r="R77" s="34" t="str">
        <f aca="false">"ZONE "&amp;$L77&amp;" / BAY "&amp;TEXT($N77,"00")&amp;" / SHELF "&amp;$O77&amp;" / BIN "&amp;TEXT($P77,"00")</f>
        <v>ZONE A / BAY 04 / SHELF 3 / BIN 02</v>
      </c>
      <c r="S77" s="34" t="s">
        <v>1846</v>
      </c>
      <c r="T77" s="34" t="s">
        <v>1844</v>
      </c>
      <c r="U77" s="27" t="n">
        <v>76</v>
      </c>
      <c r="V77" s="30" t="n">
        <v>46188</v>
      </c>
      <c r="W77" s="34" t="str">
        <f aca="false">IF($H77&gt;0,"Yes - "&amp;$H77&amp;" in stock at Store 0146 (size "&amp;$G77&amp;"). Back room location "&amp;$Q77&amp;" ("&amp;$R77&amp;"), "&amp;$S77&amp;". Back room "&amp;$J77&amp;" / sales floor "&amp;$I77&amp;".","Not currently in stock at Store 0146 (size "&amp;$G77&amp;"). Home location is "&amp;$Q77&amp;" ("&amp;$R77&amp;") when replenished.")</f>
        <v>Not currently in stock at Store 0146 (size 10.5). Home location is A-04-3-02 (ZONE A / BAY 04 / SHELF 3 / BIN 02) when replenished.</v>
      </c>
    </row>
    <row r="78" customFormat="false" ht="15" hidden="false" customHeight="false" outlineLevel="0" collapsed="false">
      <c r="A78" s="34" t="s">
        <v>1384</v>
      </c>
      <c r="B78" s="34" t="s">
        <v>1385</v>
      </c>
      <c r="C78" s="34" t="s">
        <v>1291</v>
      </c>
      <c r="D78" s="34" t="s">
        <v>146</v>
      </c>
      <c r="E78" s="34" t="s">
        <v>1292</v>
      </c>
      <c r="F78" s="34" t="s">
        <v>1294</v>
      </c>
      <c r="G78" s="24" t="s">
        <v>258</v>
      </c>
      <c r="H78" s="27" t="n">
        <f aca="false">IFERROR(INDEX('Inventory Master'!$T$2:$T$525,MATCH($A78,'Inventory Master'!$A$2:$A$525,0)),0)</f>
        <v>4</v>
      </c>
      <c r="I78" s="27" t="n">
        <v>1</v>
      </c>
      <c r="J78" s="27" t="n">
        <f aca="false">MAX(0,$H78-$I78)</f>
        <v>3</v>
      </c>
      <c r="K78" s="34" t="str">
        <f aca="false">IF($H78&gt;0,"In Stock","Out of Stock")</f>
        <v>In Stock</v>
      </c>
      <c r="L78" s="24" t="s">
        <v>1841</v>
      </c>
      <c r="M78" s="34" t="s">
        <v>1842</v>
      </c>
      <c r="N78" s="24" t="n">
        <v>4</v>
      </c>
      <c r="O78" s="24" t="n">
        <v>3</v>
      </c>
      <c r="P78" s="24" t="n">
        <v>3</v>
      </c>
      <c r="Q78" s="24" t="str">
        <f aca="false">$L78&amp;"-"&amp;TEXT($N78,"00")&amp;"-"&amp;$O78&amp;"-"&amp;TEXT($P78,"00")</f>
        <v>A-04-3-03</v>
      </c>
      <c r="R78" s="34" t="str">
        <f aca="false">"ZONE "&amp;$L78&amp;" / BAY "&amp;TEXT($N78,"00")&amp;" / SHELF "&amp;$O78&amp;" / BIN "&amp;TEXT($P78,"00")</f>
        <v>ZONE A / BAY 04 / SHELF 3 / BIN 03</v>
      </c>
      <c r="S78" s="34" t="s">
        <v>1846</v>
      </c>
      <c r="T78" s="34" t="s">
        <v>1844</v>
      </c>
      <c r="U78" s="27" t="n">
        <v>77</v>
      </c>
      <c r="V78" s="30" t="n">
        <v>46228</v>
      </c>
      <c r="W78" s="34" t="str">
        <f aca="false">IF($H78&gt;0,"Yes - "&amp;$H78&amp;" in stock at Store 0146 (size "&amp;$G78&amp;"). Back room location "&amp;$Q78&amp;" ("&amp;$R78&amp;"), "&amp;$S78&amp;". Back room "&amp;$J78&amp;" / sales floor "&amp;$I78&amp;".","Not currently in stock at Store 0146 (size "&amp;$G78&amp;"). Home location is "&amp;$Q78&amp;" ("&amp;$R78&amp;") when replenished.")</f>
        <v>Yes - 4 in stock at Store 0146 (size 11). Back room location A-04-3-03 (ZONE A / BAY 04 / SHELF 3 / BIN 03), Eye level. Back room 3 / sales floor 1.</v>
      </c>
    </row>
    <row r="79" customFormat="false" ht="15" hidden="false" customHeight="false" outlineLevel="0" collapsed="false">
      <c r="A79" s="34" t="s">
        <v>844</v>
      </c>
      <c r="B79" s="34" t="s">
        <v>845</v>
      </c>
      <c r="C79" s="34" t="s">
        <v>846</v>
      </c>
      <c r="D79" s="34" t="s">
        <v>107</v>
      </c>
      <c r="E79" s="34" t="s">
        <v>847</v>
      </c>
      <c r="F79" s="34" t="s">
        <v>849</v>
      </c>
      <c r="G79" s="24" t="s">
        <v>356</v>
      </c>
      <c r="H79" s="27" t="n">
        <f aca="false">IFERROR(INDEX('Inventory Master'!$T$2:$T$525,MATCH($A79,'Inventory Master'!$A$2:$A$525,0)),0)</f>
        <v>4</v>
      </c>
      <c r="I79" s="27" t="n">
        <v>1</v>
      </c>
      <c r="J79" s="27" t="n">
        <f aca="false">MAX(0,$H79-$I79)</f>
        <v>3</v>
      </c>
      <c r="K79" s="34" t="str">
        <f aca="false">IF($H79&gt;0,"In Stock","Out of Stock")</f>
        <v>In Stock</v>
      </c>
      <c r="L79" s="24" t="s">
        <v>1841</v>
      </c>
      <c r="M79" s="34" t="s">
        <v>1842</v>
      </c>
      <c r="N79" s="24" t="n">
        <v>4</v>
      </c>
      <c r="O79" s="24" t="n">
        <v>4</v>
      </c>
      <c r="P79" s="24" t="n">
        <v>1</v>
      </c>
      <c r="Q79" s="24" t="str">
        <f aca="false">$L79&amp;"-"&amp;TEXT($N79,"00")&amp;"-"&amp;$O79&amp;"-"&amp;TEXT($P79,"00")</f>
        <v>A-04-4-01</v>
      </c>
      <c r="R79" s="34" t="str">
        <f aca="false">"ZONE "&amp;$L79&amp;" / BAY "&amp;TEXT($N79,"00")&amp;" / SHELF "&amp;$O79&amp;" / BIN "&amp;TEXT($P79,"00")</f>
        <v>ZONE A / BAY 04 / SHELF 4 / BIN 01</v>
      </c>
      <c r="S79" s="34" t="s">
        <v>1847</v>
      </c>
      <c r="T79" s="34" t="s">
        <v>1844</v>
      </c>
      <c r="U79" s="27" t="n">
        <v>78</v>
      </c>
      <c r="V79" s="30" t="n">
        <v>46182</v>
      </c>
      <c r="W79" s="34" t="str">
        <f aca="false">IF($H79&gt;0,"Yes - "&amp;$H79&amp;" in stock at Store 0146 (size "&amp;$G79&amp;"). Back room location "&amp;$Q79&amp;" ("&amp;$R79&amp;"), "&amp;$S79&amp;". Back room "&amp;$J79&amp;" / sales floor "&amp;$I79&amp;".","Not currently in stock at Store 0146 (size "&amp;$G79&amp;"). Home location is "&amp;$Q79&amp;" ("&amp;$R79&amp;") when replenished.")</f>
        <v>Yes - 4 in stock at Store 0146 (size 8). Back room location A-04-4-01 (ZONE A / BAY 04 / SHELF 4 / BIN 01), Overhead - step stool. Back room 3 / sales floor 1.</v>
      </c>
    </row>
    <row r="80" customFormat="false" ht="15" hidden="false" customHeight="false" outlineLevel="0" collapsed="false">
      <c r="A80" s="34" t="s">
        <v>1781</v>
      </c>
      <c r="B80" s="34" t="s">
        <v>1782</v>
      </c>
      <c r="C80" s="34" t="s">
        <v>846</v>
      </c>
      <c r="D80" s="34" t="s">
        <v>107</v>
      </c>
      <c r="E80" s="34" t="s">
        <v>847</v>
      </c>
      <c r="F80" s="34" t="s">
        <v>849</v>
      </c>
      <c r="G80" s="24" t="s">
        <v>188</v>
      </c>
      <c r="H80" s="27" t="n">
        <f aca="false">IFERROR(INDEX('Inventory Master'!$T$2:$T$525,MATCH($A80,'Inventory Master'!$A$2:$A$525,0)),0)</f>
        <v>5</v>
      </c>
      <c r="I80" s="27" t="n">
        <v>1</v>
      </c>
      <c r="J80" s="27" t="n">
        <f aca="false">MAX(0,$H80-$I80)</f>
        <v>4</v>
      </c>
      <c r="K80" s="34" t="str">
        <f aca="false">IF($H80&gt;0,"In Stock","Out of Stock")</f>
        <v>In Stock</v>
      </c>
      <c r="L80" s="24" t="s">
        <v>1841</v>
      </c>
      <c r="M80" s="34" t="s">
        <v>1842</v>
      </c>
      <c r="N80" s="24" t="n">
        <v>4</v>
      </c>
      <c r="O80" s="24" t="n">
        <v>4</v>
      </c>
      <c r="P80" s="24" t="n">
        <v>2</v>
      </c>
      <c r="Q80" s="24" t="str">
        <f aca="false">$L80&amp;"-"&amp;TEXT($N80,"00")&amp;"-"&amp;$O80&amp;"-"&amp;TEXT($P80,"00")</f>
        <v>A-04-4-02</v>
      </c>
      <c r="R80" s="34" t="str">
        <f aca="false">"ZONE "&amp;$L80&amp;" / BAY "&amp;TEXT($N80,"00")&amp;" / SHELF "&amp;$O80&amp;" / BIN "&amp;TEXT($P80,"00")</f>
        <v>ZONE A / BAY 04 / SHELF 4 / BIN 02</v>
      </c>
      <c r="S80" s="34" t="s">
        <v>1847</v>
      </c>
      <c r="T80" s="34" t="s">
        <v>1844</v>
      </c>
      <c r="U80" s="27" t="n">
        <v>79</v>
      </c>
      <c r="V80" s="30" t="n">
        <v>46202</v>
      </c>
      <c r="W80" s="34" t="str">
        <f aca="false">IF($H80&gt;0,"Yes - "&amp;$H80&amp;" in stock at Store 0146 (size "&amp;$G80&amp;"). Back room location "&amp;$Q80&amp;" ("&amp;$R80&amp;"), "&amp;$S80&amp;". Back room "&amp;$J80&amp;" / sales floor "&amp;$I80&amp;".","Not currently in stock at Store 0146 (size "&amp;$G80&amp;"). Home location is "&amp;$Q80&amp;" ("&amp;$R80&amp;") when replenished.")</f>
        <v>Yes - 5 in stock at Store 0146 (size 8.5). Back room location A-04-4-02 (ZONE A / BAY 04 / SHELF 4 / BIN 02), Overhead - step stool. Back room 4 / sales floor 1.</v>
      </c>
    </row>
    <row r="81" customFormat="false" ht="15" hidden="false" customHeight="false" outlineLevel="0" collapsed="false">
      <c r="A81" s="34" t="s">
        <v>1771</v>
      </c>
      <c r="B81" s="34" t="s">
        <v>1772</v>
      </c>
      <c r="C81" s="34" t="s">
        <v>846</v>
      </c>
      <c r="D81" s="34" t="s">
        <v>107</v>
      </c>
      <c r="E81" s="34" t="s">
        <v>847</v>
      </c>
      <c r="F81" s="34" t="s">
        <v>849</v>
      </c>
      <c r="G81" s="24" t="s">
        <v>164</v>
      </c>
      <c r="H81" s="27" t="n">
        <f aca="false">IFERROR(INDEX('Inventory Master'!$T$2:$T$525,MATCH($A81,'Inventory Master'!$A$2:$A$525,0)),0)</f>
        <v>1</v>
      </c>
      <c r="I81" s="27" t="n">
        <v>1</v>
      </c>
      <c r="J81" s="27" t="n">
        <f aca="false">MAX(0,$H81-$I81)</f>
        <v>0</v>
      </c>
      <c r="K81" s="34" t="str">
        <f aca="false">IF($H81&gt;0,"In Stock","Out of Stock")</f>
        <v>In Stock</v>
      </c>
      <c r="L81" s="24" t="s">
        <v>1841</v>
      </c>
      <c r="M81" s="34" t="s">
        <v>1842</v>
      </c>
      <c r="N81" s="24" t="n">
        <v>4</v>
      </c>
      <c r="O81" s="24" t="n">
        <v>4</v>
      </c>
      <c r="P81" s="24" t="n">
        <v>3</v>
      </c>
      <c r="Q81" s="24" t="str">
        <f aca="false">$L81&amp;"-"&amp;TEXT($N81,"00")&amp;"-"&amp;$O81&amp;"-"&amp;TEXT($P81,"00")</f>
        <v>A-04-4-03</v>
      </c>
      <c r="R81" s="34" t="str">
        <f aca="false">"ZONE "&amp;$L81&amp;" / BAY "&amp;TEXT($N81,"00")&amp;" / SHELF "&amp;$O81&amp;" / BIN "&amp;TEXT($P81,"00")</f>
        <v>ZONE A / BAY 04 / SHELF 4 / BIN 03</v>
      </c>
      <c r="S81" s="34" t="s">
        <v>1847</v>
      </c>
      <c r="T81" s="34" t="s">
        <v>1844</v>
      </c>
      <c r="U81" s="27" t="n">
        <v>80</v>
      </c>
      <c r="V81" s="30" t="n">
        <v>46166</v>
      </c>
      <c r="W81" s="34" t="str">
        <f aca="false">IF($H81&gt;0,"Yes - "&amp;$H81&amp;" in stock at Store 0146 (size "&amp;$G81&amp;"). Back room location "&amp;$Q81&amp;" ("&amp;$R81&amp;"), "&amp;$S81&amp;". Back room "&amp;$J81&amp;" / sales floor "&amp;$I81&amp;".","Not currently in stock at Store 0146 (size "&amp;$G81&amp;"). Home location is "&amp;$Q81&amp;" ("&amp;$R81&amp;") when replenished.")</f>
        <v>Yes - 1 in stock at Store 0146 (size 9). Back room location A-04-4-03 (ZONE A / BAY 04 / SHELF 4 / BIN 03), Overhead - step stool. Back room 0 / sales floor 1.</v>
      </c>
    </row>
    <row r="82" customFormat="false" ht="15" hidden="false" customHeight="false" outlineLevel="0" collapsed="false">
      <c r="A82" s="34" t="s">
        <v>911</v>
      </c>
      <c r="B82" s="34" t="s">
        <v>912</v>
      </c>
      <c r="C82" s="34" t="s">
        <v>846</v>
      </c>
      <c r="D82" s="34" t="s">
        <v>107</v>
      </c>
      <c r="E82" s="34" t="s">
        <v>847</v>
      </c>
      <c r="F82" s="34" t="s">
        <v>849</v>
      </c>
      <c r="G82" s="24" t="s">
        <v>177</v>
      </c>
      <c r="H82" s="27" t="n">
        <f aca="false">IFERROR(INDEX('Inventory Master'!$T$2:$T$525,MATCH($A82,'Inventory Master'!$A$2:$A$525,0)),0)</f>
        <v>3</v>
      </c>
      <c r="I82" s="27" t="n">
        <v>1</v>
      </c>
      <c r="J82" s="27" t="n">
        <f aca="false">MAX(0,$H82-$I82)</f>
        <v>2</v>
      </c>
      <c r="K82" s="34" t="str">
        <f aca="false">IF($H82&gt;0,"In Stock","Out of Stock")</f>
        <v>In Stock</v>
      </c>
      <c r="L82" s="24" t="s">
        <v>1841</v>
      </c>
      <c r="M82" s="34" t="s">
        <v>1842</v>
      </c>
      <c r="N82" s="24" t="n">
        <v>4</v>
      </c>
      <c r="O82" s="24" t="n">
        <v>4</v>
      </c>
      <c r="P82" s="24" t="n">
        <v>4</v>
      </c>
      <c r="Q82" s="24" t="str">
        <f aca="false">$L82&amp;"-"&amp;TEXT($N82,"00")&amp;"-"&amp;$O82&amp;"-"&amp;TEXT($P82,"00")</f>
        <v>A-04-4-04</v>
      </c>
      <c r="R82" s="34" t="str">
        <f aca="false">"ZONE "&amp;$L82&amp;" / BAY "&amp;TEXT($N82,"00")&amp;" / SHELF "&amp;$O82&amp;" / BIN "&amp;TEXT($P82,"00")</f>
        <v>ZONE A / BAY 04 / SHELF 4 / BIN 04</v>
      </c>
      <c r="S82" s="34" t="s">
        <v>1847</v>
      </c>
      <c r="T82" s="34" t="s">
        <v>1844</v>
      </c>
      <c r="U82" s="27" t="n">
        <v>81</v>
      </c>
      <c r="V82" s="30" t="n">
        <v>46178</v>
      </c>
      <c r="W82" s="34" t="str">
        <f aca="false">IF($H82&gt;0,"Yes - "&amp;$H82&amp;" in stock at Store 0146 (size "&amp;$G82&amp;"). Back room location "&amp;$Q82&amp;" ("&amp;$R82&amp;"), "&amp;$S82&amp;". Back room "&amp;$J82&amp;" / sales floor "&amp;$I82&amp;".","Not currently in stock at Store 0146 (size "&amp;$G82&amp;"). Home location is "&amp;$Q82&amp;" ("&amp;$R82&amp;") when replenished.")</f>
        <v>Yes - 3 in stock at Store 0146 (size 9.5). Back room location A-04-4-04 (ZONE A / BAY 04 / SHELF 4 / BIN 04), Overhead - step stool. Back room 2 / sales floor 1.</v>
      </c>
    </row>
    <row r="83" customFormat="false" ht="15" hidden="false" customHeight="false" outlineLevel="0" collapsed="false">
      <c r="A83" s="34" t="s">
        <v>1821</v>
      </c>
      <c r="B83" s="34" t="s">
        <v>1822</v>
      </c>
      <c r="C83" s="34" t="s">
        <v>1191</v>
      </c>
      <c r="D83" s="34" t="s">
        <v>107</v>
      </c>
      <c r="E83" s="34" t="s">
        <v>1192</v>
      </c>
      <c r="F83" s="34" t="s">
        <v>1194</v>
      </c>
      <c r="G83" s="24" t="s">
        <v>188</v>
      </c>
      <c r="H83" s="27" t="n">
        <f aca="false">IFERROR(INDEX('Inventory Master'!$T$2:$T$525,MATCH($A83,'Inventory Master'!$A$2:$A$525,0)),0)</f>
        <v>3</v>
      </c>
      <c r="I83" s="27" t="n">
        <v>2</v>
      </c>
      <c r="J83" s="27" t="n">
        <f aca="false">MAX(0,$H83-$I83)</f>
        <v>1</v>
      </c>
      <c r="K83" s="34" t="str">
        <f aca="false">IF($H83&gt;0,"In Stock","Out of Stock")</f>
        <v>In Stock</v>
      </c>
      <c r="L83" s="24" t="s">
        <v>1841</v>
      </c>
      <c r="M83" s="34" t="s">
        <v>1842</v>
      </c>
      <c r="N83" s="24" t="n">
        <v>4</v>
      </c>
      <c r="O83" s="24" t="n">
        <v>5</v>
      </c>
      <c r="P83" s="24" t="n">
        <v>1</v>
      </c>
      <c r="Q83" s="24" t="str">
        <f aca="false">$L83&amp;"-"&amp;TEXT($N83,"00")&amp;"-"&amp;$O83&amp;"-"&amp;TEXT($P83,"00")</f>
        <v>A-04-5-01</v>
      </c>
      <c r="R83" s="34" t="str">
        <f aca="false">"ZONE "&amp;$L83&amp;" / BAY "&amp;TEXT($N83,"00")&amp;" / SHELF "&amp;$O83&amp;" / BIN "&amp;TEXT($P83,"00")</f>
        <v>ZONE A / BAY 04 / SHELF 5 / BIN 01</v>
      </c>
      <c r="S83" s="34" t="s">
        <v>1848</v>
      </c>
      <c r="T83" s="34" t="s">
        <v>1844</v>
      </c>
      <c r="U83" s="27" t="n">
        <v>82</v>
      </c>
      <c r="V83" s="30" t="n">
        <v>46228</v>
      </c>
      <c r="W83" s="34" t="str">
        <f aca="false">IF($H83&gt;0,"Yes - "&amp;$H83&amp;" in stock at Store 0146 (size "&amp;$G83&amp;"). Back room location "&amp;$Q83&amp;" ("&amp;$R83&amp;"), "&amp;$S83&amp;". Back room "&amp;$J83&amp;" / sales floor "&amp;$I83&amp;".","Not currently in stock at Store 0146 (size "&amp;$G83&amp;"). Home location is "&amp;$Q83&amp;" ("&amp;$R83&amp;") when replenished.")</f>
        <v>Yes - 3 in stock at Store 0146 (size 8.5). Back room location A-04-5-01 (ZONE A / BAY 04 / SHELF 5 / BIN 01), Top shelf - ladder required. Back room 1 / sales floor 2.</v>
      </c>
    </row>
    <row r="84" customFormat="false" ht="15" hidden="false" customHeight="false" outlineLevel="0" collapsed="false">
      <c r="A84" s="34" t="s">
        <v>1189</v>
      </c>
      <c r="B84" s="34" t="s">
        <v>1190</v>
      </c>
      <c r="C84" s="34" t="s">
        <v>1191</v>
      </c>
      <c r="D84" s="34" t="s">
        <v>107</v>
      </c>
      <c r="E84" s="34" t="s">
        <v>1192</v>
      </c>
      <c r="F84" s="34" t="s">
        <v>1194</v>
      </c>
      <c r="G84" s="24" t="s">
        <v>164</v>
      </c>
      <c r="H84" s="27" t="n">
        <f aca="false">IFERROR(INDEX('Inventory Master'!$T$2:$T$525,MATCH($A84,'Inventory Master'!$A$2:$A$525,0)),0)</f>
        <v>3</v>
      </c>
      <c r="I84" s="27" t="n">
        <v>1</v>
      </c>
      <c r="J84" s="27" t="n">
        <f aca="false">MAX(0,$H84-$I84)</f>
        <v>2</v>
      </c>
      <c r="K84" s="34" t="str">
        <f aca="false">IF($H84&gt;0,"In Stock","Out of Stock")</f>
        <v>In Stock</v>
      </c>
      <c r="L84" s="24" t="s">
        <v>1841</v>
      </c>
      <c r="M84" s="34" t="s">
        <v>1842</v>
      </c>
      <c r="N84" s="24" t="n">
        <v>4</v>
      </c>
      <c r="O84" s="24" t="n">
        <v>5</v>
      </c>
      <c r="P84" s="24" t="n">
        <v>2</v>
      </c>
      <c r="Q84" s="24" t="str">
        <f aca="false">$L84&amp;"-"&amp;TEXT($N84,"00")&amp;"-"&amp;$O84&amp;"-"&amp;TEXT($P84,"00")</f>
        <v>A-04-5-02</v>
      </c>
      <c r="R84" s="34" t="str">
        <f aca="false">"ZONE "&amp;$L84&amp;" / BAY "&amp;TEXT($N84,"00")&amp;" / SHELF "&amp;$O84&amp;" / BIN "&amp;TEXT($P84,"00")</f>
        <v>ZONE A / BAY 04 / SHELF 5 / BIN 02</v>
      </c>
      <c r="S84" s="34" t="s">
        <v>1848</v>
      </c>
      <c r="T84" s="34" t="s">
        <v>1844</v>
      </c>
      <c r="U84" s="27" t="n">
        <v>83</v>
      </c>
      <c r="V84" s="30" t="n">
        <v>46226</v>
      </c>
      <c r="W84" s="34" t="str">
        <f aca="false">IF($H84&gt;0,"Yes - "&amp;$H84&amp;" in stock at Store 0146 (size "&amp;$G84&amp;"). Back room location "&amp;$Q84&amp;" ("&amp;$R84&amp;"), "&amp;$S84&amp;". Back room "&amp;$J84&amp;" / sales floor "&amp;$I84&amp;".","Not currently in stock at Store 0146 (size "&amp;$G84&amp;"). Home location is "&amp;$Q84&amp;" ("&amp;$R84&amp;") when replenished.")</f>
        <v>Yes - 3 in stock at Store 0146 (size 9). Back room location A-04-5-02 (ZONE A / BAY 04 / SHELF 5 / BIN 02), Top shelf - ladder required. Back room 2 / sales floor 1.</v>
      </c>
    </row>
    <row r="85" customFormat="false" ht="15" hidden="false" customHeight="false" outlineLevel="0" collapsed="false">
      <c r="A85" s="34" t="s">
        <v>1599</v>
      </c>
      <c r="B85" s="34" t="s">
        <v>1600</v>
      </c>
      <c r="C85" s="34" t="s">
        <v>1191</v>
      </c>
      <c r="D85" s="34" t="s">
        <v>107</v>
      </c>
      <c r="E85" s="34" t="s">
        <v>1192</v>
      </c>
      <c r="F85" s="34" t="s">
        <v>1194</v>
      </c>
      <c r="G85" s="24" t="s">
        <v>177</v>
      </c>
      <c r="H85" s="27" t="n">
        <f aca="false">IFERROR(INDEX('Inventory Master'!$T$2:$T$525,MATCH($A85,'Inventory Master'!$A$2:$A$525,0)),0)</f>
        <v>3</v>
      </c>
      <c r="I85" s="27" t="n">
        <v>1</v>
      </c>
      <c r="J85" s="27" t="n">
        <f aca="false">MAX(0,$H85-$I85)</f>
        <v>2</v>
      </c>
      <c r="K85" s="34" t="str">
        <f aca="false">IF($H85&gt;0,"In Stock","Out of Stock")</f>
        <v>In Stock</v>
      </c>
      <c r="L85" s="24" t="s">
        <v>1841</v>
      </c>
      <c r="M85" s="34" t="s">
        <v>1842</v>
      </c>
      <c r="N85" s="24" t="n">
        <v>4</v>
      </c>
      <c r="O85" s="24" t="n">
        <v>5</v>
      </c>
      <c r="P85" s="24" t="n">
        <v>3</v>
      </c>
      <c r="Q85" s="24" t="str">
        <f aca="false">$L85&amp;"-"&amp;TEXT($N85,"00")&amp;"-"&amp;$O85&amp;"-"&amp;TEXT($P85,"00")</f>
        <v>A-04-5-03</v>
      </c>
      <c r="R85" s="34" t="str">
        <f aca="false">"ZONE "&amp;$L85&amp;" / BAY "&amp;TEXT($N85,"00")&amp;" / SHELF "&amp;$O85&amp;" / BIN "&amp;TEXT($P85,"00")</f>
        <v>ZONE A / BAY 04 / SHELF 5 / BIN 03</v>
      </c>
      <c r="S85" s="34" t="s">
        <v>1848</v>
      </c>
      <c r="T85" s="34" t="s">
        <v>1844</v>
      </c>
      <c r="U85" s="27" t="n">
        <v>84</v>
      </c>
      <c r="V85" s="30" t="n">
        <v>46179</v>
      </c>
      <c r="W85" s="34" t="str">
        <f aca="false">IF($H85&gt;0,"Yes - "&amp;$H85&amp;" in stock at Store 0146 (size "&amp;$G85&amp;"). Back room location "&amp;$Q85&amp;" ("&amp;$R85&amp;"), "&amp;$S85&amp;". Back room "&amp;$J85&amp;" / sales floor "&amp;$I85&amp;".","Not currently in stock at Store 0146 (size "&amp;$G85&amp;"). Home location is "&amp;$Q85&amp;" ("&amp;$R85&amp;") when replenished.")</f>
        <v>Yes - 3 in stock at Store 0146 (size 9.5). Back room location A-04-5-03 (ZONE A / BAY 04 / SHELF 5 / BIN 03), Top shelf - ladder required. Back room 2 / sales floor 1.</v>
      </c>
    </row>
    <row r="86" customFormat="false" ht="15" hidden="false" customHeight="false" outlineLevel="0" collapsed="false">
      <c r="A86" s="34" t="s">
        <v>1743</v>
      </c>
      <c r="B86" s="34" t="s">
        <v>1744</v>
      </c>
      <c r="C86" s="34" t="s">
        <v>1191</v>
      </c>
      <c r="D86" s="34" t="s">
        <v>107</v>
      </c>
      <c r="E86" s="34" t="s">
        <v>1192</v>
      </c>
      <c r="F86" s="34" t="s">
        <v>1194</v>
      </c>
      <c r="G86" s="24" t="s">
        <v>211</v>
      </c>
      <c r="H86" s="27" t="n">
        <f aca="false">IFERROR(INDEX('Inventory Master'!$T$2:$T$525,MATCH($A86,'Inventory Master'!$A$2:$A$525,0)),0)</f>
        <v>0</v>
      </c>
      <c r="I86" s="27" t="n">
        <v>0</v>
      </c>
      <c r="J86" s="27" t="n">
        <f aca="false">MAX(0,$H86-$I86)</f>
        <v>0</v>
      </c>
      <c r="K86" s="34" t="str">
        <f aca="false">IF($H86&gt;0,"In Stock","Out of Stock")</f>
        <v>Out of Stock</v>
      </c>
      <c r="L86" s="24" t="s">
        <v>1841</v>
      </c>
      <c r="M86" s="34" t="s">
        <v>1842</v>
      </c>
      <c r="N86" s="24" t="n">
        <v>4</v>
      </c>
      <c r="O86" s="24" t="n">
        <v>5</v>
      </c>
      <c r="P86" s="24" t="n">
        <v>4</v>
      </c>
      <c r="Q86" s="24" t="str">
        <f aca="false">$L86&amp;"-"&amp;TEXT($N86,"00")&amp;"-"&amp;$O86&amp;"-"&amp;TEXT($P86,"00")</f>
        <v>A-04-5-04</v>
      </c>
      <c r="R86" s="34" t="str">
        <f aca="false">"ZONE "&amp;$L86&amp;" / BAY "&amp;TEXT($N86,"00")&amp;" / SHELF "&amp;$O86&amp;" / BIN "&amp;TEXT($P86,"00")</f>
        <v>ZONE A / BAY 04 / SHELF 5 / BIN 04</v>
      </c>
      <c r="S86" s="34" t="s">
        <v>1848</v>
      </c>
      <c r="T86" s="34" t="s">
        <v>1844</v>
      </c>
      <c r="U86" s="27" t="n">
        <v>85</v>
      </c>
      <c r="V86" s="30" t="n">
        <v>46205</v>
      </c>
      <c r="W86" s="34" t="str">
        <f aca="false">IF($H86&gt;0,"Yes - "&amp;$H86&amp;" in stock at Store 0146 (size "&amp;$G86&amp;"). Back room location "&amp;$Q86&amp;" ("&amp;$R86&amp;"), "&amp;$S86&amp;". Back room "&amp;$J86&amp;" / sales floor "&amp;$I86&amp;".","Not currently in stock at Store 0146 (size "&amp;$G86&amp;"). Home location is "&amp;$Q86&amp;" ("&amp;$R86&amp;") when replenished.")</f>
        <v>Not currently in stock at Store 0146 (size 10). Home location is A-04-5-04 (ZONE A / BAY 04 / SHELF 5 / BIN 04) when replenished.</v>
      </c>
    </row>
    <row r="87" customFormat="false" ht="15" hidden="false" customHeight="false" outlineLevel="0" collapsed="false">
      <c r="A87" s="34" t="s">
        <v>1815</v>
      </c>
      <c r="B87" s="34" t="s">
        <v>1816</v>
      </c>
      <c r="C87" s="34" t="s">
        <v>1191</v>
      </c>
      <c r="D87" s="34" t="s">
        <v>107</v>
      </c>
      <c r="E87" s="34" t="s">
        <v>1192</v>
      </c>
      <c r="F87" s="34" t="s">
        <v>1194</v>
      </c>
      <c r="G87" s="24" t="s">
        <v>327</v>
      </c>
      <c r="H87" s="27" t="n">
        <f aca="false">IFERROR(INDEX('Inventory Master'!$T$2:$T$525,MATCH($A87,'Inventory Master'!$A$2:$A$525,0)),0)</f>
        <v>1</v>
      </c>
      <c r="I87" s="27" t="n">
        <v>1</v>
      </c>
      <c r="J87" s="27" t="n">
        <f aca="false">MAX(0,$H87-$I87)</f>
        <v>0</v>
      </c>
      <c r="K87" s="34" t="str">
        <f aca="false">IF($H87&gt;0,"In Stock","Out of Stock")</f>
        <v>In Stock</v>
      </c>
      <c r="L87" s="24" t="s">
        <v>1841</v>
      </c>
      <c r="M87" s="34" t="s">
        <v>1842</v>
      </c>
      <c r="N87" s="24" t="n">
        <v>4</v>
      </c>
      <c r="O87" s="24" t="n">
        <v>5</v>
      </c>
      <c r="P87" s="24" t="n">
        <v>5</v>
      </c>
      <c r="Q87" s="24" t="str">
        <f aca="false">$L87&amp;"-"&amp;TEXT($N87,"00")&amp;"-"&amp;$O87&amp;"-"&amp;TEXT($P87,"00")</f>
        <v>A-04-5-05</v>
      </c>
      <c r="R87" s="34" t="str">
        <f aca="false">"ZONE "&amp;$L87&amp;" / BAY "&amp;TEXT($N87,"00")&amp;" / SHELF "&amp;$O87&amp;" / BIN "&amp;TEXT($P87,"00")</f>
        <v>ZONE A / BAY 04 / SHELF 5 / BIN 05</v>
      </c>
      <c r="S87" s="34" t="s">
        <v>1848</v>
      </c>
      <c r="T87" s="34" t="s">
        <v>1844</v>
      </c>
      <c r="U87" s="27" t="n">
        <v>86</v>
      </c>
      <c r="V87" s="30" t="n">
        <v>46180</v>
      </c>
      <c r="W87" s="34" t="str">
        <f aca="false">IF($H87&gt;0,"Yes - "&amp;$H87&amp;" in stock at Store 0146 (size "&amp;$G87&amp;"). Back room location "&amp;$Q87&amp;" ("&amp;$R87&amp;"), "&amp;$S87&amp;". Back room "&amp;$J87&amp;" / sales floor "&amp;$I87&amp;".","Not currently in stock at Store 0146 (size "&amp;$G87&amp;"). Home location is "&amp;$Q87&amp;" ("&amp;$R87&amp;") when replenished.")</f>
        <v>Yes - 1 in stock at Store 0146 (size 10.5). Back room location A-04-5-05 (ZONE A / BAY 04 / SHELF 5 / BIN 05), Top shelf - ladder required. Back room 0 / sales floor 1.</v>
      </c>
    </row>
    <row r="88" customFormat="false" ht="15" hidden="false" customHeight="false" outlineLevel="0" collapsed="false">
      <c r="A88" s="34" t="s">
        <v>514</v>
      </c>
      <c r="B88" s="34" t="s">
        <v>515</v>
      </c>
      <c r="C88" s="34" t="s">
        <v>276</v>
      </c>
      <c r="D88" s="34" t="s">
        <v>107</v>
      </c>
      <c r="E88" s="34" t="s">
        <v>277</v>
      </c>
      <c r="F88" s="34" t="s">
        <v>279</v>
      </c>
      <c r="G88" s="24" t="s">
        <v>327</v>
      </c>
      <c r="H88" s="27" t="n">
        <f aca="false">IFERROR(INDEX('Inventory Master'!$T$2:$T$525,MATCH($A88,'Inventory Master'!$A$2:$A$525,0)),0)</f>
        <v>2</v>
      </c>
      <c r="I88" s="27" t="n">
        <v>1</v>
      </c>
      <c r="J88" s="27" t="n">
        <f aca="false">MAX(0,$H88-$I88)</f>
        <v>1</v>
      </c>
      <c r="K88" s="34" t="str">
        <f aca="false">IF($H88&gt;0,"In Stock","Out of Stock")</f>
        <v>In Stock</v>
      </c>
      <c r="L88" s="24" t="s">
        <v>1841</v>
      </c>
      <c r="M88" s="34" t="s">
        <v>1842</v>
      </c>
      <c r="N88" s="24" t="n">
        <v>5</v>
      </c>
      <c r="O88" s="24" t="n">
        <v>1</v>
      </c>
      <c r="P88" s="24" t="n">
        <v>1</v>
      </c>
      <c r="Q88" s="24" t="str">
        <f aca="false">$L88&amp;"-"&amp;TEXT($N88,"00")&amp;"-"&amp;$O88&amp;"-"&amp;TEXT($P88,"00")</f>
        <v>A-05-1-01</v>
      </c>
      <c r="R88" s="34" t="str">
        <f aca="false">"ZONE "&amp;$L88&amp;" / BAY "&amp;TEXT($N88,"00")&amp;" / SHELF "&amp;$O88&amp;" / BIN "&amp;TEXT($P88,"00")</f>
        <v>ZONE A / BAY 05 / SHELF 1 / BIN 01</v>
      </c>
      <c r="S88" s="34" t="s">
        <v>1843</v>
      </c>
      <c r="T88" s="34" t="s">
        <v>1844</v>
      </c>
      <c r="U88" s="27" t="n">
        <v>87</v>
      </c>
      <c r="V88" s="30" t="n">
        <v>46164</v>
      </c>
      <c r="W88" s="34" t="str">
        <f aca="false">IF($H88&gt;0,"Yes - "&amp;$H88&amp;" in stock at Store 0146 (size "&amp;$G88&amp;"). Back room location "&amp;$Q88&amp;" ("&amp;$R88&amp;"), "&amp;$S88&amp;". Back room "&amp;$J88&amp;" / sales floor "&amp;$I88&amp;".","Not currently in stock at Store 0146 (size "&amp;$G88&amp;"). Home location is "&amp;$Q88&amp;" ("&amp;$R88&amp;") when replenished.")</f>
        <v>Yes - 2 in stock at Store 0146 (size 10.5). Back room location A-05-1-01 (ZONE A / BAY 05 / SHELF 1 / BIN 01), Floor level - no reach. Back room 1 / sales floor 1.</v>
      </c>
    </row>
    <row r="89" customFormat="false" ht="15" hidden="false" customHeight="false" outlineLevel="0" collapsed="false">
      <c r="A89" s="34" t="s">
        <v>274</v>
      </c>
      <c r="B89" s="34" t="s">
        <v>275</v>
      </c>
      <c r="C89" s="34" t="s">
        <v>276</v>
      </c>
      <c r="D89" s="34" t="s">
        <v>107</v>
      </c>
      <c r="E89" s="34" t="s">
        <v>277</v>
      </c>
      <c r="F89" s="34" t="s">
        <v>279</v>
      </c>
      <c r="G89" s="24" t="s">
        <v>258</v>
      </c>
      <c r="H89" s="27" t="n">
        <f aca="false">IFERROR(INDEX('Inventory Master'!$T$2:$T$525,MATCH($A89,'Inventory Master'!$A$2:$A$525,0)),0)</f>
        <v>3</v>
      </c>
      <c r="I89" s="27" t="n">
        <v>1</v>
      </c>
      <c r="J89" s="27" t="n">
        <f aca="false">MAX(0,$H89-$I89)</f>
        <v>2</v>
      </c>
      <c r="K89" s="34" t="str">
        <f aca="false">IF($H89&gt;0,"In Stock","Out of Stock")</f>
        <v>In Stock</v>
      </c>
      <c r="L89" s="24" t="s">
        <v>1841</v>
      </c>
      <c r="M89" s="34" t="s">
        <v>1842</v>
      </c>
      <c r="N89" s="24" t="n">
        <v>5</v>
      </c>
      <c r="O89" s="24" t="n">
        <v>1</v>
      </c>
      <c r="P89" s="24" t="n">
        <v>2</v>
      </c>
      <c r="Q89" s="24" t="str">
        <f aca="false">$L89&amp;"-"&amp;TEXT($N89,"00")&amp;"-"&amp;$O89&amp;"-"&amp;TEXT($P89,"00")</f>
        <v>A-05-1-02</v>
      </c>
      <c r="R89" s="34" t="str">
        <f aca="false">"ZONE "&amp;$L89&amp;" / BAY "&amp;TEXT($N89,"00")&amp;" / SHELF "&amp;$O89&amp;" / BIN "&amp;TEXT($P89,"00")</f>
        <v>ZONE A / BAY 05 / SHELF 1 / BIN 02</v>
      </c>
      <c r="S89" s="34" t="s">
        <v>1843</v>
      </c>
      <c r="T89" s="34" t="s">
        <v>1844</v>
      </c>
      <c r="U89" s="27" t="n">
        <v>88</v>
      </c>
      <c r="V89" s="30" t="n">
        <v>46220</v>
      </c>
      <c r="W89" s="34" t="str">
        <f aca="false">IF($H89&gt;0,"Yes - "&amp;$H89&amp;" in stock at Store 0146 (size "&amp;$G89&amp;"). Back room location "&amp;$Q89&amp;" ("&amp;$R89&amp;"), "&amp;$S89&amp;". Back room "&amp;$J89&amp;" / sales floor "&amp;$I89&amp;".","Not currently in stock at Store 0146 (size "&amp;$G89&amp;"). Home location is "&amp;$Q89&amp;" ("&amp;$R89&amp;") when replenished.")</f>
        <v>Yes - 3 in stock at Store 0146 (size 11). Back room location A-05-1-02 (ZONE A / BAY 05 / SHELF 1 / BIN 02), Floor level - no reach. Back room 2 / sales floor 1.</v>
      </c>
    </row>
    <row r="90" customFormat="false" ht="15" hidden="false" customHeight="false" outlineLevel="0" collapsed="false">
      <c r="A90" s="34" t="s">
        <v>1667</v>
      </c>
      <c r="B90" s="34" t="s">
        <v>1668</v>
      </c>
      <c r="C90" s="34" t="s">
        <v>276</v>
      </c>
      <c r="D90" s="34" t="s">
        <v>107</v>
      </c>
      <c r="E90" s="34" t="s">
        <v>277</v>
      </c>
      <c r="F90" s="34" t="s">
        <v>279</v>
      </c>
      <c r="G90" s="24" t="s">
        <v>141</v>
      </c>
      <c r="H90" s="27" t="n">
        <f aca="false">IFERROR(INDEX('Inventory Master'!$T$2:$T$525,MATCH($A90,'Inventory Master'!$A$2:$A$525,0)),0)</f>
        <v>2</v>
      </c>
      <c r="I90" s="27" t="n">
        <v>1</v>
      </c>
      <c r="J90" s="27" t="n">
        <f aca="false">MAX(0,$H90-$I90)</f>
        <v>1</v>
      </c>
      <c r="K90" s="34" t="str">
        <f aca="false">IF($H90&gt;0,"In Stock","Out of Stock")</f>
        <v>In Stock</v>
      </c>
      <c r="L90" s="24" t="s">
        <v>1841</v>
      </c>
      <c r="M90" s="34" t="s">
        <v>1842</v>
      </c>
      <c r="N90" s="24" t="n">
        <v>5</v>
      </c>
      <c r="O90" s="24" t="n">
        <v>1</v>
      </c>
      <c r="P90" s="24" t="n">
        <v>3</v>
      </c>
      <c r="Q90" s="24" t="str">
        <f aca="false">$L90&amp;"-"&amp;TEXT($N90,"00")&amp;"-"&amp;$O90&amp;"-"&amp;TEXT($P90,"00")</f>
        <v>A-05-1-03</v>
      </c>
      <c r="R90" s="34" t="str">
        <f aca="false">"ZONE "&amp;$L90&amp;" / BAY "&amp;TEXT($N90,"00")&amp;" / SHELF "&amp;$O90&amp;" / BIN "&amp;TEXT($P90,"00")</f>
        <v>ZONE A / BAY 05 / SHELF 1 / BIN 03</v>
      </c>
      <c r="S90" s="34" t="s">
        <v>1843</v>
      </c>
      <c r="T90" s="34" t="s">
        <v>1844</v>
      </c>
      <c r="U90" s="27" t="n">
        <v>89</v>
      </c>
      <c r="V90" s="30" t="n">
        <v>46203</v>
      </c>
      <c r="W90" s="34" t="str">
        <f aca="false">IF($H90&gt;0,"Yes - "&amp;$H90&amp;" in stock at Store 0146 (size "&amp;$G90&amp;"). Back room location "&amp;$Q90&amp;" ("&amp;$R90&amp;"), "&amp;$S90&amp;". Back room "&amp;$J90&amp;" / sales floor "&amp;$I90&amp;".","Not currently in stock at Store 0146 (size "&amp;$G90&amp;"). Home location is "&amp;$Q90&amp;" ("&amp;$R90&amp;") when replenished.")</f>
        <v>Yes - 2 in stock at Store 0146 (size 11.5). Back room location A-05-1-03 (ZONE A / BAY 05 / SHELF 1 / BIN 03), Floor level - no reach. Back room 1 / sales floor 1.</v>
      </c>
    </row>
    <row r="91" customFormat="false" ht="15" hidden="false" customHeight="false" outlineLevel="0" collapsed="false">
      <c r="A91" s="34" t="s">
        <v>667</v>
      </c>
      <c r="B91" s="34" t="s">
        <v>668</v>
      </c>
      <c r="C91" s="34" t="s">
        <v>276</v>
      </c>
      <c r="D91" s="34" t="s">
        <v>107</v>
      </c>
      <c r="E91" s="34" t="s">
        <v>277</v>
      </c>
      <c r="F91" s="34" t="s">
        <v>279</v>
      </c>
      <c r="G91" s="24" t="s">
        <v>130</v>
      </c>
      <c r="H91" s="27" t="n">
        <f aca="false">IFERROR(INDEX('Inventory Master'!$T$2:$T$525,MATCH($A91,'Inventory Master'!$A$2:$A$525,0)),0)</f>
        <v>0</v>
      </c>
      <c r="I91" s="27" t="n">
        <v>0</v>
      </c>
      <c r="J91" s="27" t="n">
        <f aca="false">MAX(0,$H91-$I91)</f>
        <v>0</v>
      </c>
      <c r="K91" s="34" t="str">
        <f aca="false">IF($H91&gt;0,"In Stock","Out of Stock")</f>
        <v>Out of Stock</v>
      </c>
      <c r="L91" s="24" t="s">
        <v>1841</v>
      </c>
      <c r="M91" s="34" t="s">
        <v>1842</v>
      </c>
      <c r="N91" s="24" t="n">
        <v>5</v>
      </c>
      <c r="O91" s="24" t="n">
        <v>1</v>
      </c>
      <c r="P91" s="24" t="n">
        <v>4</v>
      </c>
      <c r="Q91" s="24" t="str">
        <f aca="false">$L91&amp;"-"&amp;TEXT($N91,"00")&amp;"-"&amp;$O91&amp;"-"&amp;TEXT($P91,"00")</f>
        <v>A-05-1-04</v>
      </c>
      <c r="R91" s="34" t="str">
        <f aca="false">"ZONE "&amp;$L91&amp;" / BAY "&amp;TEXT($N91,"00")&amp;" / SHELF "&amp;$O91&amp;" / BIN "&amp;TEXT($P91,"00")</f>
        <v>ZONE A / BAY 05 / SHELF 1 / BIN 04</v>
      </c>
      <c r="S91" s="34" t="s">
        <v>1843</v>
      </c>
      <c r="T91" s="34" t="s">
        <v>1844</v>
      </c>
      <c r="U91" s="27" t="n">
        <v>90</v>
      </c>
      <c r="V91" s="30" t="n">
        <v>46199</v>
      </c>
      <c r="W91" s="34" t="str">
        <f aca="false">IF($H91&gt;0,"Yes - "&amp;$H91&amp;" in stock at Store 0146 (size "&amp;$G91&amp;"). Back room location "&amp;$Q91&amp;" ("&amp;$R91&amp;"), "&amp;$S91&amp;". Back room "&amp;$J91&amp;" / sales floor "&amp;$I91&amp;".","Not currently in stock at Store 0146 (size "&amp;$G91&amp;"). Home location is "&amp;$Q91&amp;" ("&amp;$R91&amp;") when replenished.")</f>
        <v>Not currently in stock at Store 0146 (size 12). Home location is A-05-1-04 (ZONE A / BAY 05 / SHELF 1 / BIN 04) when replenished.</v>
      </c>
    </row>
    <row r="92" customFormat="false" ht="15" hidden="false" customHeight="false" outlineLevel="0" collapsed="false">
      <c r="A92" s="34" t="s">
        <v>1454</v>
      </c>
      <c r="B92" s="34" t="s">
        <v>1455</v>
      </c>
      <c r="C92" s="34" t="s">
        <v>1103</v>
      </c>
      <c r="D92" s="34" t="s">
        <v>285</v>
      </c>
      <c r="E92" s="34" t="s">
        <v>1104</v>
      </c>
      <c r="F92" s="34" t="s">
        <v>1106</v>
      </c>
      <c r="G92" s="24" t="s">
        <v>164</v>
      </c>
      <c r="H92" s="27" t="n">
        <f aca="false">IFERROR(INDEX('Inventory Master'!$T$2:$T$525,MATCH($A92,'Inventory Master'!$A$2:$A$525,0)),0)</f>
        <v>4</v>
      </c>
      <c r="I92" s="27" t="n">
        <v>1</v>
      </c>
      <c r="J92" s="27" t="n">
        <f aca="false">MAX(0,$H92-$I92)</f>
        <v>3</v>
      </c>
      <c r="K92" s="34" t="str">
        <f aca="false">IF($H92&gt;0,"In Stock","Out of Stock")</f>
        <v>In Stock</v>
      </c>
      <c r="L92" s="24" t="s">
        <v>1850</v>
      </c>
      <c r="M92" s="34" t="s">
        <v>1851</v>
      </c>
      <c r="N92" s="24" t="n">
        <v>1</v>
      </c>
      <c r="O92" s="24" t="n">
        <v>1</v>
      </c>
      <c r="P92" s="24" t="n">
        <v>1</v>
      </c>
      <c r="Q92" s="24" t="str">
        <f aca="false">$L92&amp;"-"&amp;TEXT($N92,"00")&amp;"-"&amp;$O92&amp;"-"&amp;TEXT($P92,"00")</f>
        <v>B-01-1-01</v>
      </c>
      <c r="R92" s="34" t="str">
        <f aca="false">"ZONE "&amp;$L92&amp;" / BAY "&amp;TEXT($N92,"00")&amp;" / SHELF "&amp;$O92&amp;" / BIN "&amp;TEXT($P92,"00")</f>
        <v>ZONE B / BAY 01 / SHELF 1 / BIN 01</v>
      </c>
      <c r="S92" s="34" t="s">
        <v>1843</v>
      </c>
      <c r="T92" s="34" t="s">
        <v>1844</v>
      </c>
      <c r="U92" s="27" t="n">
        <v>91</v>
      </c>
      <c r="V92" s="30" t="n">
        <v>46194</v>
      </c>
      <c r="W92" s="34" t="str">
        <f aca="false">IF($H92&gt;0,"Yes - "&amp;$H92&amp;" in stock at Store 0146 (size "&amp;$G92&amp;"). Back room location "&amp;$Q92&amp;" ("&amp;$R92&amp;"), "&amp;$S92&amp;". Back room "&amp;$J92&amp;" / sales floor "&amp;$I92&amp;".","Not currently in stock at Store 0146 (size "&amp;$G92&amp;"). Home location is "&amp;$Q92&amp;" ("&amp;$R92&amp;") when replenished.")</f>
        <v>Yes - 4 in stock at Store 0146 (size 9). Back room location B-01-1-01 (ZONE B / BAY 01 / SHELF 1 / BIN 01), Floor level - no reach. Back room 3 / sales floor 1.</v>
      </c>
    </row>
    <row r="93" customFormat="false" ht="15" hidden="false" customHeight="false" outlineLevel="0" collapsed="false">
      <c r="A93" s="34" t="s">
        <v>1462</v>
      </c>
      <c r="B93" s="34" t="s">
        <v>1463</v>
      </c>
      <c r="C93" s="34" t="s">
        <v>1103</v>
      </c>
      <c r="D93" s="34" t="s">
        <v>285</v>
      </c>
      <c r="E93" s="34" t="s">
        <v>1104</v>
      </c>
      <c r="F93" s="34" t="s">
        <v>1106</v>
      </c>
      <c r="G93" s="24" t="s">
        <v>177</v>
      </c>
      <c r="H93" s="27" t="n">
        <f aca="false">IFERROR(INDEX('Inventory Master'!$T$2:$T$525,MATCH($A93,'Inventory Master'!$A$2:$A$525,0)),0)</f>
        <v>2</v>
      </c>
      <c r="I93" s="27" t="n">
        <v>1</v>
      </c>
      <c r="J93" s="27" t="n">
        <f aca="false">MAX(0,$H93-$I93)</f>
        <v>1</v>
      </c>
      <c r="K93" s="34" t="str">
        <f aca="false">IF($H93&gt;0,"In Stock","Out of Stock")</f>
        <v>In Stock</v>
      </c>
      <c r="L93" s="24" t="s">
        <v>1850</v>
      </c>
      <c r="M93" s="34" t="s">
        <v>1851</v>
      </c>
      <c r="N93" s="24" t="n">
        <v>1</v>
      </c>
      <c r="O93" s="24" t="n">
        <v>1</v>
      </c>
      <c r="P93" s="24" t="n">
        <v>2</v>
      </c>
      <c r="Q93" s="24" t="str">
        <f aca="false">$L93&amp;"-"&amp;TEXT($N93,"00")&amp;"-"&amp;$O93&amp;"-"&amp;TEXT($P93,"00")</f>
        <v>B-01-1-02</v>
      </c>
      <c r="R93" s="34" t="str">
        <f aca="false">"ZONE "&amp;$L93&amp;" / BAY "&amp;TEXT($N93,"00")&amp;" / SHELF "&amp;$O93&amp;" / BIN "&amp;TEXT($P93,"00")</f>
        <v>ZONE B / BAY 01 / SHELF 1 / BIN 02</v>
      </c>
      <c r="S93" s="34" t="s">
        <v>1843</v>
      </c>
      <c r="T93" s="34" t="s">
        <v>1844</v>
      </c>
      <c r="U93" s="27" t="n">
        <v>92</v>
      </c>
      <c r="V93" s="30" t="n">
        <v>46149</v>
      </c>
      <c r="W93" s="34" t="str">
        <f aca="false">IF($H93&gt;0,"Yes - "&amp;$H93&amp;" in stock at Store 0146 (size "&amp;$G93&amp;"). Back room location "&amp;$Q93&amp;" ("&amp;$R93&amp;"), "&amp;$S93&amp;". Back room "&amp;$J93&amp;" / sales floor "&amp;$I93&amp;".","Not currently in stock at Store 0146 (size "&amp;$G93&amp;"). Home location is "&amp;$Q93&amp;" ("&amp;$R93&amp;") when replenished.")</f>
        <v>Yes - 2 in stock at Store 0146 (size 9.5). Back room location B-01-1-02 (ZONE B / BAY 01 / SHELF 1 / BIN 02), Floor level - no reach. Back room 1 / sales floor 1.</v>
      </c>
    </row>
    <row r="94" customFormat="false" ht="15" hidden="false" customHeight="false" outlineLevel="0" collapsed="false">
      <c r="A94" s="34" t="s">
        <v>1101</v>
      </c>
      <c r="B94" s="34" t="s">
        <v>1102</v>
      </c>
      <c r="C94" s="34" t="s">
        <v>1103</v>
      </c>
      <c r="D94" s="34" t="s">
        <v>285</v>
      </c>
      <c r="E94" s="34" t="s">
        <v>1104</v>
      </c>
      <c r="F94" s="34" t="s">
        <v>1106</v>
      </c>
      <c r="G94" s="24" t="s">
        <v>211</v>
      </c>
      <c r="H94" s="27" t="n">
        <f aca="false">IFERROR(INDEX('Inventory Master'!$T$2:$T$525,MATCH($A94,'Inventory Master'!$A$2:$A$525,0)),0)</f>
        <v>2</v>
      </c>
      <c r="I94" s="27" t="n">
        <v>1</v>
      </c>
      <c r="J94" s="27" t="n">
        <f aca="false">MAX(0,$H94-$I94)</f>
        <v>1</v>
      </c>
      <c r="K94" s="34" t="str">
        <f aca="false">IF($H94&gt;0,"In Stock","Out of Stock")</f>
        <v>In Stock</v>
      </c>
      <c r="L94" s="24" t="s">
        <v>1850</v>
      </c>
      <c r="M94" s="34" t="s">
        <v>1851</v>
      </c>
      <c r="N94" s="24" t="n">
        <v>1</v>
      </c>
      <c r="O94" s="24" t="n">
        <v>1</v>
      </c>
      <c r="P94" s="24" t="n">
        <v>3</v>
      </c>
      <c r="Q94" s="24" t="str">
        <f aca="false">$L94&amp;"-"&amp;TEXT($N94,"00")&amp;"-"&amp;$O94&amp;"-"&amp;TEXT($P94,"00")</f>
        <v>B-01-1-03</v>
      </c>
      <c r="R94" s="34" t="str">
        <f aca="false">"ZONE "&amp;$L94&amp;" / BAY "&amp;TEXT($N94,"00")&amp;" / SHELF "&amp;$O94&amp;" / BIN "&amp;TEXT($P94,"00")</f>
        <v>ZONE B / BAY 01 / SHELF 1 / BIN 03</v>
      </c>
      <c r="S94" s="34" t="s">
        <v>1843</v>
      </c>
      <c r="T94" s="34" t="s">
        <v>1844</v>
      </c>
      <c r="U94" s="27" t="n">
        <v>93</v>
      </c>
      <c r="V94" s="30" t="n">
        <v>46183</v>
      </c>
      <c r="W94" s="34" t="str">
        <f aca="false">IF($H94&gt;0,"Yes - "&amp;$H94&amp;" in stock at Store 0146 (size "&amp;$G94&amp;"). Back room location "&amp;$Q94&amp;" ("&amp;$R94&amp;"), "&amp;$S94&amp;". Back room "&amp;$J94&amp;" / sales floor "&amp;$I94&amp;".","Not currently in stock at Store 0146 (size "&amp;$G94&amp;"). Home location is "&amp;$Q94&amp;" ("&amp;$R94&amp;") when replenished.")</f>
        <v>Yes - 2 in stock at Store 0146 (size 10). Back room location B-01-1-03 (ZONE B / BAY 01 / SHELF 1 / BIN 03), Floor level - no reach. Back room 1 / sales floor 1.</v>
      </c>
    </row>
    <row r="95" customFormat="false" ht="15" hidden="false" customHeight="false" outlineLevel="0" collapsed="false">
      <c r="A95" s="34" t="s">
        <v>1556</v>
      </c>
      <c r="B95" s="34" t="s">
        <v>1557</v>
      </c>
      <c r="C95" s="34" t="s">
        <v>1103</v>
      </c>
      <c r="D95" s="34" t="s">
        <v>285</v>
      </c>
      <c r="E95" s="34" t="s">
        <v>1104</v>
      </c>
      <c r="F95" s="34" t="s">
        <v>1106</v>
      </c>
      <c r="G95" s="24" t="s">
        <v>327</v>
      </c>
      <c r="H95" s="27" t="n">
        <f aca="false">IFERROR(INDEX('Inventory Master'!$T$2:$T$525,MATCH($A95,'Inventory Master'!$A$2:$A$525,0)),0)</f>
        <v>3</v>
      </c>
      <c r="I95" s="27" t="n">
        <v>1</v>
      </c>
      <c r="J95" s="27" t="n">
        <f aca="false">MAX(0,$H95-$I95)</f>
        <v>2</v>
      </c>
      <c r="K95" s="34" t="str">
        <f aca="false">IF($H95&gt;0,"In Stock","Out of Stock")</f>
        <v>In Stock</v>
      </c>
      <c r="L95" s="24" t="s">
        <v>1850</v>
      </c>
      <c r="M95" s="34" t="s">
        <v>1851</v>
      </c>
      <c r="N95" s="24" t="n">
        <v>1</v>
      </c>
      <c r="O95" s="24" t="n">
        <v>1</v>
      </c>
      <c r="P95" s="24" t="n">
        <v>4</v>
      </c>
      <c r="Q95" s="24" t="str">
        <f aca="false">$L95&amp;"-"&amp;TEXT($N95,"00")&amp;"-"&amp;$O95&amp;"-"&amp;TEXT($P95,"00")</f>
        <v>B-01-1-04</v>
      </c>
      <c r="R95" s="34" t="str">
        <f aca="false">"ZONE "&amp;$L95&amp;" / BAY "&amp;TEXT($N95,"00")&amp;" / SHELF "&amp;$O95&amp;" / BIN "&amp;TEXT($P95,"00")</f>
        <v>ZONE B / BAY 01 / SHELF 1 / BIN 04</v>
      </c>
      <c r="S95" s="34" t="s">
        <v>1843</v>
      </c>
      <c r="T95" s="34" t="s">
        <v>1844</v>
      </c>
      <c r="U95" s="27" t="n">
        <v>94</v>
      </c>
      <c r="V95" s="30" t="n">
        <v>46224</v>
      </c>
      <c r="W95" s="34" t="str">
        <f aca="false">IF($H95&gt;0,"Yes - "&amp;$H95&amp;" in stock at Store 0146 (size "&amp;$G95&amp;"). Back room location "&amp;$Q95&amp;" ("&amp;$R95&amp;"), "&amp;$S95&amp;". Back room "&amp;$J95&amp;" / sales floor "&amp;$I95&amp;".","Not currently in stock at Store 0146 (size "&amp;$G95&amp;"). Home location is "&amp;$Q95&amp;" ("&amp;$R95&amp;") when replenished.")</f>
        <v>Yes - 3 in stock at Store 0146 (size 10.5). Back room location B-01-1-04 (ZONE B / BAY 01 / SHELF 1 / BIN 04), Floor level - no reach. Back room 2 / sales floor 1.</v>
      </c>
    </row>
    <row r="96" customFormat="false" ht="15" hidden="false" customHeight="false" outlineLevel="0" collapsed="false">
      <c r="A96" s="34" t="s">
        <v>1108</v>
      </c>
      <c r="B96" s="34" t="s">
        <v>1109</v>
      </c>
      <c r="C96" s="34" t="s">
        <v>1103</v>
      </c>
      <c r="D96" s="34" t="s">
        <v>285</v>
      </c>
      <c r="E96" s="34" t="s">
        <v>1104</v>
      </c>
      <c r="F96" s="34" t="s">
        <v>1106</v>
      </c>
      <c r="G96" s="24" t="s">
        <v>258</v>
      </c>
      <c r="H96" s="27" t="n">
        <f aca="false">IFERROR(INDEX('Inventory Master'!$T$2:$T$525,MATCH($A96,'Inventory Master'!$A$2:$A$525,0)),0)</f>
        <v>3</v>
      </c>
      <c r="I96" s="27" t="n">
        <v>1</v>
      </c>
      <c r="J96" s="27" t="n">
        <f aca="false">MAX(0,$H96-$I96)</f>
        <v>2</v>
      </c>
      <c r="K96" s="34" t="str">
        <f aca="false">IF($H96&gt;0,"In Stock","Out of Stock")</f>
        <v>In Stock</v>
      </c>
      <c r="L96" s="24" t="s">
        <v>1850</v>
      </c>
      <c r="M96" s="34" t="s">
        <v>1851</v>
      </c>
      <c r="N96" s="24" t="n">
        <v>1</v>
      </c>
      <c r="O96" s="24" t="n">
        <v>1</v>
      </c>
      <c r="P96" s="24" t="n">
        <v>5</v>
      </c>
      <c r="Q96" s="24" t="str">
        <f aca="false">$L96&amp;"-"&amp;TEXT($N96,"00")&amp;"-"&amp;$O96&amp;"-"&amp;TEXT($P96,"00")</f>
        <v>B-01-1-05</v>
      </c>
      <c r="R96" s="34" t="str">
        <f aca="false">"ZONE "&amp;$L96&amp;" / BAY "&amp;TEXT($N96,"00")&amp;" / SHELF "&amp;$O96&amp;" / BIN "&amp;TEXT($P96,"00")</f>
        <v>ZONE B / BAY 01 / SHELF 1 / BIN 05</v>
      </c>
      <c r="S96" s="34" t="s">
        <v>1843</v>
      </c>
      <c r="T96" s="34" t="s">
        <v>1844</v>
      </c>
      <c r="U96" s="27" t="n">
        <v>95</v>
      </c>
      <c r="V96" s="30" t="n">
        <v>46172</v>
      </c>
      <c r="W96" s="34" t="str">
        <f aca="false">IF($H96&gt;0,"Yes - "&amp;$H96&amp;" in stock at Store 0146 (size "&amp;$G96&amp;"). Back room location "&amp;$Q96&amp;" ("&amp;$R96&amp;"), "&amp;$S96&amp;". Back room "&amp;$J96&amp;" / sales floor "&amp;$I96&amp;".","Not currently in stock at Store 0146 (size "&amp;$G96&amp;"). Home location is "&amp;$Q96&amp;" ("&amp;$R96&amp;") when replenished.")</f>
        <v>Yes - 3 in stock at Store 0146 (size 11). Back room location B-01-1-05 (ZONE B / BAY 01 / SHELF 1 / BIN 05), Floor level - no reach. Back room 2 / sales floor 1.</v>
      </c>
    </row>
    <row r="97" customFormat="false" ht="15" hidden="false" customHeight="false" outlineLevel="0" collapsed="false">
      <c r="A97" s="34" t="s">
        <v>1601</v>
      </c>
      <c r="B97" s="34" t="s">
        <v>1602</v>
      </c>
      <c r="C97" s="34" t="s">
        <v>1103</v>
      </c>
      <c r="D97" s="34" t="s">
        <v>285</v>
      </c>
      <c r="E97" s="34" t="s">
        <v>1104</v>
      </c>
      <c r="F97" s="34" t="s">
        <v>1106</v>
      </c>
      <c r="G97" s="24" t="s">
        <v>141</v>
      </c>
      <c r="H97" s="27" t="n">
        <f aca="false">IFERROR(INDEX('Inventory Master'!$T$2:$T$525,MATCH($A97,'Inventory Master'!$A$2:$A$525,0)),0)</f>
        <v>4</v>
      </c>
      <c r="I97" s="27" t="n">
        <v>1</v>
      </c>
      <c r="J97" s="27" t="n">
        <f aca="false">MAX(0,$H97-$I97)</f>
        <v>3</v>
      </c>
      <c r="K97" s="34" t="str">
        <f aca="false">IF($H97&gt;0,"In Stock","Out of Stock")</f>
        <v>In Stock</v>
      </c>
      <c r="L97" s="24" t="s">
        <v>1850</v>
      </c>
      <c r="M97" s="34" t="s">
        <v>1851</v>
      </c>
      <c r="N97" s="24" t="n">
        <v>1</v>
      </c>
      <c r="O97" s="24" t="n">
        <v>1</v>
      </c>
      <c r="P97" s="24" t="n">
        <v>6</v>
      </c>
      <c r="Q97" s="24" t="str">
        <f aca="false">$L97&amp;"-"&amp;TEXT($N97,"00")&amp;"-"&amp;$O97&amp;"-"&amp;TEXT($P97,"00")</f>
        <v>B-01-1-06</v>
      </c>
      <c r="R97" s="34" t="str">
        <f aca="false">"ZONE "&amp;$L97&amp;" / BAY "&amp;TEXT($N97,"00")&amp;" / SHELF "&amp;$O97&amp;" / BIN "&amp;TEXT($P97,"00")</f>
        <v>ZONE B / BAY 01 / SHELF 1 / BIN 06</v>
      </c>
      <c r="S97" s="34" t="s">
        <v>1843</v>
      </c>
      <c r="T97" s="34" t="s">
        <v>1844</v>
      </c>
      <c r="U97" s="27" t="n">
        <v>96</v>
      </c>
      <c r="V97" s="30" t="n">
        <v>46138</v>
      </c>
      <c r="W97" s="34" t="str">
        <f aca="false">IF($H97&gt;0,"Yes - "&amp;$H97&amp;" in stock at Store 0146 (size "&amp;$G97&amp;"). Back room location "&amp;$Q97&amp;" ("&amp;$R97&amp;"), "&amp;$S97&amp;". Back room "&amp;$J97&amp;" / sales floor "&amp;$I97&amp;".","Not currently in stock at Store 0146 (size "&amp;$G97&amp;"). Home location is "&amp;$Q97&amp;" ("&amp;$R97&amp;") when replenished.")</f>
        <v>Yes - 4 in stock at Store 0146 (size 11.5). Back room location B-01-1-06 (ZONE B / BAY 01 / SHELF 1 / BIN 06), Floor level - no reach. Back room 3 / sales floor 1.</v>
      </c>
    </row>
    <row r="98" customFormat="false" ht="15" hidden="false" customHeight="false" outlineLevel="0" collapsed="false">
      <c r="A98" s="34" t="s">
        <v>1396</v>
      </c>
      <c r="B98" s="34" t="s">
        <v>1397</v>
      </c>
      <c r="C98" s="34" t="s">
        <v>168</v>
      </c>
      <c r="D98" s="34" t="s">
        <v>170</v>
      </c>
      <c r="E98" s="34" t="s">
        <v>171</v>
      </c>
      <c r="F98" s="34" t="s">
        <v>173</v>
      </c>
      <c r="G98" s="24" t="s">
        <v>356</v>
      </c>
      <c r="H98" s="27" t="n">
        <f aca="false">IFERROR(INDEX('Inventory Master'!$T$2:$T$525,MATCH($A98,'Inventory Master'!$A$2:$A$525,0)),0)</f>
        <v>3</v>
      </c>
      <c r="I98" s="27" t="n">
        <v>1</v>
      </c>
      <c r="J98" s="27" t="n">
        <f aca="false">MAX(0,$H98-$I98)</f>
        <v>2</v>
      </c>
      <c r="K98" s="34" t="str">
        <f aca="false">IF($H98&gt;0,"In Stock","Out of Stock")</f>
        <v>In Stock</v>
      </c>
      <c r="L98" s="24" t="s">
        <v>1850</v>
      </c>
      <c r="M98" s="34" t="s">
        <v>1851</v>
      </c>
      <c r="N98" s="24" t="n">
        <v>1</v>
      </c>
      <c r="O98" s="24" t="n">
        <v>2</v>
      </c>
      <c r="P98" s="24" t="n">
        <v>1</v>
      </c>
      <c r="Q98" s="24" t="str">
        <f aca="false">$L98&amp;"-"&amp;TEXT($N98,"00")&amp;"-"&amp;$O98&amp;"-"&amp;TEXT($P98,"00")</f>
        <v>B-01-2-01</v>
      </c>
      <c r="R98" s="34" t="str">
        <f aca="false">"ZONE "&amp;$L98&amp;" / BAY "&amp;TEXT($N98,"00")&amp;" / SHELF "&amp;$O98&amp;" / BIN "&amp;TEXT($P98,"00")</f>
        <v>ZONE B / BAY 01 / SHELF 2 / BIN 01</v>
      </c>
      <c r="S98" s="34" t="s">
        <v>1845</v>
      </c>
      <c r="T98" s="34" t="s">
        <v>1844</v>
      </c>
      <c r="U98" s="27" t="n">
        <v>97</v>
      </c>
      <c r="V98" s="30" t="n">
        <v>46177</v>
      </c>
      <c r="W98" s="34" t="str">
        <f aca="false">IF($H98&gt;0,"Yes - "&amp;$H98&amp;" in stock at Store 0146 (size "&amp;$G98&amp;"). Back room location "&amp;$Q98&amp;" ("&amp;$R98&amp;"), "&amp;$S98&amp;". Back room "&amp;$J98&amp;" / sales floor "&amp;$I98&amp;".","Not currently in stock at Store 0146 (size "&amp;$G98&amp;"). Home location is "&amp;$Q98&amp;" ("&amp;$R98&amp;") when replenished.")</f>
        <v>Yes - 3 in stock at Store 0146 (size 8). Back room location B-01-2-01 (ZONE B / BAY 01 / SHELF 2 / BIN 01), Waist height. Back room 2 / sales floor 1.</v>
      </c>
    </row>
    <row r="99" customFormat="false" ht="15" hidden="false" customHeight="false" outlineLevel="0" collapsed="false">
      <c r="A99" s="34" t="s">
        <v>1249</v>
      </c>
      <c r="B99" s="34" t="s">
        <v>1250</v>
      </c>
      <c r="C99" s="34" t="s">
        <v>168</v>
      </c>
      <c r="D99" s="34" t="s">
        <v>170</v>
      </c>
      <c r="E99" s="34" t="s">
        <v>171</v>
      </c>
      <c r="F99" s="34" t="s">
        <v>173</v>
      </c>
      <c r="G99" s="24" t="s">
        <v>188</v>
      </c>
      <c r="H99" s="27" t="n">
        <f aca="false">IFERROR(INDEX('Inventory Master'!$T$2:$T$525,MATCH($A99,'Inventory Master'!$A$2:$A$525,0)),0)</f>
        <v>2</v>
      </c>
      <c r="I99" s="27" t="n">
        <v>1</v>
      </c>
      <c r="J99" s="27" t="n">
        <f aca="false">MAX(0,$H99-$I99)</f>
        <v>1</v>
      </c>
      <c r="K99" s="34" t="str">
        <f aca="false">IF($H99&gt;0,"In Stock","Out of Stock")</f>
        <v>In Stock</v>
      </c>
      <c r="L99" s="24" t="s">
        <v>1850</v>
      </c>
      <c r="M99" s="34" t="s">
        <v>1851</v>
      </c>
      <c r="N99" s="24" t="n">
        <v>1</v>
      </c>
      <c r="O99" s="24" t="n">
        <v>2</v>
      </c>
      <c r="P99" s="24" t="n">
        <v>2</v>
      </c>
      <c r="Q99" s="24" t="str">
        <f aca="false">$L99&amp;"-"&amp;TEXT($N99,"00")&amp;"-"&amp;$O99&amp;"-"&amp;TEXT($P99,"00")</f>
        <v>B-01-2-02</v>
      </c>
      <c r="R99" s="34" t="str">
        <f aca="false">"ZONE "&amp;$L99&amp;" / BAY "&amp;TEXT($N99,"00")&amp;" / SHELF "&amp;$O99&amp;" / BIN "&amp;TEXT($P99,"00")</f>
        <v>ZONE B / BAY 01 / SHELF 2 / BIN 02</v>
      </c>
      <c r="S99" s="34" t="s">
        <v>1845</v>
      </c>
      <c r="T99" s="34" t="s">
        <v>1844</v>
      </c>
      <c r="U99" s="27" t="n">
        <v>98</v>
      </c>
      <c r="V99" s="30" t="n">
        <v>46161</v>
      </c>
      <c r="W99" s="34" t="str">
        <f aca="false">IF($H99&gt;0,"Yes - "&amp;$H99&amp;" in stock at Store 0146 (size "&amp;$G99&amp;"). Back room location "&amp;$Q99&amp;" ("&amp;$R99&amp;"), "&amp;$S99&amp;". Back room "&amp;$J99&amp;" / sales floor "&amp;$I99&amp;".","Not currently in stock at Store 0146 (size "&amp;$G99&amp;"). Home location is "&amp;$Q99&amp;" ("&amp;$R99&amp;") when replenished.")</f>
        <v>Yes - 2 in stock at Store 0146 (size 8.5). Back room location B-01-2-02 (ZONE B / BAY 01 / SHELF 2 / BIN 02), Waist height. Back room 1 / sales floor 1.</v>
      </c>
    </row>
    <row r="100" customFormat="false" ht="15" hidden="false" customHeight="false" outlineLevel="0" collapsed="false">
      <c r="A100" s="34" t="s">
        <v>1378</v>
      </c>
      <c r="B100" s="34" t="s">
        <v>1379</v>
      </c>
      <c r="C100" s="34" t="s">
        <v>168</v>
      </c>
      <c r="D100" s="34" t="s">
        <v>170</v>
      </c>
      <c r="E100" s="34" t="s">
        <v>171</v>
      </c>
      <c r="F100" s="34" t="s">
        <v>173</v>
      </c>
      <c r="G100" s="24" t="s">
        <v>164</v>
      </c>
      <c r="H100" s="27" t="n">
        <f aca="false">IFERROR(INDEX('Inventory Master'!$T$2:$T$525,MATCH($A100,'Inventory Master'!$A$2:$A$525,0)),0)</f>
        <v>4</v>
      </c>
      <c r="I100" s="27" t="n">
        <v>1</v>
      </c>
      <c r="J100" s="27" t="n">
        <f aca="false">MAX(0,$H100-$I100)</f>
        <v>3</v>
      </c>
      <c r="K100" s="34" t="str">
        <f aca="false">IF($H100&gt;0,"In Stock","Out of Stock")</f>
        <v>In Stock</v>
      </c>
      <c r="L100" s="24" t="s">
        <v>1850</v>
      </c>
      <c r="M100" s="34" t="s">
        <v>1851</v>
      </c>
      <c r="N100" s="24" t="n">
        <v>1</v>
      </c>
      <c r="O100" s="24" t="n">
        <v>2</v>
      </c>
      <c r="P100" s="24" t="n">
        <v>3</v>
      </c>
      <c r="Q100" s="24" t="str">
        <f aca="false">$L100&amp;"-"&amp;TEXT($N100,"00")&amp;"-"&amp;$O100&amp;"-"&amp;TEXT($P100,"00")</f>
        <v>B-01-2-03</v>
      </c>
      <c r="R100" s="34" t="str">
        <f aca="false">"ZONE "&amp;$L100&amp;" / BAY "&amp;TEXT($N100,"00")&amp;" / SHELF "&amp;$O100&amp;" / BIN "&amp;TEXT($P100,"00")</f>
        <v>ZONE B / BAY 01 / SHELF 2 / BIN 03</v>
      </c>
      <c r="S100" s="34" t="s">
        <v>1845</v>
      </c>
      <c r="T100" s="34" t="s">
        <v>1844</v>
      </c>
      <c r="U100" s="27" t="n">
        <v>99</v>
      </c>
      <c r="V100" s="30" t="n">
        <v>46219</v>
      </c>
      <c r="W100" s="34" t="str">
        <f aca="false">IF($H100&gt;0,"Yes - "&amp;$H100&amp;" in stock at Store 0146 (size "&amp;$G100&amp;"). Back room location "&amp;$Q100&amp;" ("&amp;$R100&amp;"), "&amp;$S100&amp;". Back room "&amp;$J100&amp;" / sales floor "&amp;$I100&amp;".","Not currently in stock at Store 0146 (size "&amp;$G100&amp;"). Home location is "&amp;$Q100&amp;" ("&amp;$R100&amp;") when replenished.")</f>
        <v>Yes - 4 in stock at Store 0146 (size 9). Back room location B-01-2-03 (ZONE B / BAY 01 / SHELF 2 / BIN 03), Waist height. Back room 3 / sales floor 1.</v>
      </c>
    </row>
    <row r="101" customFormat="false" ht="15" hidden="false" customHeight="false" outlineLevel="0" collapsed="false">
      <c r="A101" s="34" t="s">
        <v>166</v>
      </c>
      <c r="B101" s="34" t="s">
        <v>167</v>
      </c>
      <c r="C101" s="34" t="s">
        <v>168</v>
      </c>
      <c r="D101" s="34" t="s">
        <v>170</v>
      </c>
      <c r="E101" s="34" t="s">
        <v>171</v>
      </c>
      <c r="F101" s="34" t="s">
        <v>173</v>
      </c>
      <c r="G101" s="24" t="s">
        <v>177</v>
      </c>
      <c r="H101" s="27" t="n">
        <f aca="false">IFERROR(INDEX('Inventory Master'!$T$2:$T$525,MATCH($A101,'Inventory Master'!$A$2:$A$525,0)),0)</f>
        <v>3</v>
      </c>
      <c r="I101" s="27" t="n">
        <v>1</v>
      </c>
      <c r="J101" s="27" t="n">
        <f aca="false">MAX(0,$H101-$I101)</f>
        <v>2</v>
      </c>
      <c r="K101" s="34" t="str">
        <f aca="false">IF($H101&gt;0,"In Stock","Out of Stock")</f>
        <v>In Stock</v>
      </c>
      <c r="L101" s="24" t="s">
        <v>1850</v>
      </c>
      <c r="M101" s="34" t="s">
        <v>1851</v>
      </c>
      <c r="N101" s="24" t="n">
        <v>1</v>
      </c>
      <c r="O101" s="24" t="n">
        <v>2</v>
      </c>
      <c r="P101" s="24" t="n">
        <v>4</v>
      </c>
      <c r="Q101" s="24" t="str">
        <f aca="false">$L101&amp;"-"&amp;TEXT($N101,"00")&amp;"-"&amp;$O101&amp;"-"&amp;TEXT($P101,"00")</f>
        <v>B-01-2-04</v>
      </c>
      <c r="R101" s="34" t="str">
        <f aca="false">"ZONE "&amp;$L101&amp;" / BAY "&amp;TEXT($N101,"00")&amp;" / SHELF "&amp;$O101&amp;" / BIN "&amp;TEXT($P101,"00")</f>
        <v>ZONE B / BAY 01 / SHELF 2 / BIN 04</v>
      </c>
      <c r="S101" s="34" t="s">
        <v>1845</v>
      </c>
      <c r="T101" s="34" t="s">
        <v>1844</v>
      </c>
      <c r="U101" s="27" t="n">
        <v>100</v>
      </c>
      <c r="V101" s="30" t="n">
        <v>46156</v>
      </c>
      <c r="W101" s="34" t="str">
        <f aca="false">IF($H101&gt;0,"Yes - "&amp;$H101&amp;" in stock at Store 0146 (size "&amp;$G101&amp;"). Back room location "&amp;$Q101&amp;" ("&amp;$R101&amp;"), "&amp;$S101&amp;". Back room "&amp;$J101&amp;" / sales floor "&amp;$I101&amp;".","Not currently in stock at Store 0146 (size "&amp;$G101&amp;"). Home location is "&amp;$Q101&amp;" ("&amp;$R101&amp;") when replenished.")</f>
        <v>Yes - 3 in stock at Store 0146 (size 9.5). Back room location B-01-2-04 (ZONE B / BAY 01 / SHELF 2 / BIN 04), Waist height. Back room 2 / sales floor 1.</v>
      </c>
    </row>
    <row r="102" customFormat="false" ht="15" hidden="false" customHeight="false" outlineLevel="0" collapsed="false">
      <c r="A102" s="34" t="s">
        <v>1128</v>
      </c>
      <c r="B102" s="34" t="s">
        <v>1129</v>
      </c>
      <c r="C102" s="34" t="s">
        <v>1130</v>
      </c>
      <c r="D102" s="34" t="s">
        <v>123</v>
      </c>
      <c r="E102" s="34" t="s">
        <v>1131</v>
      </c>
      <c r="F102" s="34" t="s">
        <v>1133</v>
      </c>
      <c r="G102" s="24" t="s">
        <v>356</v>
      </c>
      <c r="H102" s="27" t="n">
        <f aca="false">IFERROR(INDEX('Inventory Master'!$T$2:$T$525,MATCH($A102,'Inventory Master'!$A$2:$A$525,0)),0)</f>
        <v>3</v>
      </c>
      <c r="I102" s="27" t="n">
        <v>1</v>
      </c>
      <c r="J102" s="27" t="n">
        <f aca="false">MAX(0,$H102-$I102)</f>
        <v>2</v>
      </c>
      <c r="K102" s="34" t="str">
        <f aca="false">IF($H102&gt;0,"In Stock","Out of Stock")</f>
        <v>In Stock</v>
      </c>
      <c r="L102" s="24" t="s">
        <v>1850</v>
      </c>
      <c r="M102" s="34" t="s">
        <v>1851</v>
      </c>
      <c r="N102" s="24" t="n">
        <v>1</v>
      </c>
      <c r="O102" s="24" t="n">
        <v>3</v>
      </c>
      <c r="P102" s="24" t="n">
        <v>1</v>
      </c>
      <c r="Q102" s="24" t="str">
        <f aca="false">$L102&amp;"-"&amp;TEXT($N102,"00")&amp;"-"&amp;$O102&amp;"-"&amp;TEXT($P102,"00")</f>
        <v>B-01-3-01</v>
      </c>
      <c r="R102" s="34" t="str">
        <f aca="false">"ZONE "&amp;$L102&amp;" / BAY "&amp;TEXT($N102,"00")&amp;" / SHELF "&amp;$O102&amp;" / BIN "&amp;TEXT($P102,"00")</f>
        <v>ZONE B / BAY 01 / SHELF 3 / BIN 01</v>
      </c>
      <c r="S102" s="34" t="s">
        <v>1846</v>
      </c>
      <c r="T102" s="34" t="s">
        <v>1844</v>
      </c>
      <c r="U102" s="27" t="n">
        <v>101</v>
      </c>
      <c r="V102" s="30" t="n">
        <v>46198</v>
      </c>
      <c r="W102" s="34" t="str">
        <f aca="false">IF($H102&gt;0,"Yes - "&amp;$H102&amp;" in stock at Store 0146 (size "&amp;$G102&amp;"). Back room location "&amp;$Q102&amp;" ("&amp;$R102&amp;"), "&amp;$S102&amp;". Back room "&amp;$J102&amp;" / sales floor "&amp;$I102&amp;".","Not currently in stock at Store 0146 (size "&amp;$G102&amp;"). Home location is "&amp;$Q102&amp;" ("&amp;$R102&amp;") when replenished.")</f>
        <v>Yes - 3 in stock at Store 0146 (size 8). Back room location B-01-3-01 (ZONE B / BAY 01 / SHELF 3 / BIN 01), Eye level. Back room 2 / sales floor 1.</v>
      </c>
    </row>
    <row r="103" customFormat="false" ht="15" hidden="false" customHeight="false" outlineLevel="0" collapsed="false">
      <c r="A103" s="34" t="s">
        <v>1486</v>
      </c>
      <c r="B103" s="34" t="s">
        <v>1487</v>
      </c>
      <c r="C103" s="34" t="s">
        <v>1130</v>
      </c>
      <c r="D103" s="34" t="s">
        <v>123</v>
      </c>
      <c r="E103" s="34" t="s">
        <v>1131</v>
      </c>
      <c r="F103" s="34" t="s">
        <v>1133</v>
      </c>
      <c r="G103" s="24" t="s">
        <v>188</v>
      </c>
      <c r="H103" s="27" t="n">
        <f aca="false">IFERROR(INDEX('Inventory Master'!$T$2:$T$525,MATCH($A103,'Inventory Master'!$A$2:$A$525,0)),0)</f>
        <v>4</v>
      </c>
      <c r="I103" s="27" t="n">
        <v>1</v>
      </c>
      <c r="J103" s="27" t="n">
        <f aca="false">MAX(0,$H103-$I103)</f>
        <v>3</v>
      </c>
      <c r="K103" s="34" t="str">
        <f aca="false">IF($H103&gt;0,"In Stock","Out of Stock")</f>
        <v>In Stock</v>
      </c>
      <c r="L103" s="24" t="s">
        <v>1850</v>
      </c>
      <c r="M103" s="34" t="s">
        <v>1851</v>
      </c>
      <c r="N103" s="24" t="n">
        <v>1</v>
      </c>
      <c r="O103" s="24" t="n">
        <v>3</v>
      </c>
      <c r="P103" s="24" t="n">
        <v>2</v>
      </c>
      <c r="Q103" s="24" t="str">
        <f aca="false">$L103&amp;"-"&amp;TEXT($N103,"00")&amp;"-"&amp;$O103&amp;"-"&amp;TEXT($P103,"00")</f>
        <v>B-01-3-02</v>
      </c>
      <c r="R103" s="34" t="str">
        <f aca="false">"ZONE "&amp;$L103&amp;" / BAY "&amp;TEXT($N103,"00")&amp;" / SHELF "&amp;$O103&amp;" / BIN "&amp;TEXT($P103,"00")</f>
        <v>ZONE B / BAY 01 / SHELF 3 / BIN 02</v>
      </c>
      <c r="S103" s="34" t="s">
        <v>1846</v>
      </c>
      <c r="T103" s="34" t="s">
        <v>1844</v>
      </c>
      <c r="U103" s="27" t="n">
        <v>102</v>
      </c>
      <c r="V103" s="30" t="n">
        <v>46158</v>
      </c>
      <c r="W103" s="34" t="str">
        <f aca="false">IF($H103&gt;0,"Yes - "&amp;$H103&amp;" in stock at Store 0146 (size "&amp;$G103&amp;"). Back room location "&amp;$Q103&amp;" ("&amp;$R103&amp;"), "&amp;$S103&amp;". Back room "&amp;$J103&amp;" / sales floor "&amp;$I103&amp;".","Not currently in stock at Store 0146 (size "&amp;$G103&amp;"). Home location is "&amp;$Q103&amp;" ("&amp;$R103&amp;") when replenished.")</f>
        <v>Yes - 4 in stock at Store 0146 (size 8.5). Back room location B-01-3-02 (ZONE B / BAY 01 / SHELF 3 / BIN 02), Eye level. Back room 3 / sales floor 1.</v>
      </c>
    </row>
    <row r="104" customFormat="false" ht="15" hidden="false" customHeight="false" outlineLevel="0" collapsed="false">
      <c r="A104" s="34" t="s">
        <v>1334</v>
      </c>
      <c r="B104" s="34" t="s">
        <v>1335</v>
      </c>
      <c r="C104" s="34" t="s">
        <v>1130</v>
      </c>
      <c r="D104" s="34" t="s">
        <v>123</v>
      </c>
      <c r="E104" s="34" t="s">
        <v>1131</v>
      </c>
      <c r="F104" s="34" t="s">
        <v>1133</v>
      </c>
      <c r="G104" s="24" t="s">
        <v>164</v>
      </c>
      <c r="H104" s="27" t="n">
        <f aca="false">IFERROR(INDEX('Inventory Master'!$T$2:$T$525,MATCH($A104,'Inventory Master'!$A$2:$A$525,0)),0)</f>
        <v>0</v>
      </c>
      <c r="I104" s="27" t="n">
        <v>0</v>
      </c>
      <c r="J104" s="27" t="n">
        <f aca="false">MAX(0,$H104-$I104)</f>
        <v>0</v>
      </c>
      <c r="K104" s="34" t="str">
        <f aca="false">IF($H104&gt;0,"In Stock","Out of Stock")</f>
        <v>Out of Stock</v>
      </c>
      <c r="L104" s="24" t="s">
        <v>1850</v>
      </c>
      <c r="M104" s="34" t="s">
        <v>1851</v>
      </c>
      <c r="N104" s="24" t="n">
        <v>1</v>
      </c>
      <c r="O104" s="24" t="n">
        <v>3</v>
      </c>
      <c r="P104" s="24" t="n">
        <v>3</v>
      </c>
      <c r="Q104" s="24" t="str">
        <f aca="false">$L104&amp;"-"&amp;TEXT($N104,"00")&amp;"-"&amp;$O104&amp;"-"&amp;TEXT($P104,"00")</f>
        <v>B-01-3-03</v>
      </c>
      <c r="R104" s="34" t="str">
        <f aca="false">"ZONE "&amp;$L104&amp;" / BAY "&amp;TEXT($N104,"00")&amp;" / SHELF "&amp;$O104&amp;" / BIN "&amp;TEXT($P104,"00")</f>
        <v>ZONE B / BAY 01 / SHELF 3 / BIN 03</v>
      </c>
      <c r="S104" s="34" t="s">
        <v>1846</v>
      </c>
      <c r="T104" s="34" t="s">
        <v>1844</v>
      </c>
      <c r="U104" s="27" t="n">
        <v>103</v>
      </c>
      <c r="V104" s="30" t="n">
        <v>46207</v>
      </c>
      <c r="W104" s="34" t="str">
        <f aca="false">IF($H104&gt;0,"Yes - "&amp;$H104&amp;" in stock at Store 0146 (size "&amp;$G104&amp;"). Back room location "&amp;$Q104&amp;" ("&amp;$R104&amp;"), "&amp;$S104&amp;". Back room "&amp;$J104&amp;" / sales floor "&amp;$I104&amp;".","Not currently in stock at Store 0146 (size "&amp;$G104&amp;"). Home location is "&amp;$Q104&amp;" ("&amp;$R104&amp;") when replenished.")</f>
        <v>Not currently in stock at Store 0146 (size 9). Home location is B-01-3-03 (ZONE B / BAY 01 / SHELF 3 / BIN 03) when replenished.</v>
      </c>
    </row>
    <row r="105" customFormat="false" ht="15" hidden="false" customHeight="false" outlineLevel="0" collapsed="false">
      <c r="A105" s="34" t="s">
        <v>1326</v>
      </c>
      <c r="B105" s="34" t="s">
        <v>1327</v>
      </c>
      <c r="C105" s="34" t="s">
        <v>1130</v>
      </c>
      <c r="D105" s="34" t="s">
        <v>123</v>
      </c>
      <c r="E105" s="34" t="s">
        <v>1131</v>
      </c>
      <c r="F105" s="34" t="s">
        <v>1133</v>
      </c>
      <c r="G105" s="24" t="s">
        <v>177</v>
      </c>
      <c r="H105" s="27" t="n">
        <f aca="false">IFERROR(INDEX('Inventory Master'!$T$2:$T$525,MATCH($A105,'Inventory Master'!$A$2:$A$525,0)),0)</f>
        <v>3</v>
      </c>
      <c r="I105" s="27" t="n">
        <v>1</v>
      </c>
      <c r="J105" s="27" t="n">
        <f aca="false">MAX(0,$H105-$I105)</f>
        <v>2</v>
      </c>
      <c r="K105" s="34" t="str">
        <f aca="false">IF($H105&gt;0,"In Stock","Out of Stock")</f>
        <v>In Stock</v>
      </c>
      <c r="L105" s="24" t="s">
        <v>1850</v>
      </c>
      <c r="M105" s="34" t="s">
        <v>1851</v>
      </c>
      <c r="N105" s="24" t="n">
        <v>1</v>
      </c>
      <c r="O105" s="24" t="n">
        <v>3</v>
      </c>
      <c r="P105" s="24" t="n">
        <v>4</v>
      </c>
      <c r="Q105" s="24" t="str">
        <f aca="false">$L105&amp;"-"&amp;TEXT($N105,"00")&amp;"-"&amp;$O105&amp;"-"&amp;TEXT($P105,"00")</f>
        <v>B-01-3-04</v>
      </c>
      <c r="R105" s="34" t="str">
        <f aca="false">"ZONE "&amp;$L105&amp;" / BAY "&amp;TEXT($N105,"00")&amp;" / SHELF "&amp;$O105&amp;" / BIN "&amp;TEXT($P105,"00")</f>
        <v>ZONE B / BAY 01 / SHELF 3 / BIN 04</v>
      </c>
      <c r="S105" s="34" t="s">
        <v>1846</v>
      </c>
      <c r="T105" s="34" t="s">
        <v>1844</v>
      </c>
      <c r="U105" s="27" t="n">
        <v>104</v>
      </c>
      <c r="V105" s="30" t="n">
        <v>46166</v>
      </c>
      <c r="W105" s="34" t="str">
        <f aca="false">IF($H105&gt;0,"Yes - "&amp;$H105&amp;" in stock at Store 0146 (size "&amp;$G105&amp;"). Back room location "&amp;$Q105&amp;" ("&amp;$R105&amp;"), "&amp;$S105&amp;". Back room "&amp;$J105&amp;" / sales floor "&amp;$I105&amp;".","Not currently in stock at Store 0146 (size "&amp;$G105&amp;"). Home location is "&amp;$Q105&amp;" ("&amp;$R105&amp;") when replenished.")</f>
        <v>Yes - 3 in stock at Store 0146 (size 9.5). Back room location B-01-3-04 (ZONE B / BAY 01 / SHELF 3 / BIN 04), Eye level. Back room 2 / sales floor 1.</v>
      </c>
    </row>
    <row r="106" customFormat="false" ht="15" hidden="false" customHeight="false" outlineLevel="0" collapsed="false">
      <c r="A106" s="34" t="s">
        <v>1589</v>
      </c>
      <c r="B106" s="34" t="s">
        <v>1590</v>
      </c>
      <c r="C106" s="34" t="s">
        <v>568</v>
      </c>
      <c r="D106" s="34" t="s">
        <v>123</v>
      </c>
      <c r="E106" s="34" t="s">
        <v>569</v>
      </c>
      <c r="F106" s="34" t="s">
        <v>571</v>
      </c>
      <c r="G106" s="24" t="s">
        <v>164</v>
      </c>
      <c r="H106" s="27" t="n">
        <f aca="false">IFERROR(INDEX('Inventory Master'!$T$2:$T$525,MATCH($A106,'Inventory Master'!$A$2:$A$525,0)),0)</f>
        <v>3</v>
      </c>
      <c r="I106" s="27" t="n">
        <v>0</v>
      </c>
      <c r="J106" s="27" t="n">
        <f aca="false">MAX(0,$H106-$I106)</f>
        <v>3</v>
      </c>
      <c r="K106" s="34" t="str">
        <f aca="false">IF($H106&gt;0,"In Stock","Out of Stock")</f>
        <v>In Stock</v>
      </c>
      <c r="L106" s="24" t="s">
        <v>1850</v>
      </c>
      <c r="M106" s="34" t="s">
        <v>1851</v>
      </c>
      <c r="N106" s="24" t="n">
        <v>1</v>
      </c>
      <c r="O106" s="24" t="n">
        <v>4</v>
      </c>
      <c r="P106" s="24" t="n">
        <v>1</v>
      </c>
      <c r="Q106" s="24" t="str">
        <f aca="false">$L106&amp;"-"&amp;TEXT($N106,"00")&amp;"-"&amp;$O106&amp;"-"&amp;TEXT($P106,"00")</f>
        <v>B-01-4-01</v>
      </c>
      <c r="R106" s="34" t="str">
        <f aca="false">"ZONE "&amp;$L106&amp;" / BAY "&amp;TEXT($N106,"00")&amp;" / SHELF "&amp;$O106&amp;" / BIN "&amp;TEXT($P106,"00")</f>
        <v>ZONE B / BAY 01 / SHELF 4 / BIN 01</v>
      </c>
      <c r="S106" s="34" t="s">
        <v>1847</v>
      </c>
      <c r="T106" s="34" t="s">
        <v>1844</v>
      </c>
      <c r="U106" s="27" t="n">
        <v>105</v>
      </c>
      <c r="V106" s="30" t="n">
        <v>46225</v>
      </c>
      <c r="W106" s="34" t="str">
        <f aca="false">IF($H106&gt;0,"Yes - "&amp;$H106&amp;" in stock at Store 0146 (size "&amp;$G106&amp;"). Back room location "&amp;$Q106&amp;" ("&amp;$R106&amp;"), "&amp;$S106&amp;". Back room "&amp;$J106&amp;" / sales floor "&amp;$I106&amp;".","Not currently in stock at Store 0146 (size "&amp;$G106&amp;"). Home location is "&amp;$Q106&amp;" ("&amp;$R106&amp;") when replenished.")</f>
        <v>Yes - 3 in stock at Store 0146 (size 9). Back room location B-01-4-01 (ZONE B / BAY 01 / SHELF 4 / BIN 01), Overhead - step stool. Back room 3 / sales floor 0.</v>
      </c>
    </row>
    <row r="107" customFormat="false" ht="15" hidden="false" customHeight="false" outlineLevel="0" collapsed="false">
      <c r="A107" s="34" t="s">
        <v>566</v>
      </c>
      <c r="B107" s="34" t="s">
        <v>567</v>
      </c>
      <c r="C107" s="34" t="s">
        <v>568</v>
      </c>
      <c r="D107" s="34" t="s">
        <v>123</v>
      </c>
      <c r="E107" s="34" t="s">
        <v>569</v>
      </c>
      <c r="F107" s="34" t="s">
        <v>571</v>
      </c>
      <c r="G107" s="24" t="s">
        <v>177</v>
      </c>
      <c r="H107" s="27" t="n">
        <f aca="false">IFERROR(INDEX('Inventory Master'!$T$2:$T$525,MATCH($A107,'Inventory Master'!$A$2:$A$525,0)),0)</f>
        <v>1</v>
      </c>
      <c r="I107" s="27" t="n">
        <v>1</v>
      </c>
      <c r="J107" s="27" t="n">
        <f aca="false">MAX(0,$H107-$I107)</f>
        <v>0</v>
      </c>
      <c r="K107" s="34" t="str">
        <f aca="false">IF($H107&gt;0,"In Stock","Out of Stock")</f>
        <v>In Stock</v>
      </c>
      <c r="L107" s="24" t="s">
        <v>1850</v>
      </c>
      <c r="M107" s="34" t="s">
        <v>1851</v>
      </c>
      <c r="N107" s="24" t="n">
        <v>1</v>
      </c>
      <c r="O107" s="24" t="n">
        <v>4</v>
      </c>
      <c r="P107" s="24" t="n">
        <v>2</v>
      </c>
      <c r="Q107" s="24" t="str">
        <f aca="false">$L107&amp;"-"&amp;TEXT($N107,"00")&amp;"-"&amp;$O107&amp;"-"&amp;TEXT($P107,"00")</f>
        <v>B-01-4-02</v>
      </c>
      <c r="R107" s="34" t="str">
        <f aca="false">"ZONE "&amp;$L107&amp;" / BAY "&amp;TEXT($N107,"00")&amp;" / SHELF "&amp;$O107&amp;" / BIN "&amp;TEXT($P107,"00")</f>
        <v>ZONE B / BAY 01 / SHELF 4 / BIN 02</v>
      </c>
      <c r="S107" s="34" t="s">
        <v>1847</v>
      </c>
      <c r="T107" s="34" t="s">
        <v>1844</v>
      </c>
      <c r="U107" s="27" t="n">
        <v>106</v>
      </c>
      <c r="V107" s="30" t="n">
        <v>46141</v>
      </c>
      <c r="W107" s="34" t="str">
        <f aca="false">IF($H107&gt;0,"Yes - "&amp;$H107&amp;" in stock at Store 0146 (size "&amp;$G107&amp;"). Back room location "&amp;$Q107&amp;" ("&amp;$R107&amp;"), "&amp;$S107&amp;". Back room "&amp;$J107&amp;" / sales floor "&amp;$I107&amp;".","Not currently in stock at Store 0146 (size "&amp;$G107&amp;"). Home location is "&amp;$Q107&amp;" ("&amp;$R107&amp;") when replenished.")</f>
        <v>Yes - 1 in stock at Store 0146 (size 9.5). Back room location B-01-4-02 (ZONE B / BAY 01 / SHELF 4 / BIN 02), Overhead - step stool. Back room 0 / sales floor 1.</v>
      </c>
    </row>
    <row r="108" customFormat="false" ht="15" hidden="false" customHeight="false" outlineLevel="0" collapsed="false">
      <c r="A108" s="34" t="s">
        <v>763</v>
      </c>
      <c r="B108" s="34" t="s">
        <v>764</v>
      </c>
      <c r="C108" s="34" t="s">
        <v>568</v>
      </c>
      <c r="D108" s="34" t="s">
        <v>123</v>
      </c>
      <c r="E108" s="34" t="s">
        <v>569</v>
      </c>
      <c r="F108" s="34" t="s">
        <v>571</v>
      </c>
      <c r="G108" s="24" t="s">
        <v>211</v>
      </c>
      <c r="H108" s="27" t="n">
        <f aca="false">IFERROR(INDEX('Inventory Master'!$T$2:$T$525,MATCH($A108,'Inventory Master'!$A$2:$A$525,0)),0)</f>
        <v>4</v>
      </c>
      <c r="I108" s="27" t="n">
        <v>1</v>
      </c>
      <c r="J108" s="27" t="n">
        <f aca="false">MAX(0,$H108-$I108)</f>
        <v>3</v>
      </c>
      <c r="K108" s="34" t="str">
        <f aca="false">IF($H108&gt;0,"In Stock","Out of Stock")</f>
        <v>In Stock</v>
      </c>
      <c r="L108" s="24" t="s">
        <v>1850</v>
      </c>
      <c r="M108" s="34" t="s">
        <v>1851</v>
      </c>
      <c r="N108" s="24" t="n">
        <v>1</v>
      </c>
      <c r="O108" s="24" t="n">
        <v>4</v>
      </c>
      <c r="P108" s="24" t="n">
        <v>3</v>
      </c>
      <c r="Q108" s="24" t="str">
        <f aca="false">$L108&amp;"-"&amp;TEXT($N108,"00")&amp;"-"&amp;$O108&amp;"-"&amp;TEXT($P108,"00")</f>
        <v>B-01-4-03</v>
      </c>
      <c r="R108" s="34" t="str">
        <f aca="false">"ZONE "&amp;$L108&amp;" / BAY "&amp;TEXT($N108,"00")&amp;" / SHELF "&amp;$O108&amp;" / BIN "&amp;TEXT($P108,"00")</f>
        <v>ZONE B / BAY 01 / SHELF 4 / BIN 03</v>
      </c>
      <c r="S108" s="34" t="s">
        <v>1847</v>
      </c>
      <c r="T108" s="34" t="s">
        <v>1844</v>
      </c>
      <c r="U108" s="27" t="n">
        <v>107</v>
      </c>
      <c r="V108" s="30" t="n">
        <v>46162</v>
      </c>
      <c r="W108" s="34" t="str">
        <f aca="false">IF($H108&gt;0,"Yes - "&amp;$H108&amp;" in stock at Store 0146 (size "&amp;$G108&amp;"). Back room location "&amp;$Q108&amp;" ("&amp;$R108&amp;"), "&amp;$S108&amp;". Back room "&amp;$J108&amp;" / sales floor "&amp;$I108&amp;".","Not currently in stock at Store 0146 (size "&amp;$G108&amp;"). Home location is "&amp;$Q108&amp;" ("&amp;$R108&amp;") when replenished.")</f>
        <v>Yes - 4 in stock at Store 0146 (size 10). Back room location B-01-4-03 (ZONE B / BAY 01 / SHELF 4 / BIN 03), Overhead - step stool. Back room 3 / sales floor 1.</v>
      </c>
    </row>
    <row r="109" customFormat="false" ht="15" hidden="false" customHeight="false" outlineLevel="0" collapsed="false">
      <c r="A109" s="34" t="s">
        <v>625</v>
      </c>
      <c r="B109" s="34" t="s">
        <v>626</v>
      </c>
      <c r="C109" s="34" t="s">
        <v>568</v>
      </c>
      <c r="D109" s="34" t="s">
        <v>123</v>
      </c>
      <c r="E109" s="34" t="s">
        <v>569</v>
      </c>
      <c r="F109" s="34" t="s">
        <v>571</v>
      </c>
      <c r="G109" s="24" t="s">
        <v>327</v>
      </c>
      <c r="H109" s="27" t="n">
        <f aca="false">IFERROR(INDEX('Inventory Master'!$T$2:$T$525,MATCH($A109,'Inventory Master'!$A$2:$A$525,0)),0)</f>
        <v>3</v>
      </c>
      <c r="I109" s="27" t="n">
        <v>1</v>
      </c>
      <c r="J109" s="27" t="n">
        <f aca="false">MAX(0,$H109-$I109)</f>
        <v>2</v>
      </c>
      <c r="K109" s="34" t="str">
        <f aca="false">IF($H109&gt;0,"In Stock","Out of Stock")</f>
        <v>In Stock</v>
      </c>
      <c r="L109" s="24" t="s">
        <v>1850</v>
      </c>
      <c r="M109" s="34" t="s">
        <v>1851</v>
      </c>
      <c r="N109" s="24" t="n">
        <v>1</v>
      </c>
      <c r="O109" s="24" t="n">
        <v>4</v>
      </c>
      <c r="P109" s="24" t="n">
        <v>4</v>
      </c>
      <c r="Q109" s="24" t="str">
        <f aca="false">$L109&amp;"-"&amp;TEXT($N109,"00")&amp;"-"&amp;$O109&amp;"-"&amp;TEXT($P109,"00")</f>
        <v>B-01-4-04</v>
      </c>
      <c r="R109" s="34" t="str">
        <f aca="false">"ZONE "&amp;$L109&amp;" / BAY "&amp;TEXT($N109,"00")&amp;" / SHELF "&amp;$O109&amp;" / BIN "&amp;TEXT($P109,"00")</f>
        <v>ZONE B / BAY 01 / SHELF 4 / BIN 04</v>
      </c>
      <c r="S109" s="34" t="s">
        <v>1847</v>
      </c>
      <c r="T109" s="34" t="s">
        <v>1844</v>
      </c>
      <c r="U109" s="27" t="n">
        <v>108</v>
      </c>
      <c r="V109" s="30" t="n">
        <v>46153</v>
      </c>
      <c r="W109" s="34" t="str">
        <f aca="false">IF($H109&gt;0,"Yes - "&amp;$H109&amp;" in stock at Store 0146 (size "&amp;$G109&amp;"). Back room location "&amp;$Q109&amp;" ("&amp;$R109&amp;"), "&amp;$S109&amp;". Back room "&amp;$J109&amp;" / sales floor "&amp;$I109&amp;".","Not currently in stock at Store 0146 (size "&amp;$G109&amp;"). Home location is "&amp;$Q109&amp;" ("&amp;$R109&amp;") when replenished.")</f>
        <v>Yes - 3 in stock at Store 0146 (size 10.5). Back room location B-01-4-04 (ZONE B / BAY 01 / SHELF 4 / BIN 04), Overhead - step stool. Back room 2 / sales floor 1.</v>
      </c>
    </row>
    <row r="110" customFormat="false" ht="15" hidden="false" customHeight="false" outlineLevel="0" collapsed="false">
      <c r="A110" s="34" t="s">
        <v>1617</v>
      </c>
      <c r="B110" s="34" t="s">
        <v>1618</v>
      </c>
      <c r="C110" s="34" t="s">
        <v>568</v>
      </c>
      <c r="D110" s="34" t="s">
        <v>123</v>
      </c>
      <c r="E110" s="34" t="s">
        <v>569</v>
      </c>
      <c r="F110" s="34" t="s">
        <v>571</v>
      </c>
      <c r="G110" s="24" t="s">
        <v>258</v>
      </c>
      <c r="H110" s="27" t="n">
        <f aca="false">IFERROR(INDEX('Inventory Master'!$T$2:$T$525,MATCH($A110,'Inventory Master'!$A$2:$A$525,0)),0)</f>
        <v>5</v>
      </c>
      <c r="I110" s="27" t="n">
        <v>1</v>
      </c>
      <c r="J110" s="27" t="n">
        <f aca="false">MAX(0,$H110-$I110)</f>
        <v>4</v>
      </c>
      <c r="K110" s="34" t="str">
        <f aca="false">IF($H110&gt;0,"In Stock","Out of Stock")</f>
        <v>In Stock</v>
      </c>
      <c r="L110" s="24" t="s">
        <v>1850</v>
      </c>
      <c r="M110" s="34" t="s">
        <v>1851</v>
      </c>
      <c r="N110" s="24" t="n">
        <v>1</v>
      </c>
      <c r="O110" s="24" t="n">
        <v>4</v>
      </c>
      <c r="P110" s="24" t="n">
        <v>5</v>
      </c>
      <c r="Q110" s="24" t="str">
        <f aca="false">$L110&amp;"-"&amp;TEXT($N110,"00")&amp;"-"&amp;$O110&amp;"-"&amp;TEXT($P110,"00")</f>
        <v>B-01-4-05</v>
      </c>
      <c r="R110" s="34" t="str">
        <f aca="false">"ZONE "&amp;$L110&amp;" / BAY "&amp;TEXT($N110,"00")&amp;" / SHELF "&amp;$O110&amp;" / BIN "&amp;TEXT($P110,"00")</f>
        <v>ZONE B / BAY 01 / SHELF 4 / BIN 05</v>
      </c>
      <c r="S110" s="34" t="s">
        <v>1847</v>
      </c>
      <c r="T110" s="34" t="s">
        <v>1844</v>
      </c>
      <c r="U110" s="27" t="n">
        <v>109</v>
      </c>
      <c r="V110" s="30" t="n">
        <v>46165</v>
      </c>
      <c r="W110" s="34" t="str">
        <f aca="false">IF($H110&gt;0,"Yes - "&amp;$H110&amp;" in stock at Store 0146 (size "&amp;$G110&amp;"). Back room location "&amp;$Q110&amp;" ("&amp;$R110&amp;"), "&amp;$S110&amp;". Back room "&amp;$J110&amp;" / sales floor "&amp;$I110&amp;".","Not currently in stock at Store 0146 (size "&amp;$G110&amp;"). Home location is "&amp;$Q110&amp;" ("&amp;$R110&amp;") when replenished.")</f>
        <v>Yes - 5 in stock at Store 0146 (size 11). Back room location B-01-4-05 (ZONE B / BAY 01 / SHELF 4 / BIN 05), Overhead - step stool. Back room 4 / sales floor 1.</v>
      </c>
    </row>
    <row r="111" customFormat="false" ht="15" hidden="false" customHeight="false" outlineLevel="0" collapsed="false">
      <c r="A111" s="34" t="s">
        <v>1705</v>
      </c>
      <c r="B111" s="34" t="s">
        <v>1706</v>
      </c>
      <c r="C111" s="34" t="s">
        <v>568</v>
      </c>
      <c r="D111" s="34" t="s">
        <v>123</v>
      </c>
      <c r="E111" s="34" t="s">
        <v>569</v>
      </c>
      <c r="F111" s="34" t="s">
        <v>571</v>
      </c>
      <c r="G111" s="24" t="s">
        <v>141</v>
      </c>
      <c r="H111" s="27" t="n">
        <f aca="false">IFERROR(INDEX('Inventory Master'!$T$2:$T$525,MATCH($A111,'Inventory Master'!$A$2:$A$525,0)),0)</f>
        <v>1</v>
      </c>
      <c r="I111" s="27" t="n">
        <v>1</v>
      </c>
      <c r="J111" s="27" t="n">
        <f aca="false">MAX(0,$H111-$I111)</f>
        <v>0</v>
      </c>
      <c r="K111" s="34" t="str">
        <f aca="false">IF($H111&gt;0,"In Stock","Out of Stock")</f>
        <v>In Stock</v>
      </c>
      <c r="L111" s="24" t="s">
        <v>1850</v>
      </c>
      <c r="M111" s="34" t="s">
        <v>1851</v>
      </c>
      <c r="N111" s="24" t="n">
        <v>1</v>
      </c>
      <c r="O111" s="24" t="n">
        <v>4</v>
      </c>
      <c r="P111" s="24" t="n">
        <v>6</v>
      </c>
      <c r="Q111" s="24" t="str">
        <f aca="false">$L111&amp;"-"&amp;TEXT($N111,"00")&amp;"-"&amp;$O111&amp;"-"&amp;TEXT($P111,"00")</f>
        <v>B-01-4-06</v>
      </c>
      <c r="R111" s="34" t="str">
        <f aca="false">"ZONE "&amp;$L111&amp;" / BAY "&amp;TEXT($N111,"00")&amp;" / SHELF "&amp;$O111&amp;" / BIN "&amp;TEXT($P111,"00")</f>
        <v>ZONE B / BAY 01 / SHELF 4 / BIN 06</v>
      </c>
      <c r="S111" s="34" t="s">
        <v>1847</v>
      </c>
      <c r="T111" s="34" t="s">
        <v>1844</v>
      </c>
      <c r="U111" s="27" t="n">
        <v>110</v>
      </c>
      <c r="V111" s="30" t="n">
        <v>46163</v>
      </c>
      <c r="W111" s="34" t="str">
        <f aca="false">IF($H111&gt;0,"Yes - "&amp;$H111&amp;" in stock at Store 0146 (size "&amp;$G111&amp;"). Back room location "&amp;$Q111&amp;" ("&amp;$R111&amp;"), "&amp;$S111&amp;". Back room "&amp;$J111&amp;" / sales floor "&amp;$I111&amp;".","Not currently in stock at Store 0146 (size "&amp;$G111&amp;"). Home location is "&amp;$Q111&amp;" ("&amp;$R111&amp;") when replenished.")</f>
        <v>Yes - 1 in stock at Store 0146 (size 11.5). Back room location B-01-4-06 (ZONE B / BAY 01 / SHELF 4 / BIN 06), Overhead - step stool. Back room 0 / sales floor 1.</v>
      </c>
    </row>
    <row r="112" customFormat="false" ht="15" hidden="false" customHeight="false" outlineLevel="0" collapsed="false">
      <c r="A112" s="34" t="s">
        <v>220</v>
      </c>
      <c r="B112" s="34" t="s">
        <v>221</v>
      </c>
      <c r="C112" s="34" t="s">
        <v>222</v>
      </c>
      <c r="D112" s="34" t="s">
        <v>123</v>
      </c>
      <c r="E112" s="34" t="s">
        <v>223</v>
      </c>
      <c r="F112" s="34" t="s">
        <v>225</v>
      </c>
      <c r="G112" s="24" t="s">
        <v>211</v>
      </c>
      <c r="H112" s="27" t="n">
        <f aca="false">IFERROR(INDEX('Inventory Master'!$T$2:$T$525,MATCH($A112,'Inventory Master'!$A$2:$A$525,0)),0)</f>
        <v>5</v>
      </c>
      <c r="I112" s="27" t="n">
        <v>1</v>
      </c>
      <c r="J112" s="27" t="n">
        <f aca="false">MAX(0,$H112-$I112)</f>
        <v>4</v>
      </c>
      <c r="K112" s="34" t="str">
        <f aca="false">IF($H112&gt;0,"In Stock","Out of Stock")</f>
        <v>In Stock</v>
      </c>
      <c r="L112" s="24" t="s">
        <v>1850</v>
      </c>
      <c r="M112" s="34" t="s">
        <v>1851</v>
      </c>
      <c r="N112" s="24" t="n">
        <v>1</v>
      </c>
      <c r="O112" s="24" t="n">
        <v>5</v>
      </c>
      <c r="P112" s="24" t="n">
        <v>1</v>
      </c>
      <c r="Q112" s="24" t="str">
        <f aca="false">$L112&amp;"-"&amp;TEXT($N112,"00")&amp;"-"&amp;$O112&amp;"-"&amp;TEXT($P112,"00")</f>
        <v>B-01-5-01</v>
      </c>
      <c r="R112" s="34" t="str">
        <f aca="false">"ZONE "&amp;$L112&amp;" / BAY "&amp;TEXT($N112,"00")&amp;" / SHELF "&amp;$O112&amp;" / BIN "&amp;TEXT($P112,"00")</f>
        <v>ZONE B / BAY 01 / SHELF 5 / BIN 01</v>
      </c>
      <c r="S112" s="34" t="s">
        <v>1848</v>
      </c>
      <c r="T112" s="34" t="s">
        <v>1844</v>
      </c>
      <c r="U112" s="27" t="n">
        <v>111</v>
      </c>
      <c r="V112" s="30" t="n">
        <v>46181</v>
      </c>
      <c r="W112" s="34" t="str">
        <f aca="false">IF($H112&gt;0,"Yes - "&amp;$H112&amp;" in stock at Store 0146 (size "&amp;$G112&amp;"). Back room location "&amp;$Q112&amp;" ("&amp;$R112&amp;"), "&amp;$S112&amp;". Back room "&amp;$J112&amp;" / sales floor "&amp;$I112&amp;".","Not currently in stock at Store 0146 (size "&amp;$G112&amp;"). Home location is "&amp;$Q112&amp;" ("&amp;$R112&amp;") when replenished.")</f>
        <v>Yes - 5 in stock at Store 0146 (size 10). Back room location B-01-5-01 (ZONE B / BAY 01 / SHELF 5 / BIN 01), Top shelf - ladder required. Back room 4 / sales floor 1.</v>
      </c>
    </row>
    <row r="113" customFormat="false" ht="15" hidden="false" customHeight="false" outlineLevel="0" collapsed="false">
      <c r="A113" s="34" t="s">
        <v>973</v>
      </c>
      <c r="B113" s="34" t="s">
        <v>974</v>
      </c>
      <c r="C113" s="34" t="s">
        <v>222</v>
      </c>
      <c r="D113" s="34" t="s">
        <v>123</v>
      </c>
      <c r="E113" s="34" t="s">
        <v>223</v>
      </c>
      <c r="F113" s="34" t="s">
        <v>225</v>
      </c>
      <c r="G113" s="24" t="s">
        <v>327</v>
      </c>
      <c r="H113" s="27" t="n">
        <f aca="false">IFERROR(INDEX('Inventory Master'!$T$2:$T$525,MATCH($A113,'Inventory Master'!$A$2:$A$525,0)),0)</f>
        <v>3</v>
      </c>
      <c r="I113" s="27" t="n">
        <v>2</v>
      </c>
      <c r="J113" s="27" t="n">
        <f aca="false">MAX(0,$H113-$I113)</f>
        <v>1</v>
      </c>
      <c r="K113" s="34" t="str">
        <f aca="false">IF($H113&gt;0,"In Stock","Out of Stock")</f>
        <v>In Stock</v>
      </c>
      <c r="L113" s="24" t="s">
        <v>1850</v>
      </c>
      <c r="M113" s="34" t="s">
        <v>1851</v>
      </c>
      <c r="N113" s="24" t="n">
        <v>1</v>
      </c>
      <c r="O113" s="24" t="n">
        <v>5</v>
      </c>
      <c r="P113" s="24" t="n">
        <v>2</v>
      </c>
      <c r="Q113" s="24" t="str">
        <f aca="false">$L113&amp;"-"&amp;TEXT($N113,"00")&amp;"-"&amp;$O113&amp;"-"&amp;TEXT($P113,"00")</f>
        <v>B-01-5-02</v>
      </c>
      <c r="R113" s="34" t="str">
        <f aca="false">"ZONE "&amp;$L113&amp;" / BAY "&amp;TEXT($N113,"00")&amp;" / SHELF "&amp;$O113&amp;" / BIN "&amp;TEXT($P113,"00")</f>
        <v>ZONE B / BAY 01 / SHELF 5 / BIN 02</v>
      </c>
      <c r="S113" s="34" t="s">
        <v>1848</v>
      </c>
      <c r="T113" s="34" t="s">
        <v>1844</v>
      </c>
      <c r="U113" s="27" t="n">
        <v>112</v>
      </c>
      <c r="V113" s="30" t="n">
        <v>46162</v>
      </c>
      <c r="W113" s="34" t="str">
        <f aca="false">IF($H113&gt;0,"Yes - "&amp;$H113&amp;" in stock at Store 0146 (size "&amp;$G113&amp;"). Back room location "&amp;$Q113&amp;" ("&amp;$R113&amp;"), "&amp;$S113&amp;". Back room "&amp;$J113&amp;" / sales floor "&amp;$I113&amp;".","Not currently in stock at Store 0146 (size "&amp;$G113&amp;"). Home location is "&amp;$Q113&amp;" ("&amp;$R113&amp;") when replenished.")</f>
        <v>Yes - 3 in stock at Store 0146 (size 10.5). Back room location B-01-5-02 (ZONE B / BAY 01 / SHELF 5 / BIN 02), Top shelf - ladder required. Back room 1 / sales floor 2.</v>
      </c>
    </row>
    <row r="114" customFormat="false" ht="15" hidden="false" customHeight="false" outlineLevel="0" collapsed="false">
      <c r="A114" s="34" t="s">
        <v>1809</v>
      </c>
      <c r="B114" s="34" t="s">
        <v>1810</v>
      </c>
      <c r="C114" s="34" t="s">
        <v>222</v>
      </c>
      <c r="D114" s="34" t="s">
        <v>123</v>
      </c>
      <c r="E114" s="34" t="s">
        <v>223</v>
      </c>
      <c r="F114" s="34" t="s">
        <v>225</v>
      </c>
      <c r="G114" s="24" t="s">
        <v>258</v>
      </c>
      <c r="H114" s="27" t="n">
        <f aca="false">IFERROR(INDEX('Inventory Master'!$T$2:$T$525,MATCH($A114,'Inventory Master'!$A$2:$A$525,0)),0)</f>
        <v>5</v>
      </c>
      <c r="I114" s="27" t="n">
        <v>1</v>
      </c>
      <c r="J114" s="27" t="n">
        <f aca="false">MAX(0,$H114-$I114)</f>
        <v>4</v>
      </c>
      <c r="K114" s="34" t="str">
        <f aca="false">IF($H114&gt;0,"In Stock","Out of Stock")</f>
        <v>In Stock</v>
      </c>
      <c r="L114" s="24" t="s">
        <v>1850</v>
      </c>
      <c r="M114" s="34" t="s">
        <v>1851</v>
      </c>
      <c r="N114" s="24" t="n">
        <v>1</v>
      </c>
      <c r="O114" s="24" t="n">
        <v>5</v>
      </c>
      <c r="P114" s="24" t="n">
        <v>3</v>
      </c>
      <c r="Q114" s="24" t="str">
        <f aca="false">$L114&amp;"-"&amp;TEXT($N114,"00")&amp;"-"&amp;$O114&amp;"-"&amp;TEXT($P114,"00")</f>
        <v>B-01-5-03</v>
      </c>
      <c r="R114" s="34" t="str">
        <f aca="false">"ZONE "&amp;$L114&amp;" / BAY "&amp;TEXT($N114,"00")&amp;" / SHELF "&amp;$O114&amp;" / BIN "&amp;TEXT($P114,"00")</f>
        <v>ZONE B / BAY 01 / SHELF 5 / BIN 03</v>
      </c>
      <c r="S114" s="34" t="s">
        <v>1848</v>
      </c>
      <c r="T114" s="34" t="s">
        <v>1844</v>
      </c>
      <c r="U114" s="27" t="n">
        <v>113</v>
      </c>
      <c r="V114" s="30" t="n">
        <v>46136</v>
      </c>
      <c r="W114" s="34" t="str">
        <f aca="false">IF($H114&gt;0,"Yes - "&amp;$H114&amp;" in stock at Store 0146 (size "&amp;$G114&amp;"). Back room location "&amp;$Q114&amp;" ("&amp;$R114&amp;"), "&amp;$S114&amp;". Back room "&amp;$J114&amp;" / sales floor "&amp;$I114&amp;".","Not currently in stock at Store 0146 (size "&amp;$G114&amp;"). Home location is "&amp;$Q114&amp;" ("&amp;$R114&amp;") when replenished.")</f>
        <v>Yes - 5 in stock at Store 0146 (size 11). Back room location B-01-5-03 (ZONE B / BAY 01 / SHELF 5 / BIN 03), Top shelf - ladder required. Back room 4 / sales floor 1.</v>
      </c>
    </row>
    <row r="115" customFormat="false" ht="15" hidden="false" customHeight="false" outlineLevel="0" collapsed="false">
      <c r="A115" s="34" t="s">
        <v>877</v>
      </c>
      <c r="B115" s="34" t="s">
        <v>878</v>
      </c>
      <c r="C115" s="34" t="s">
        <v>222</v>
      </c>
      <c r="D115" s="34" t="s">
        <v>123</v>
      </c>
      <c r="E115" s="34" t="s">
        <v>223</v>
      </c>
      <c r="F115" s="34" t="s">
        <v>225</v>
      </c>
      <c r="G115" s="24" t="s">
        <v>141</v>
      </c>
      <c r="H115" s="27" t="n">
        <f aca="false">IFERROR(INDEX('Inventory Master'!$T$2:$T$525,MATCH($A115,'Inventory Master'!$A$2:$A$525,0)),0)</f>
        <v>4</v>
      </c>
      <c r="I115" s="27" t="n">
        <v>1</v>
      </c>
      <c r="J115" s="27" t="n">
        <f aca="false">MAX(0,$H115-$I115)</f>
        <v>3</v>
      </c>
      <c r="K115" s="34" t="str">
        <f aca="false">IF($H115&gt;0,"In Stock","Out of Stock")</f>
        <v>In Stock</v>
      </c>
      <c r="L115" s="24" t="s">
        <v>1850</v>
      </c>
      <c r="M115" s="34" t="s">
        <v>1851</v>
      </c>
      <c r="N115" s="24" t="n">
        <v>1</v>
      </c>
      <c r="O115" s="24" t="n">
        <v>5</v>
      </c>
      <c r="P115" s="24" t="n">
        <v>4</v>
      </c>
      <c r="Q115" s="24" t="str">
        <f aca="false">$L115&amp;"-"&amp;TEXT($N115,"00")&amp;"-"&amp;$O115&amp;"-"&amp;TEXT($P115,"00")</f>
        <v>B-01-5-04</v>
      </c>
      <c r="R115" s="34" t="str">
        <f aca="false">"ZONE "&amp;$L115&amp;" / BAY "&amp;TEXT($N115,"00")&amp;" / SHELF "&amp;$O115&amp;" / BIN "&amp;TEXT($P115,"00")</f>
        <v>ZONE B / BAY 01 / SHELF 5 / BIN 04</v>
      </c>
      <c r="S115" s="34" t="s">
        <v>1848</v>
      </c>
      <c r="T115" s="34" t="s">
        <v>1844</v>
      </c>
      <c r="U115" s="27" t="n">
        <v>114</v>
      </c>
      <c r="V115" s="30" t="n">
        <v>46198</v>
      </c>
      <c r="W115" s="34" t="str">
        <f aca="false">IF($H115&gt;0,"Yes - "&amp;$H115&amp;" in stock at Store 0146 (size "&amp;$G115&amp;"). Back room location "&amp;$Q115&amp;" ("&amp;$R115&amp;"), "&amp;$S115&amp;". Back room "&amp;$J115&amp;" / sales floor "&amp;$I115&amp;".","Not currently in stock at Store 0146 (size "&amp;$G115&amp;"). Home location is "&amp;$Q115&amp;" ("&amp;$R115&amp;") when replenished.")</f>
        <v>Yes - 4 in stock at Store 0146 (size 11.5). Back room location B-01-5-04 (ZONE B / BAY 01 / SHELF 5 / BIN 04), Top shelf - ladder required. Back room 3 / sales floor 1.</v>
      </c>
    </row>
    <row r="116" customFormat="false" ht="15" hidden="false" customHeight="false" outlineLevel="0" collapsed="false">
      <c r="A116" s="34" t="s">
        <v>1725</v>
      </c>
      <c r="B116" s="34" t="s">
        <v>1726</v>
      </c>
      <c r="C116" s="34" t="s">
        <v>1367</v>
      </c>
      <c r="D116" s="34" t="s">
        <v>252</v>
      </c>
      <c r="E116" s="34" t="s">
        <v>1368</v>
      </c>
      <c r="F116" s="34" t="s">
        <v>1370</v>
      </c>
      <c r="G116" s="24" t="s">
        <v>258</v>
      </c>
      <c r="H116" s="27" t="n">
        <f aca="false">IFERROR(INDEX('Inventory Master'!$T$2:$T$525,MATCH($A116,'Inventory Master'!$A$2:$A$525,0)),0)</f>
        <v>3</v>
      </c>
      <c r="I116" s="27" t="n">
        <v>1</v>
      </c>
      <c r="J116" s="27" t="n">
        <f aca="false">MAX(0,$H116-$I116)</f>
        <v>2</v>
      </c>
      <c r="K116" s="34" t="str">
        <f aca="false">IF($H116&gt;0,"In Stock","Out of Stock")</f>
        <v>In Stock</v>
      </c>
      <c r="L116" s="24" t="s">
        <v>1850</v>
      </c>
      <c r="M116" s="34" t="s">
        <v>1851</v>
      </c>
      <c r="N116" s="24" t="n">
        <v>2</v>
      </c>
      <c r="O116" s="24" t="n">
        <v>1</v>
      </c>
      <c r="P116" s="24" t="n">
        <v>1</v>
      </c>
      <c r="Q116" s="24" t="str">
        <f aca="false">$L116&amp;"-"&amp;TEXT($N116,"00")&amp;"-"&amp;$O116&amp;"-"&amp;TEXT($P116,"00")</f>
        <v>B-02-1-01</v>
      </c>
      <c r="R116" s="34" t="str">
        <f aca="false">"ZONE "&amp;$L116&amp;" / BAY "&amp;TEXT($N116,"00")&amp;" / SHELF "&amp;$O116&amp;" / BIN "&amp;TEXT($P116,"00")</f>
        <v>ZONE B / BAY 02 / SHELF 1 / BIN 01</v>
      </c>
      <c r="S116" s="34" t="s">
        <v>1843</v>
      </c>
      <c r="T116" s="34" t="s">
        <v>1844</v>
      </c>
      <c r="U116" s="27" t="n">
        <v>115</v>
      </c>
      <c r="V116" s="30" t="n">
        <v>46204</v>
      </c>
      <c r="W116" s="34" t="str">
        <f aca="false">IF($H116&gt;0,"Yes - "&amp;$H116&amp;" in stock at Store 0146 (size "&amp;$G116&amp;"). Back room location "&amp;$Q116&amp;" ("&amp;$R116&amp;"), "&amp;$S116&amp;". Back room "&amp;$J116&amp;" / sales floor "&amp;$I116&amp;".","Not currently in stock at Store 0146 (size "&amp;$G116&amp;"). Home location is "&amp;$Q116&amp;" ("&amp;$R116&amp;") when replenished.")</f>
        <v>Yes - 3 in stock at Store 0146 (size 11). Back room location B-02-1-01 (ZONE B / BAY 02 / SHELF 1 / BIN 01), Floor level - no reach. Back room 2 / sales floor 1.</v>
      </c>
    </row>
    <row r="117" customFormat="false" ht="15" hidden="false" customHeight="false" outlineLevel="0" collapsed="false">
      <c r="A117" s="34" t="s">
        <v>1408</v>
      </c>
      <c r="B117" s="34" t="s">
        <v>1409</v>
      </c>
      <c r="C117" s="34" t="s">
        <v>1367</v>
      </c>
      <c r="D117" s="34" t="s">
        <v>252</v>
      </c>
      <c r="E117" s="34" t="s">
        <v>1368</v>
      </c>
      <c r="F117" s="34" t="s">
        <v>1370</v>
      </c>
      <c r="G117" s="24" t="s">
        <v>141</v>
      </c>
      <c r="H117" s="27" t="n">
        <f aca="false">IFERROR(INDEX('Inventory Master'!$T$2:$T$525,MATCH($A117,'Inventory Master'!$A$2:$A$525,0)),0)</f>
        <v>3</v>
      </c>
      <c r="I117" s="27" t="n">
        <v>0</v>
      </c>
      <c r="J117" s="27" t="n">
        <f aca="false">MAX(0,$H117-$I117)</f>
        <v>3</v>
      </c>
      <c r="K117" s="34" t="str">
        <f aca="false">IF($H117&gt;0,"In Stock","Out of Stock")</f>
        <v>In Stock</v>
      </c>
      <c r="L117" s="24" t="s">
        <v>1850</v>
      </c>
      <c r="M117" s="34" t="s">
        <v>1851</v>
      </c>
      <c r="N117" s="24" t="n">
        <v>2</v>
      </c>
      <c r="O117" s="24" t="n">
        <v>1</v>
      </c>
      <c r="P117" s="24" t="n">
        <v>2</v>
      </c>
      <c r="Q117" s="24" t="str">
        <f aca="false">$L117&amp;"-"&amp;TEXT($N117,"00")&amp;"-"&amp;$O117&amp;"-"&amp;TEXT($P117,"00")</f>
        <v>B-02-1-02</v>
      </c>
      <c r="R117" s="34" t="str">
        <f aca="false">"ZONE "&amp;$L117&amp;" / BAY "&amp;TEXT($N117,"00")&amp;" / SHELF "&amp;$O117&amp;" / BIN "&amp;TEXT($P117,"00")</f>
        <v>ZONE B / BAY 02 / SHELF 1 / BIN 02</v>
      </c>
      <c r="S117" s="34" t="s">
        <v>1843</v>
      </c>
      <c r="T117" s="34" t="s">
        <v>1844</v>
      </c>
      <c r="U117" s="27" t="n">
        <v>116</v>
      </c>
      <c r="V117" s="30" t="n">
        <v>46195</v>
      </c>
      <c r="W117" s="34" t="str">
        <f aca="false">IF($H117&gt;0,"Yes - "&amp;$H117&amp;" in stock at Store 0146 (size "&amp;$G117&amp;"). Back room location "&amp;$Q117&amp;" ("&amp;$R117&amp;"), "&amp;$S117&amp;". Back room "&amp;$J117&amp;" / sales floor "&amp;$I117&amp;".","Not currently in stock at Store 0146 (size "&amp;$G117&amp;"). Home location is "&amp;$Q117&amp;" ("&amp;$R117&amp;") when replenished.")</f>
        <v>Yes - 3 in stock at Store 0146 (size 11.5). Back room location B-02-1-02 (ZONE B / BAY 02 / SHELF 1 / BIN 02), Floor level - no reach. Back room 3 / sales floor 0.</v>
      </c>
    </row>
    <row r="118" customFormat="false" ht="15" hidden="false" customHeight="false" outlineLevel="0" collapsed="false">
      <c r="A118" s="34" t="s">
        <v>1365</v>
      </c>
      <c r="B118" s="34" t="s">
        <v>1366</v>
      </c>
      <c r="C118" s="34" t="s">
        <v>1367</v>
      </c>
      <c r="D118" s="34" t="s">
        <v>252</v>
      </c>
      <c r="E118" s="34" t="s">
        <v>1368</v>
      </c>
      <c r="F118" s="34" t="s">
        <v>1370</v>
      </c>
      <c r="G118" s="24" t="s">
        <v>130</v>
      </c>
      <c r="H118" s="27" t="n">
        <f aca="false">IFERROR(INDEX('Inventory Master'!$T$2:$T$525,MATCH($A118,'Inventory Master'!$A$2:$A$525,0)),0)</f>
        <v>2</v>
      </c>
      <c r="I118" s="27" t="n">
        <v>1</v>
      </c>
      <c r="J118" s="27" t="n">
        <f aca="false">MAX(0,$H118-$I118)</f>
        <v>1</v>
      </c>
      <c r="K118" s="34" t="str">
        <f aca="false">IF($H118&gt;0,"In Stock","Out of Stock")</f>
        <v>In Stock</v>
      </c>
      <c r="L118" s="24" t="s">
        <v>1850</v>
      </c>
      <c r="M118" s="34" t="s">
        <v>1851</v>
      </c>
      <c r="N118" s="24" t="n">
        <v>2</v>
      </c>
      <c r="O118" s="24" t="n">
        <v>1</v>
      </c>
      <c r="P118" s="24" t="n">
        <v>3</v>
      </c>
      <c r="Q118" s="24" t="str">
        <f aca="false">$L118&amp;"-"&amp;TEXT($N118,"00")&amp;"-"&amp;$O118&amp;"-"&amp;TEXT($P118,"00")</f>
        <v>B-02-1-03</v>
      </c>
      <c r="R118" s="34" t="str">
        <f aca="false">"ZONE "&amp;$L118&amp;" / BAY "&amp;TEXT($N118,"00")&amp;" / SHELF "&amp;$O118&amp;" / BIN "&amp;TEXT($P118,"00")</f>
        <v>ZONE B / BAY 02 / SHELF 1 / BIN 03</v>
      </c>
      <c r="S118" s="34" t="s">
        <v>1843</v>
      </c>
      <c r="T118" s="34" t="s">
        <v>1844</v>
      </c>
      <c r="U118" s="27" t="n">
        <v>117</v>
      </c>
      <c r="V118" s="30" t="n">
        <v>46152</v>
      </c>
      <c r="W118" s="34" t="str">
        <f aca="false">IF($H118&gt;0,"Yes - "&amp;$H118&amp;" in stock at Store 0146 (size "&amp;$G118&amp;"). Back room location "&amp;$Q118&amp;" ("&amp;$R118&amp;"), "&amp;$S118&amp;". Back room "&amp;$J118&amp;" / sales floor "&amp;$I118&amp;".","Not currently in stock at Store 0146 (size "&amp;$G118&amp;"). Home location is "&amp;$Q118&amp;" ("&amp;$R118&amp;") when replenished.")</f>
        <v>Yes - 2 in stock at Store 0146 (size 12). Back room location B-02-1-03 (ZONE B / BAY 02 / SHELF 1 / BIN 03), Floor level - no reach. Back room 1 / sales floor 1.</v>
      </c>
    </row>
    <row r="119" customFormat="false" ht="15" hidden="false" customHeight="false" outlineLevel="0" collapsed="false">
      <c r="A119" s="34" t="s">
        <v>1552</v>
      </c>
      <c r="B119" s="34" t="s">
        <v>1553</v>
      </c>
      <c r="C119" s="34" t="s">
        <v>313</v>
      </c>
      <c r="D119" s="34" t="s">
        <v>146</v>
      </c>
      <c r="E119" s="34" t="s">
        <v>314</v>
      </c>
      <c r="F119" s="34" t="s">
        <v>316</v>
      </c>
      <c r="G119" s="24" t="s">
        <v>164</v>
      </c>
      <c r="H119" s="27" t="n">
        <f aca="false">IFERROR(INDEX('Inventory Master'!$T$2:$T$525,MATCH($A119,'Inventory Master'!$A$2:$A$525,0)),0)</f>
        <v>2</v>
      </c>
      <c r="I119" s="27" t="n">
        <v>0</v>
      </c>
      <c r="J119" s="27" t="n">
        <f aca="false">MAX(0,$H119-$I119)</f>
        <v>2</v>
      </c>
      <c r="K119" s="34" t="str">
        <f aca="false">IF($H119&gt;0,"In Stock","Out of Stock")</f>
        <v>In Stock</v>
      </c>
      <c r="L119" s="24" t="s">
        <v>1850</v>
      </c>
      <c r="M119" s="34" t="s">
        <v>1851</v>
      </c>
      <c r="N119" s="24" t="n">
        <v>2</v>
      </c>
      <c r="O119" s="24" t="n">
        <v>2</v>
      </c>
      <c r="P119" s="24" t="n">
        <v>1</v>
      </c>
      <c r="Q119" s="24" t="str">
        <f aca="false">$L119&amp;"-"&amp;TEXT($N119,"00")&amp;"-"&amp;$O119&amp;"-"&amp;TEXT($P119,"00")</f>
        <v>B-02-2-01</v>
      </c>
      <c r="R119" s="34" t="str">
        <f aca="false">"ZONE "&amp;$L119&amp;" / BAY "&amp;TEXT($N119,"00")&amp;" / SHELF "&amp;$O119&amp;" / BIN "&amp;TEXT($P119,"00")</f>
        <v>ZONE B / BAY 02 / SHELF 2 / BIN 01</v>
      </c>
      <c r="S119" s="34" t="s">
        <v>1845</v>
      </c>
      <c r="T119" s="34" t="s">
        <v>1844</v>
      </c>
      <c r="U119" s="27" t="n">
        <v>118</v>
      </c>
      <c r="V119" s="30" t="n">
        <v>46154</v>
      </c>
      <c r="W119" s="34" t="str">
        <f aca="false">IF($H119&gt;0,"Yes - "&amp;$H119&amp;" in stock at Store 0146 (size "&amp;$G119&amp;"). Back room location "&amp;$Q119&amp;" ("&amp;$R119&amp;"), "&amp;$S119&amp;". Back room "&amp;$J119&amp;" / sales floor "&amp;$I119&amp;".","Not currently in stock at Store 0146 (size "&amp;$G119&amp;"). Home location is "&amp;$Q119&amp;" ("&amp;$R119&amp;") when replenished.")</f>
        <v>Yes - 2 in stock at Store 0146 (size 9). Back room location B-02-2-01 (ZONE B / BAY 02 / SHELF 2 / BIN 01), Waist height. Back room 2 / sales floor 0.</v>
      </c>
    </row>
    <row r="120" customFormat="false" ht="15" hidden="false" customHeight="false" outlineLevel="0" collapsed="false">
      <c r="A120" s="34" t="s">
        <v>950</v>
      </c>
      <c r="B120" s="34" t="s">
        <v>951</v>
      </c>
      <c r="C120" s="34" t="s">
        <v>313</v>
      </c>
      <c r="D120" s="34" t="s">
        <v>146</v>
      </c>
      <c r="E120" s="34" t="s">
        <v>314</v>
      </c>
      <c r="F120" s="34" t="s">
        <v>316</v>
      </c>
      <c r="G120" s="24" t="s">
        <v>177</v>
      </c>
      <c r="H120" s="27" t="n">
        <f aca="false">IFERROR(INDEX('Inventory Master'!$T$2:$T$525,MATCH($A120,'Inventory Master'!$A$2:$A$525,0)),0)</f>
        <v>3</v>
      </c>
      <c r="I120" s="27" t="n">
        <v>2</v>
      </c>
      <c r="J120" s="27" t="n">
        <f aca="false">MAX(0,$H120-$I120)</f>
        <v>1</v>
      </c>
      <c r="K120" s="34" t="str">
        <f aca="false">IF($H120&gt;0,"In Stock","Out of Stock")</f>
        <v>In Stock</v>
      </c>
      <c r="L120" s="24" t="s">
        <v>1850</v>
      </c>
      <c r="M120" s="34" t="s">
        <v>1851</v>
      </c>
      <c r="N120" s="24" t="n">
        <v>2</v>
      </c>
      <c r="O120" s="24" t="n">
        <v>2</v>
      </c>
      <c r="P120" s="24" t="n">
        <v>2</v>
      </c>
      <c r="Q120" s="24" t="str">
        <f aca="false">$L120&amp;"-"&amp;TEXT($N120,"00")&amp;"-"&amp;$O120&amp;"-"&amp;TEXT($P120,"00")</f>
        <v>B-02-2-02</v>
      </c>
      <c r="R120" s="34" t="str">
        <f aca="false">"ZONE "&amp;$L120&amp;" / BAY "&amp;TEXT($N120,"00")&amp;" / SHELF "&amp;$O120&amp;" / BIN "&amp;TEXT($P120,"00")</f>
        <v>ZONE B / BAY 02 / SHELF 2 / BIN 02</v>
      </c>
      <c r="S120" s="34" t="s">
        <v>1845</v>
      </c>
      <c r="T120" s="34" t="s">
        <v>1844</v>
      </c>
      <c r="U120" s="27" t="n">
        <v>119</v>
      </c>
      <c r="V120" s="30" t="n">
        <v>46227</v>
      </c>
      <c r="W120" s="34" t="str">
        <f aca="false">IF($H120&gt;0,"Yes - "&amp;$H120&amp;" in stock at Store 0146 (size "&amp;$G120&amp;"). Back room location "&amp;$Q120&amp;" ("&amp;$R120&amp;"), "&amp;$S120&amp;". Back room "&amp;$J120&amp;" / sales floor "&amp;$I120&amp;".","Not currently in stock at Store 0146 (size "&amp;$G120&amp;"). Home location is "&amp;$Q120&amp;" ("&amp;$R120&amp;") when replenished.")</f>
        <v>Yes - 3 in stock at Store 0146 (size 9.5). Back room location B-02-2-02 (ZONE B / BAY 02 / SHELF 2 / BIN 02), Waist height. Back room 1 / sales floor 2.</v>
      </c>
    </row>
    <row r="121" customFormat="false" ht="15" hidden="false" customHeight="false" outlineLevel="0" collapsed="false">
      <c r="A121" s="34" t="s">
        <v>311</v>
      </c>
      <c r="B121" s="34" t="s">
        <v>312</v>
      </c>
      <c r="C121" s="34" t="s">
        <v>313</v>
      </c>
      <c r="D121" s="34" t="s">
        <v>146</v>
      </c>
      <c r="E121" s="34" t="s">
        <v>314</v>
      </c>
      <c r="F121" s="34" t="s">
        <v>316</v>
      </c>
      <c r="G121" s="24" t="s">
        <v>211</v>
      </c>
      <c r="H121" s="27" t="n">
        <f aca="false">IFERROR(INDEX('Inventory Master'!$T$2:$T$525,MATCH($A121,'Inventory Master'!$A$2:$A$525,0)),0)</f>
        <v>0</v>
      </c>
      <c r="I121" s="27" t="n">
        <v>0</v>
      </c>
      <c r="J121" s="27" t="n">
        <f aca="false">MAX(0,$H121-$I121)</f>
        <v>0</v>
      </c>
      <c r="K121" s="34" t="str">
        <f aca="false">IF($H121&gt;0,"In Stock","Out of Stock")</f>
        <v>Out of Stock</v>
      </c>
      <c r="L121" s="24" t="s">
        <v>1850</v>
      </c>
      <c r="M121" s="34" t="s">
        <v>1851</v>
      </c>
      <c r="N121" s="24" t="n">
        <v>2</v>
      </c>
      <c r="O121" s="24" t="n">
        <v>2</v>
      </c>
      <c r="P121" s="24" t="n">
        <v>3</v>
      </c>
      <c r="Q121" s="24" t="str">
        <f aca="false">$L121&amp;"-"&amp;TEXT($N121,"00")&amp;"-"&amp;$O121&amp;"-"&amp;TEXT($P121,"00")</f>
        <v>B-02-2-03</v>
      </c>
      <c r="R121" s="34" t="str">
        <f aca="false">"ZONE "&amp;$L121&amp;" / BAY "&amp;TEXT($N121,"00")&amp;" / SHELF "&amp;$O121&amp;" / BIN "&amp;TEXT($P121,"00")</f>
        <v>ZONE B / BAY 02 / SHELF 2 / BIN 03</v>
      </c>
      <c r="S121" s="34" t="s">
        <v>1845</v>
      </c>
      <c r="T121" s="34" t="s">
        <v>1844</v>
      </c>
      <c r="U121" s="27" t="n">
        <v>120</v>
      </c>
      <c r="V121" s="30" t="n">
        <v>46197</v>
      </c>
      <c r="W121" s="34" t="str">
        <f aca="false">IF($H121&gt;0,"Yes - "&amp;$H121&amp;" in stock at Store 0146 (size "&amp;$G121&amp;"). Back room location "&amp;$Q121&amp;" ("&amp;$R121&amp;"), "&amp;$S121&amp;". Back room "&amp;$J121&amp;" / sales floor "&amp;$I121&amp;".","Not currently in stock at Store 0146 (size "&amp;$G121&amp;"). Home location is "&amp;$Q121&amp;" ("&amp;$R121&amp;") when replenished.")</f>
        <v>Not currently in stock at Store 0146 (size 10). Home location is B-02-2-03 (ZONE B / BAY 02 / SHELF 2 / BIN 03) when replenished.</v>
      </c>
    </row>
    <row r="122" customFormat="false" ht="15" hidden="false" customHeight="false" outlineLevel="0" collapsed="false">
      <c r="A122" s="34" t="s">
        <v>499</v>
      </c>
      <c r="B122" s="34" t="s">
        <v>500</v>
      </c>
      <c r="C122" s="34" t="s">
        <v>313</v>
      </c>
      <c r="D122" s="34" t="s">
        <v>146</v>
      </c>
      <c r="E122" s="34" t="s">
        <v>314</v>
      </c>
      <c r="F122" s="34" t="s">
        <v>316</v>
      </c>
      <c r="G122" s="24" t="s">
        <v>327</v>
      </c>
      <c r="H122" s="27" t="n">
        <f aca="false">IFERROR(INDEX('Inventory Master'!$T$2:$T$525,MATCH($A122,'Inventory Master'!$A$2:$A$525,0)),0)</f>
        <v>3</v>
      </c>
      <c r="I122" s="27" t="n">
        <v>1</v>
      </c>
      <c r="J122" s="27" t="n">
        <f aca="false">MAX(0,$H122-$I122)</f>
        <v>2</v>
      </c>
      <c r="K122" s="34" t="str">
        <f aca="false">IF($H122&gt;0,"In Stock","Out of Stock")</f>
        <v>In Stock</v>
      </c>
      <c r="L122" s="24" t="s">
        <v>1850</v>
      </c>
      <c r="M122" s="34" t="s">
        <v>1851</v>
      </c>
      <c r="N122" s="24" t="n">
        <v>2</v>
      </c>
      <c r="O122" s="24" t="n">
        <v>2</v>
      </c>
      <c r="P122" s="24" t="n">
        <v>4</v>
      </c>
      <c r="Q122" s="24" t="str">
        <f aca="false">$L122&amp;"-"&amp;TEXT($N122,"00")&amp;"-"&amp;$O122&amp;"-"&amp;TEXT($P122,"00")</f>
        <v>B-02-2-04</v>
      </c>
      <c r="R122" s="34" t="str">
        <f aca="false">"ZONE "&amp;$L122&amp;" / BAY "&amp;TEXT($N122,"00")&amp;" / SHELF "&amp;$O122&amp;" / BIN "&amp;TEXT($P122,"00")</f>
        <v>ZONE B / BAY 02 / SHELF 2 / BIN 04</v>
      </c>
      <c r="S122" s="34" t="s">
        <v>1845</v>
      </c>
      <c r="T122" s="34" t="s">
        <v>1844</v>
      </c>
      <c r="U122" s="27" t="n">
        <v>121</v>
      </c>
      <c r="V122" s="30" t="n">
        <v>46167</v>
      </c>
      <c r="W122" s="34" t="str">
        <f aca="false">IF($H122&gt;0,"Yes - "&amp;$H122&amp;" in stock at Store 0146 (size "&amp;$G122&amp;"). Back room location "&amp;$Q122&amp;" ("&amp;$R122&amp;"), "&amp;$S122&amp;". Back room "&amp;$J122&amp;" / sales floor "&amp;$I122&amp;".","Not currently in stock at Store 0146 (size "&amp;$G122&amp;"). Home location is "&amp;$Q122&amp;" ("&amp;$R122&amp;") when replenished.")</f>
        <v>Yes - 3 in stock at Store 0146 (size 10.5). Back room location B-02-2-04 (ZONE B / BAY 02 / SHELF 2 / BIN 04), Waist height. Back room 2 / sales floor 1.</v>
      </c>
    </row>
    <row r="123" customFormat="false" ht="15" hidden="false" customHeight="false" outlineLevel="0" collapsed="false">
      <c r="A123" s="34" t="s">
        <v>1436</v>
      </c>
      <c r="B123" s="34" t="s">
        <v>1437</v>
      </c>
      <c r="C123" s="34" t="s">
        <v>993</v>
      </c>
      <c r="D123" s="34" t="s">
        <v>584</v>
      </c>
      <c r="E123" s="34" t="s">
        <v>994</v>
      </c>
      <c r="F123" s="34" t="s">
        <v>996</v>
      </c>
      <c r="G123" s="24" t="s">
        <v>356</v>
      </c>
      <c r="H123" s="27" t="n">
        <f aca="false">IFERROR(INDEX('Inventory Master'!$T$2:$T$525,MATCH($A123,'Inventory Master'!$A$2:$A$525,0)),0)</f>
        <v>2</v>
      </c>
      <c r="I123" s="27" t="n">
        <v>1</v>
      </c>
      <c r="J123" s="27" t="n">
        <f aca="false">MAX(0,$H123-$I123)</f>
        <v>1</v>
      </c>
      <c r="K123" s="34" t="str">
        <f aca="false">IF($H123&gt;0,"In Stock","Out of Stock")</f>
        <v>In Stock</v>
      </c>
      <c r="L123" s="24" t="s">
        <v>1852</v>
      </c>
      <c r="M123" s="34" t="s">
        <v>1853</v>
      </c>
      <c r="N123" s="24" t="n">
        <v>1</v>
      </c>
      <c r="O123" s="24" t="n">
        <v>1</v>
      </c>
      <c r="P123" s="24" t="n">
        <v>1</v>
      </c>
      <c r="Q123" s="24" t="str">
        <f aca="false">$L123&amp;"-"&amp;TEXT($N123,"00")&amp;"-"&amp;$O123&amp;"-"&amp;TEXT($P123,"00")</f>
        <v>C-01-1-01</v>
      </c>
      <c r="R123" s="34" t="str">
        <f aca="false">"ZONE "&amp;$L123&amp;" / BAY "&amp;TEXT($N123,"00")&amp;" / SHELF "&amp;$O123&amp;" / BIN "&amp;TEXT($P123,"00")</f>
        <v>ZONE C / BAY 01 / SHELF 1 / BIN 01</v>
      </c>
      <c r="S123" s="34" t="s">
        <v>1843</v>
      </c>
      <c r="T123" s="34" t="s">
        <v>1844</v>
      </c>
      <c r="U123" s="27" t="n">
        <v>122</v>
      </c>
      <c r="V123" s="30" t="n">
        <v>46164</v>
      </c>
      <c r="W123" s="34" t="str">
        <f aca="false">IF($H123&gt;0,"Yes - "&amp;$H123&amp;" in stock at Store 0146 (size "&amp;$G123&amp;"). Back room location "&amp;$Q123&amp;" ("&amp;$R123&amp;"), "&amp;$S123&amp;". Back room "&amp;$J123&amp;" / sales floor "&amp;$I123&amp;".","Not currently in stock at Store 0146 (size "&amp;$G123&amp;"). Home location is "&amp;$Q123&amp;" ("&amp;$R123&amp;") when replenished.")</f>
        <v>Yes - 2 in stock at Store 0146 (size 8). Back room location C-01-1-01 (ZONE C / BAY 01 / SHELF 1 / BIN 01), Floor level - no reach. Back room 1 / sales floor 1.</v>
      </c>
    </row>
    <row r="124" customFormat="false" ht="15" hidden="false" customHeight="false" outlineLevel="0" collapsed="false">
      <c r="A124" s="34" t="s">
        <v>991</v>
      </c>
      <c r="B124" s="34" t="s">
        <v>992</v>
      </c>
      <c r="C124" s="34" t="s">
        <v>993</v>
      </c>
      <c r="D124" s="34" t="s">
        <v>584</v>
      </c>
      <c r="E124" s="34" t="s">
        <v>994</v>
      </c>
      <c r="F124" s="34" t="s">
        <v>996</v>
      </c>
      <c r="G124" s="24" t="s">
        <v>188</v>
      </c>
      <c r="H124" s="27" t="n">
        <f aca="false">IFERROR(INDEX('Inventory Master'!$T$2:$T$525,MATCH($A124,'Inventory Master'!$A$2:$A$525,0)),0)</f>
        <v>3</v>
      </c>
      <c r="I124" s="27" t="n">
        <v>1</v>
      </c>
      <c r="J124" s="27" t="n">
        <f aca="false">MAX(0,$H124-$I124)</f>
        <v>2</v>
      </c>
      <c r="K124" s="34" t="str">
        <f aca="false">IF($H124&gt;0,"In Stock","Out of Stock")</f>
        <v>In Stock</v>
      </c>
      <c r="L124" s="24" t="s">
        <v>1852</v>
      </c>
      <c r="M124" s="34" t="s">
        <v>1853</v>
      </c>
      <c r="N124" s="24" t="n">
        <v>1</v>
      </c>
      <c r="O124" s="24" t="n">
        <v>1</v>
      </c>
      <c r="P124" s="24" t="n">
        <v>2</v>
      </c>
      <c r="Q124" s="24" t="str">
        <f aca="false">$L124&amp;"-"&amp;TEXT($N124,"00")&amp;"-"&amp;$O124&amp;"-"&amp;TEXT($P124,"00")</f>
        <v>C-01-1-02</v>
      </c>
      <c r="R124" s="34" t="str">
        <f aca="false">"ZONE "&amp;$L124&amp;" / BAY "&amp;TEXT($N124,"00")&amp;" / SHELF "&amp;$O124&amp;" / BIN "&amp;TEXT($P124,"00")</f>
        <v>ZONE C / BAY 01 / SHELF 1 / BIN 02</v>
      </c>
      <c r="S124" s="34" t="s">
        <v>1843</v>
      </c>
      <c r="T124" s="34" t="s">
        <v>1844</v>
      </c>
      <c r="U124" s="27" t="n">
        <v>123</v>
      </c>
      <c r="V124" s="30" t="n">
        <v>46179</v>
      </c>
      <c r="W124" s="34" t="str">
        <f aca="false">IF($H124&gt;0,"Yes - "&amp;$H124&amp;" in stock at Store 0146 (size "&amp;$G124&amp;"). Back room location "&amp;$Q124&amp;" ("&amp;$R124&amp;"), "&amp;$S124&amp;". Back room "&amp;$J124&amp;" / sales floor "&amp;$I124&amp;".","Not currently in stock at Store 0146 (size "&amp;$G124&amp;"). Home location is "&amp;$Q124&amp;" ("&amp;$R124&amp;") when replenished.")</f>
        <v>Yes - 3 in stock at Store 0146 (size 8.5). Back room location C-01-1-02 (ZONE C / BAY 01 / SHELF 1 / BIN 02), Floor level - no reach. Back room 2 / sales floor 1.</v>
      </c>
    </row>
    <row r="125" customFormat="false" ht="15" hidden="false" customHeight="false" outlineLevel="0" collapsed="false">
      <c r="A125" s="34" t="s">
        <v>1737</v>
      </c>
      <c r="B125" s="34" t="s">
        <v>1738</v>
      </c>
      <c r="C125" s="34" t="s">
        <v>993</v>
      </c>
      <c r="D125" s="34" t="s">
        <v>584</v>
      </c>
      <c r="E125" s="34" t="s">
        <v>994</v>
      </c>
      <c r="F125" s="34" t="s">
        <v>996</v>
      </c>
      <c r="G125" s="24" t="s">
        <v>164</v>
      </c>
      <c r="H125" s="27" t="n">
        <f aca="false">IFERROR(INDEX('Inventory Master'!$T$2:$T$525,MATCH($A125,'Inventory Master'!$A$2:$A$525,0)),0)</f>
        <v>3</v>
      </c>
      <c r="I125" s="27" t="n">
        <v>0</v>
      </c>
      <c r="J125" s="27" t="n">
        <f aca="false">MAX(0,$H125-$I125)</f>
        <v>3</v>
      </c>
      <c r="K125" s="34" t="str">
        <f aca="false">IF($H125&gt;0,"In Stock","Out of Stock")</f>
        <v>In Stock</v>
      </c>
      <c r="L125" s="24" t="s">
        <v>1852</v>
      </c>
      <c r="M125" s="34" t="s">
        <v>1853</v>
      </c>
      <c r="N125" s="24" t="n">
        <v>1</v>
      </c>
      <c r="O125" s="24" t="n">
        <v>1</v>
      </c>
      <c r="P125" s="24" t="n">
        <v>3</v>
      </c>
      <c r="Q125" s="24" t="str">
        <f aca="false">$L125&amp;"-"&amp;TEXT($N125,"00")&amp;"-"&amp;$O125&amp;"-"&amp;TEXT($P125,"00")</f>
        <v>C-01-1-03</v>
      </c>
      <c r="R125" s="34" t="str">
        <f aca="false">"ZONE "&amp;$L125&amp;" / BAY "&amp;TEXT($N125,"00")&amp;" / SHELF "&amp;$O125&amp;" / BIN "&amp;TEXT($P125,"00")</f>
        <v>ZONE C / BAY 01 / SHELF 1 / BIN 03</v>
      </c>
      <c r="S125" s="34" t="s">
        <v>1843</v>
      </c>
      <c r="T125" s="34" t="s">
        <v>1844</v>
      </c>
      <c r="U125" s="27" t="n">
        <v>124</v>
      </c>
      <c r="V125" s="30" t="n">
        <v>46219</v>
      </c>
      <c r="W125" s="34" t="str">
        <f aca="false">IF($H125&gt;0,"Yes - "&amp;$H125&amp;" in stock at Store 0146 (size "&amp;$G125&amp;"). Back room location "&amp;$Q125&amp;" ("&amp;$R125&amp;"), "&amp;$S125&amp;". Back room "&amp;$J125&amp;" / sales floor "&amp;$I125&amp;".","Not currently in stock at Store 0146 (size "&amp;$G125&amp;"). Home location is "&amp;$Q125&amp;" ("&amp;$R125&amp;") when replenished.")</f>
        <v>Yes - 3 in stock at Store 0146 (size 9). Back room location C-01-1-03 (ZONE C / BAY 01 / SHELF 1 / BIN 03), Floor level - no reach. Back room 3 / sales floor 0.</v>
      </c>
    </row>
    <row r="126" customFormat="false" ht="15" hidden="false" customHeight="false" outlineLevel="0" collapsed="false">
      <c r="A126" s="34" t="s">
        <v>1687</v>
      </c>
      <c r="B126" s="34" t="s">
        <v>1688</v>
      </c>
      <c r="C126" s="34" t="s">
        <v>993</v>
      </c>
      <c r="D126" s="34" t="s">
        <v>584</v>
      </c>
      <c r="E126" s="34" t="s">
        <v>994</v>
      </c>
      <c r="F126" s="34" t="s">
        <v>996</v>
      </c>
      <c r="G126" s="24" t="s">
        <v>177</v>
      </c>
      <c r="H126" s="27" t="n">
        <f aca="false">IFERROR(INDEX('Inventory Master'!$T$2:$T$525,MATCH($A126,'Inventory Master'!$A$2:$A$525,0)),0)</f>
        <v>0</v>
      </c>
      <c r="I126" s="27" t="n">
        <v>0</v>
      </c>
      <c r="J126" s="27" t="n">
        <f aca="false">MAX(0,$H126-$I126)</f>
        <v>0</v>
      </c>
      <c r="K126" s="34" t="str">
        <f aca="false">IF($H126&gt;0,"In Stock","Out of Stock")</f>
        <v>Out of Stock</v>
      </c>
      <c r="L126" s="24" t="s">
        <v>1852</v>
      </c>
      <c r="M126" s="34" t="s">
        <v>1853</v>
      </c>
      <c r="N126" s="24" t="n">
        <v>1</v>
      </c>
      <c r="O126" s="24" t="n">
        <v>1</v>
      </c>
      <c r="P126" s="24" t="n">
        <v>4</v>
      </c>
      <c r="Q126" s="24" t="str">
        <f aca="false">$L126&amp;"-"&amp;TEXT($N126,"00")&amp;"-"&amp;$O126&amp;"-"&amp;TEXT($P126,"00")</f>
        <v>C-01-1-04</v>
      </c>
      <c r="R126" s="34" t="str">
        <f aca="false">"ZONE "&amp;$L126&amp;" / BAY "&amp;TEXT($N126,"00")&amp;" / SHELF "&amp;$O126&amp;" / BIN "&amp;TEXT($P126,"00")</f>
        <v>ZONE C / BAY 01 / SHELF 1 / BIN 04</v>
      </c>
      <c r="S126" s="34" t="s">
        <v>1843</v>
      </c>
      <c r="T126" s="34" t="s">
        <v>1844</v>
      </c>
      <c r="U126" s="27" t="n">
        <v>125</v>
      </c>
      <c r="V126" s="30" t="n">
        <v>46167</v>
      </c>
      <c r="W126" s="34" t="str">
        <f aca="false">IF($H126&gt;0,"Yes - "&amp;$H126&amp;" in stock at Store 0146 (size "&amp;$G126&amp;"). Back room location "&amp;$Q126&amp;" ("&amp;$R126&amp;"), "&amp;$S126&amp;". Back room "&amp;$J126&amp;" / sales floor "&amp;$I126&amp;".","Not currently in stock at Store 0146 (size "&amp;$G126&amp;"). Home location is "&amp;$Q126&amp;" ("&amp;$R126&amp;") when replenished.")</f>
        <v>Not currently in stock at Store 0146 (size 9.5). Home location is C-01-1-04 (ZONE C / BAY 01 / SHELF 1 / BIN 04) when replenished.</v>
      </c>
    </row>
    <row r="127" customFormat="false" ht="15" hidden="false" customHeight="false" outlineLevel="0" collapsed="false">
      <c r="A127" s="34" t="s">
        <v>1803</v>
      </c>
      <c r="B127" s="34" t="s">
        <v>1804</v>
      </c>
      <c r="C127" s="34" t="s">
        <v>993</v>
      </c>
      <c r="D127" s="34" t="s">
        <v>584</v>
      </c>
      <c r="E127" s="34" t="s">
        <v>994</v>
      </c>
      <c r="F127" s="34" t="s">
        <v>996</v>
      </c>
      <c r="G127" s="24" t="s">
        <v>211</v>
      </c>
      <c r="H127" s="27" t="n">
        <f aca="false">IFERROR(INDEX('Inventory Master'!$T$2:$T$525,MATCH($A127,'Inventory Master'!$A$2:$A$525,0)),0)</f>
        <v>0</v>
      </c>
      <c r="I127" s="27" t="n">
        <v>0</v>
      </c>
      <c r="J127" s="27" t="n">
        <f aca="false">MAX(0,$H127-$I127)</f>
        <v>0</v>
      </c>
      <c r="K127" s="34" t="str">
        <f aca="false">IF($H127&gt;0,"In Stock","Out of Stock")</f>
        <v>Out of Stock</v>
      </c>
      <c r="L127" s="24" t="s">
        <v>1852</v>
      </c>
      <c r="M127" s="34" t="s">
        <v>1853</v>
      </c>
      <c r="N127" s="24" t="n">
        <v>1</v>
      </c>
      <c r="O127" s="24" t="n">
        <v>1</v>
      </c>
      <c r="P127" s="24" t="n">
        <v>5</v>
      </c>
      <c r="Q127" s="24" t="str">
        <f aca="false">$L127&amp;"-"&amp;TEXT($N127,"00")&amp;"-"&amp;$O127&amp;"-"&amp;TEXT($P127,"00")</f>
        <v>C-01-1-05</v>
      </c>
      <c r="R127" s="34" t="str">
        <f aca="false">"ZONE "&amp;$L127&amp;" / BAY "&amp;TEXT($N127,"00")&amp;" / SHELF "&amp;$O127&amp;" / BIN "&amp;TEXT($P127,"00")</f>
        <v>ZONE C / BAY 01 / SHELF 1 / BIN 05</v>
      </c>
      <c r="S127" s="34" t="s">
        <v>1843</v>
      </c>
      <c r="T127" s="34" t="s">
        <v>1844</v>
      </c>
      <c r="U127" s="27" t="n">
        <v>126</v>
      </c>
      <c r="V127" s="30" t="n">
        <v>46151</v>
      </c>
      <c r="W127" s="34" t="str">
        <f aca="false">IF($H127&gt;0,"Yes - "&amp;$H127&amp;" in stock at Store 0146 (size "&amp;$G127&amp;"). Back room location "&amp;$Q127&amp;" ("&amp;$R127&amp;"), "&amp;$S127&amp;". Back room "&amp;$J127&amp;" / sales floor "&amp;$I127&amp;".","Not currently in stock at Store 0146 (size "&amp;$G127&amp;"). Home location is "&amp;$Q127&amp;" ("&amp;$R127&amp;") when replenished.")</f>
        <v>Not currently in stock at Store 0146 (size 10). Home location is C-01-1-05 (ZONE C / BAY 01 / SHELF 1 / BIN 05) when replenished.</v>
      </c>
    </row>
    <row r="128" customFormat="false" ht="15" hidden="false" customHeight="false" outlineLevel="0" collapsed="false">
      <c r="A128" s="34" t="s">
        <v>1647</v>
      </c>
      <c r="B128" s="34" t="s">
        <v>1648</v>
      </c>
      <c r="C128" s="34" t="s">
        <v>1065</v>
      </c>
      <c r="D128" s="34" t="s">
        <v>644</v>
      </c>
      <c r="E128" s="34" t="s">
        <v>1066</v>
      </c>
      <c r="F128" s="34" t="s">
        <v>1068</v>
      </c>
      <c r="G128" s="24" t="s">
        <v>188</v>
      </c>
      <c r="H128" s="27" t="n">
        <f aca="false">IFERROR(INDEX('Inventory Master'!$T$2:$T$525,MATCH($A128,'Inventory Master'!$A$2:$A$525,0)),0)</f>
        <v>0</v>
      </c>
      <c r="I128" s="27" t="n">
        <v>0</v>
      </c>
      <c r="J128" s="27" t="n">
        <f aca="false">MAX(0,$H128-$I128)</f>
        <v>0</v>
      </c>
      <c r="K128" s="34" t="str">
        <f aca="false">IF($H128&gt;0,"In Stock","Out of Stock")</f>
        <v>Out of Stock</v>
      </c>
      <c r="L128" s="24" t="s">
        <v>1852</v>
      </c>
      <c r="M128" s="34" t="s">
        <v>1853</v>
      </c>
      <c r="N128" s="24" t="n">
        <v>1</v>
      </c>
      <c r="O128" s="24" t="n">
        <v>2</v>
      </c>
      <c r="P128" s="24" t="n">
        <v>1</v>
      </c>
      <c r="Q128" s="24" t="str">
        <f aca="false">$L128&amp;"-"&amp;TEXT($N128,"00")&amp;"-"&amp;$O128&amp;"-"&amp;TEXT($P128,"00")</f>
        <v>C-01-2-01</v>
      </c>
      <c r="R128" s="34" t="str">
        <f aca="false">"ZONE "&amp;$L128&amp;" / BAY "&amp;TEXT($N128,"00")&amp;" / SHELF "&amp;$O128&amp;" / BIN "&amp;TEXT($P128,"00")</f>
        <v>ZONE C / BAY 01 / SHELF 2 / BIN 01</v>
      </c>
      <c r="S128" s="34" t="s">
        <v>1845</v>
      </c>
      <c r="T128" s="34" t="s">
        <v>1844</v>
      </c>
      <c r="U128" s="27" t="n">
        <v>127</v>
      </c>
      <c r="V128" s="30" t="n">
        <v>46221</v>
      </c>
      <c r="W128" s="34" t="str">
        <f aca="false">IF($H128&gt;0,"Yes - "&amp;$H128&amp;" in stock at Store 0146 (size "&amp;$G128&amp;"). Back room location "&amp;$Q128&amp;" ("&amp;$R128&amp;"), "&amp;$S128&amp;". Back room "&amp;$J128&amp;" / sales floor "&amp;$I128&amp;".","Not currently in stock at Store 0146 (size "&amp;$G128&amp;"). Home location is "&amp;$Q128&amp;" ("&amp;$R128&amp;") when replenished.")</f>
        <v>Not currently in stock at Store 0146 (size 8.5). Home location is C-01-2-01 (ZONE C / BAY 01 / SHELF 2 / BIN 01) when replenished.</v>
      </c>
    </row>
    <row r="129" customFormat="false" ht="15" hidden="false" customHeight="false" outlineLevel="0" collapsed="false">
      <c r="A129" s="34" t="s">
        <v>1156</v>
      </c>
      <c r="B129" s="34" t="s">
        <v>1157</v>
      </c>
      <c r="C129" s="34" t="s">
        <v>1065</v>
      </c>
      <c r="D129" s="34" t="s">
        <v>644</v>
      </c>
      <c r="E129" s="34" t="s">
        <v>1066</v>
      </c>
      <c r="F129" s="34" t="s">
        <v>1068</v>
      </c>
      <c r="G129" s="24" t="s">
        <v>164</v>
      </c>
      <c r="H129" s="27" t="n">
        <f aca="false">IFERROR(INDEX('Inventory Master'!$T$2:$T$525,MATCH($A129,'Inventory Master'!$A$2:$A$525,0)),0)</f>
        <v>4</v>
      </c>
      <c r="I129" s="27" t="n">
        <v>1</v>
      </c>
      <c r="J129" s="27" t="n">
        <f aca="false">MAX(0,$H129-$I129)</f>
        <v>3</v>
      </c>
      <c r="K129" s="34" t="str">
        <f aca="false">IF($H129&gt;0,"In Stock","Out of Stock")</f>
        <v>In Stock</v>
      </c>
      <c r="L129" s="24" t="s">
        <v>1852</v>
      </c>
      <c r="M129" s="34" t="s">
        <v>1853</v>
      </c>
      <c r="N129" s="24" t="n">
        <v>1</v>
      </c>
      <c r="O129" s="24" t="n">
        <v>2</v>
      </c>
      <c r="P129" s="24" t="n">
        <v>2</v>
      </c>
      <c r="Q129" s="24" t="str">
        <f aca="false">$L129&amp;"-"&amp;TEXT($N129,"00")&amp;"-"&amp;$O129&amp;"-"&amp;TEXT($P129,"00")</f>
        <v>C-01-2-02</v>
      </c>
      <c r="R129" s="34" t="str">
        <f aca="false">"ZONE "&amp;$L129&amp;" / BAY "&amp;TEXT($N129,"00")&amp;" / SHELF "&amp;$O129&amp;" / BIN "&amp;TEXT($P129,"00")</f>
        <v>ZONE C / BAY 01 / SHELF 2 / BIN 02</v>
      </c>
      <c r="S129" s="34" t="s">
        <v>1845</v>
      </c>
      <c r="T129" s="34" t="s">
        <v>1844</v>
      </c>
      <c r="U129" s="27" t="n">
        <v>128</v>
      </c>
      <c r="V129" s="30" t="n">
        <v>46171</v>
      </c>
      <c r="W129" s="34" t="str">
        <f aca="false">IF($H129&gt;0,"Yes - "&amp;$H129&amp;" in stock at Store 0146 (size "&amp;$G129&amp;"). Back room location "&amp;$Q129&amp;" ("&amp;$R129&amp;"), "&amp;$S129&amp;". Back room "&amp;$J129&amp;" / sales floor "&amp;$I129&amp;".","Not currently in stock at Store 0146 (size "&amp;$G129&amp;"). Home location is "&amp;$Q129&amp;" ("&amp;$R129&amp;") when replenished.")</f>
        <v>Yes - 4 in stock at Store 0146 (size 9). Back room location C-01-2-02 (ZONE C / BAY 01 / SHELF 2 / BIN 02), Waist height. Back room 3 / sales floor 1.</v>
      </c>
    </row>
    <row r="130" customFormat="false" ht="15" hidden="false" customHeight="false" outlineLevel="0" collapsed="false">
      <c r="A130" s="34" t="s">
        <v>1063</v>
      </c>
      <c r="B130" s="34" t="s">
        <v>1064</v>
      </c>
      <c r="C130" s="34" t="s">
        <v>1065</v>
      </c>
      <c r="D130" s="34" t="s">
        <v>644</v>
      </c>
      <c r="E130" s="34" t="s">
        <v>1066</v>
      </c>
      <c r="F130" s="34" t="s">
        <v>1068</v>
      </c>
      <c r="G130" s="24" t="s">
        <v>177</v>
      </c>
      <c r="H130" s="27" t="n">
        <f aca="false">IFERROR(INDEX('Inventory Master'!$T$2:$T$525,MATCH($A130,'Inventory Master'!$A$2:$A$525,0)),0)</f>
        <v>5</v>
      </c>
      <c r="I130" s="27" t="n">
        <v>2</v>
      </c>
      <c r="J130" s="27" t="n">
        <f aca="false">MAX(0,$H130-$I130)</f>
        <v>3</v>
      </c>
      <c r="K130" s="34" t="str">
        <f aca="false">IF($H130&gt;0,"In Stock","Out of Stock")</f>
        <v>In Stock</v>
      </c>
      <c r="L130" s="24" t="s">
        <v>1852</v>
      </c>
      <c r="M130" s="34" t="s">
        <v>1853</v>
      </c>
      <c r="N130" s="24" t="n">
        <v>1</v>
      </c>
      <c r="O130" s="24" t="n">
        <v>2</v>
      </c>
      <c r="P130" s="24" t="n">
        <v>3</v>
      </c>
      <c r="Q130" s="24" t="str">
        <f aca="false">$L130&amp;"-"&amp;TEXT($N130,"00")&amp;"-"&amp;$O130&amp;"-"&amp;TEXT($P130,"00")</f>
        <v>C-01-2-03</v>
      </c>
      <c r="R130" s="34" t="str">
        <f aca="false">"ZONE "&amp;$L130&amp;" / BAY "&amp;TEXT($N130,"00")&amp;" / SHELF "&amp;$O130&amp;" / BIN "&amp;TEXT($P130,"00")</f>
        <v>ZONE C / BAY 01 / SHELF 2 / BIN 03</v>
      </c>
      <c r="S130" s="34" t="s">
        <v>1845</v>
      </c>
      <c r="T130" s="34" t="s">
        <v>1844</v>
      </c>
      <c r="U130" s="27" t="n">
        <v>129</v>
      </c>
      <c r="V130" s="30" t="n">
        <v>46216</v>
      </c>
      <c r="W130" s="34" t="str">
        <f aca="false">IF($H130&gt;0,"Yes - "&amp;$H130&amp;" in stock at Store 0146 (size "&amp;$G130&amp;"). Back room location "&amp;$Q130&amp;" ("&amp;$R130&amp;"), "&amp;$S130&amp;". Back room "&amp;$J130&amp;" / sales floor "&amp;$I130&amp;".","Not currently in stock at Store 0146 (size "&amp;$G130&amp;"). Home location is "&amp;$Q130&amp;" ("&amp;$R130&amp;") when replenished.")</f>
        <v>Yes - 5 in stock at Store 0146 (size 9.5). Back room location C-01-2-03 (ZONE C / BAY 01 / SHELF 2 / BIN 03), Waist height. Back room 3 / sales floor 2.</v>
      </c>
    </row>
    <row r="131" customFormat="false" ht="15" hidden="false" customHeight="false" outlineLevel="0" collapsed="false">
      <c r="A131" s="34" t="s">
        <v>472</v>
      </c>
      <c r="B131" s="34" t="s">
        <v>473</v>
      </c>
      <c r="C131" s="34" t="s">
        <v>474</v>
      </c>
      <c r="D131" s="34" t="s">
        <v>476</v>
      </c>
      <c r="E131" s="34" t="s">
        <v>477</v>
      </c>
      <c r="F131" s="34" t="s">
        <v>479</v>
      </c>
      <c r="G131" s="24" t="s">
        <v>308</v>
      </c>
      <c r="H131" s="27" t="n">
        <f aca="false">IFERROR(INDEX('Inventory Master'!$T$2:$T$525,MATCH($A131,'Inventory Master'!$A$2:$A$525,0)),0)</f>
        <v>0</v>
      </c>
      <c r="I131" s="27" t="n">
        <v>0</v>
      </c>
      <c r="J131" s="27" t="n">
        <f aca="false">MAX(0,$H131-$I131)</f>
        <v>0</v>
      </c>
      <c r="K131" s="34" t="str">
        <f aca="false">IF($H131&gt;0,"In Stock","Out of Stock")</f>
        <v>Out of Stock</v>
      </c>
      <c r="L131" s="24" t="s">
        <v>1852</v>
      </c>
      <c r="M131" s="34" t="s">
        <v>1853</v>
      </c>
      <c r="N131" s="24" t="n">
        <v>1</v>
      </c>
      <c r="O131" s="24" t="n">
        <v>3</v>
      </c>
      <c r="P131" s="24" t="n">
        <v>1</v>
      </c>
      <c r="Q131" s="24" t="str">
        <f aca="false">$L131&amp;"-"&amp;TEXT($N131,"00")&amp;"-"&amp;$O131&amp;"-"&amp;TEXT($P131,"00")</f>
        <v>C-01-3-01</v>
      </c>
      <c r="R131" s="34" t="str">
        <f aca="false">"ZONE "&amp;$L131&amp;" / BAY "&amp;TEXT($N131,"00")&amp;" / SHELF "&amp;$O131&amp;" / BIN "&amp;TEXT($P131,"00")</f>
        <v>ZONE C / BAY 01 / SHELF 3 / BIN 01</v>
      </c>
      <c r="S131" s="34" t="s">
        <v>1846</v>
      </c>
      <c r="T131" s="34" t="s">
        <v>1844</v>
      </c>
      <c r="U131" s="27" t="n">
        <v>130</v>
      </c>
      <c r="V131" s="30" t="n">
        <v>46213</v>
      </c>
      <c r="W131" s="34" t="str">
        <f aca="false">IF($H131&gt;0,"Yes - "&amp;$H131&amp;" in stock at Store 0146 (size "&amp;$G131&amp;"). Back room location "&amp;$Q131&amp;" ("&amp;$R131&amp;"), "&amp;$S131&amp;". Back room "&amp;$J131&amp;" / sales floor "&amp;$I131&amp;".","Not currently in stock at Store 0146 (size "&amp;$G131&amp;"). Home location is "&amp;$Q131&amp;" ("&amp;$R131&amp;") when replenished.")</f>
        <v>Not currently in stock at Store 0146 (size 6.5). Home location is C-01-3-01 (ZONE C / BAY 01 / SHELF 3 / BIN 01) when replenished.</v>
      </c>
    </row>
    <row r="132" customFormat="false" ht="15" hidden="false" customHeight="false" outlineLevel="0" collapsed="false">
      <c r="A132" s="34" t="s">
        <v>1645</v>
      </c>
      <c r="B132" s="34" t="s">
        <v>1646</v>
      </c>
      <c r="C132" s="34" t="s">
        <v>474</v>
      </c>
      <c r="D132" s="34" t="s">
        <v>476</v>
      </c>
      <c r="E132" s="34" t="s">
        <v>477</v>
      </c>
      <c r="F132" s="34" t="s">
        <v>479</v>
      </c>
      <c r="G132" s="24" t="s">
        <v>338</v>
      </c>
      <c r="H132" s="27" t="n">
        <f aca="false">IFERROR(INDEX('Inventory Master'!$T$2:$T$525,MATCH($A132,'Inventory Master'!$A$2:$A$525,0)),0)</f>
        <v>2</v>
      </c>
      <c r="I132" s="27" t="n">
        <v>1</v>
      </c>
      <c r="J132" s="27" t="n">
        <f aca="false">MAX(0,$H132-$I132)</f>
        <v>1</v>
      </c>
      <c r="K132" s="34" t="str">
        <f aca="false">IF($H132&gt;0,"In Stock","Out of Stock")</f>
        <v>In Stock</v>
      </c>
      <c r="L132" s="24" t="s">
        <v>1852</v>
      </c>
      <c r="M132" s="34" t="s">
        <v>1853</v>
      </c>
      <c r="N132" s="24" t="n">
        <v>1</v>
      </c>
      <c r="O132" s="24" t="n">
        <v>3</v>
      </c>
      <c r="P132" s="24" t="n">
        <v>2</v>
      </c>
      <c r="Q132" s="24" t="str">
        <f aca="false">$L132&amp;"-"&amp;TEXT($N132,"00")&amp;"-"&amp;$O132&amp;"-"&amp;TEXT($P132,"00")</f>
        <v>C-01-3-02</v>
      </c>
      <c r="R132" s="34" t="str">
        <f aca="false">"ZONE "&amp;$L132&amp;" / BAY "&amp;TEXT($N132,"00")&amp;" / SHELF "&amp;$O132&amp;" / BIN "&amp;TEXT($P132,"00")</f>
        <v>ZONE C / BAY 01 / SHELF 3 / BIN 02</v>
      </c>
      <c r="S132" s="34" t="s">
        <v>1846</v>
      </c>
      <c r="T132" s="34" t="s">
        <v>1844</v>
      </c>
      <c r="U132" s="27" t="n">
        <v>131</v>
      </c>
      <c r="V132" s="30" t="n">
        <v>46138</v>
      </c>
      <c r="W132" s="34" t="str">
        <f aca="false">IF($H132&gt;0,"Yes - "&amp;$H132&amp;" in stock at Store 0146 (size "&amp;$G132&amp;"). Back room location "&amp;$Q132&amp;" ("&amp;$R132&amp;"), "&amp;$S132&amp;". Back room "&amp;$J132&amp;" / sales floor "&amp;$I132&amp;".","Not currently in stock at Store 0146 (size "&amp;$G132&amp;"). Home location is "&amp;$Q132&amp;" ("&amp;$R132&amp;") when replenished.")</f>
        <v>Yes - 2 in stock at Store 0146 (size 7). Back room location C-01-3-02 (ZONE C / BAY 01 / SHELF 3 / BIN 02), Eye level. Back room 1 / sales floor 1.</v>
      </c>
    </row>
    <row r="133" customFormat="false" ht="15" hidden="false" customHeight="false" outlineLevel="0" collapsed="false">
      <c r="A133" s="34" t="s">
        <v>791</v>
      </c>
      <c r="B133" s="34" t="s">
        <v>792</v>
      </c>
      <c r="C133" s="34" t="s">
        <v>474</v>
      </c>
      <c r="D133" s="34" t="s">
        <v>476</v>
      </c>
      <c r="E133" s="34" t="s">
        <v>477</v>
      </c>
      <c r="F133" s="34" t="s">
        <v>479</v>
      </c>
      <c r="G133" s="24" t="s">
        <v>291</v>
      </c>
      <c r="H133" s="27" t="n">
        <f aca="false">IFERROR(INDEX('Inventory Master'!$T$2:$T$525,MATCH($A133,'Inventory Master'!$A$2:$A$525,0)),0)</f>
        <v>3</v>
      </c>
      <c r="I133" s="27" t="n">
        <v>1</v>
      </c>
      <c r="J133" s="27" t="n">
        <f aca="false">MAX(0,$H133-$I133)</f>
        <v>2</v>
      </c>
      <c r="K133" s="34" t="str">
        <f aca="false">IF($H133&gt;0,"In Stock","Out of Stock")</f>
        <v>In Stock</v>
      </c>
      <c r="L133" s="24" t="s">
        <v>1852</v>
      </c>
      <c r="M133" s="34" t="s">
        <v>1853</v>
      </c>
      <c r="N133" s="24" t="n">
        <v>1</v>
      </c>
      <c r="O133" s="24" t="n">
        <v>3</v>
      </c>
      <c r="P133" s="24" t="n">
        <v>3</v>
      </c>
      <c r="Q133" s="24" t="str">
        <f aca="false">$L133&amp;"-"&amp;TEXT($N133,"00")&amp;"-"&amp;$O133&amp;"-"&amp;TEXT($P133,"00")</f>
        <v>C-01-3-03</v>
      </c>
      <c r="R133" s="34" t="str">
        <f aca="false">"ZONE "&amp;$L133&amp;" / BAY "&amp;TEXT($N133,"00")&amp;" / SHELF "&amp;$O133&amp;" / BIN "&amp;TEXT($P133,"00")</f>
        <v>ZONE C / BAY 01 / SHELF 3 / BIN 03</v>
      </c>
      <c r="S133" s="34" t="s">
        <v>1846</v>
      </c>
      <c r="T133" s="34" t="s">
        <v>1844</v>
      </c>
      <c r="U133" s="27" t="n">
        <v>132</v>
      </c>
      <c r="V133" s="30" t="n">
        <v>46172</v>
      </c>
      <c r="W133" s="34" t="str">
        <f aca="false">IF($H133&gt;0,"Yes - "&amp;$H133&amp;" in stock at Store 0146 (size "&amp;$G133&amp;"). Back room location "&amp;$Q133&amp;" ("&amp;$R133&amp;"), "&amp;$S133&amp;". Back room "&amp;$J133&amp;" / sales floor "&amp;$I133&amp;".","Not currently in stock at Store 0146 (size "&amp;$G133&amp;"). Home location is "&amp;$Q133&amp;" ("&amp;$R133&amp;") when replenished.")</f>
        <v>Yes - 3 in stock at Store 0146 (size 7.5). Back room location C-01-3-03 (ZONE C / BAY 01 / SHELF 3 / BIN 03), Eye level. Back room 2 / sales floor 1.</v>
      </c>
    </row>
    <row r="134" customFormat="false" ht="15" hidden="false" customHeight="false" outlineLevel="0" collapsed="false">
      <c r="A134" s="34" t="s">
        <v>1141</v>
      </c>
      <c r="B134" s="34" t="s">
        <v>1142</v>
      </c>
      <c r="C134" s="34" t="s">
        <v>474</v>
      </c>
      <c r="D134" s="34" t="s">
        <v>476</v>
      </c>
      <c r="E134" s="34" t="s">
        <v>477</v>
      </c>
      <c r="F134" s="34" t="s">
        <v>479</v>
      </c>
      <c r="G134" s="24" t="s">
        <v>356</v>
      </c>
      <c r="H134" s="27" t="n">
        <f aca="false">IFERROR(INDEX('Inventory Master'!$T$2:$T$525,MATCH($A134,'Inventory Master'!$A$2:$A$525,0)),0)</f>
        <v>2</v>
      </c>
      <c r="I134" s="27" t="n">
        <v>2</v>
      </c>
      <c r="J134" s="27" t="n">
        <f aca="false">MAX(0,$H134-$I134)</f>
        <v>0</v>
      </c>
      <c r="K134" s="34" t="str">
        <f aca="false">IF($H134&gt;0,"In Stock","Out of Stock")</f>
        <v>In Stock</v>
      </c>
      <c r="L134" s="24" t="s">
        <v>1852</v>
      </c>
      <c r="M134" s="34" t="s">
        <v>1853</v>
      </c>
      <c r="N134" s="24" t="n">
        <v>1</v>
      </c>
      <c r="O134" s="24" t="n">
        <v>3</v>
      </c>
      <c r="P134" s="24" t="n">
        <v>4</v>
      </c>
      <c r="Q134" s="24" t="str">
        <f aca="false">$L134&amp;"-"&amp;TEXT($N134,"00")&amp;"-"&amp;$O134&amp;"-"&amp;TEXT($P134,"00")</f>
        <v>C-01-3-04</v>
      </c>
      <c r="R134" s="34" t="str">
        <f aca="false">"ZONE "&amp;$L134&amp;" / BAY "&amp;TEXT($N134,"00")&amp;" / SHELF "&amp;$O134&amp;" / BIN "&amp;TEXT($P134,"00")</f>
        <v>ZONE C / BAY 01 / SHELF 3 / BIN 04</v>
      </c>
      <c r="S134" s="34" t="s">
        <v>1846</v>
      </c>
      <c r="T134" s="34" t="s">
        <v>1844</v>
      </c>
      <c r="U134" s="27" t="n">
        <v>133</v>
      </c>
      <c r="V134" s="30" t="n">
        <v>46154</v>
      </c>
      <c r="W134" s="34" t="str">
        <f aca="false">IF($H134&gt;0,"Yes - "&amp;$H134&amp;" in stock at Store 0146 (size "&amp;$G134&amp;"). Back room location "&amp;$Q134&amp;" ("&amp;$R134&amp;"), "&amp;$S134&amp;". Back room "&amp;$J134&amp;" / sales floor "&amp;$I134&amp;".","Not currently in stock at Store 0146 (size "&amp;$G134&amp;"). Home location is "&amp;$Q134&amp;" ("&amp;$R134&amp;") when replenished.")</f>
        <v>Yes - 2 in stock at Store 0146 (size 8). Back room location C-01-3-04 (ZONE C / BAY 01 / SHELF 3 / BIN 04), Eye level. Back room 0 / sales floor 2.</v>
      </c>
    </row>
    <row r="135" customFormat="false" ht="15" hidden="false" customHeight="false" outlineLevel="0" collapsed="false">
      <c r="A135" s="34" t="s">
        <v>1422</v>
      </c>
      <c r="B135" s="34" t="s">
        <v>1423</v>
      </c>
      <c r="C135" s="34" t="s">
        <v>351</v>
      </c>
      <c r="D135" s="34" t="s">
        <v>343</v>
      </c>
      <c r="E135" s="34" t="s">
        <v>352</v>
      </c>
      <c r="F135" s="34" t="s">
        <v>354</v>
      </c>
      <c r="G135" s="24" t="s">
        <v>308</v>
      </c>
      <c r="H135" s="27" t="n">
        <f aca="false">IFERROR(INDEX('Inventory Master'!$T$2:$T$525,MATCH($A135,'Inventory Master'!$A$2:$A$525,0)),0)</f>
        <v>6</v>
      </c>
      <c r="I135" s="27" t="n">
        <v>1</v>
      </c>
      <c r="J135" s="27" t="n">
        <f aca="false">MAX(0,$H135-$I135)</f>
        <v>5</v>
      </c>
      <c r="K135" s="34" t="str">
        <f aca="false">IF($H135&gt;0,"In Stock","Out of Stock")</f>
        <v>In Stock</v>
      </c>
      <c r="L135" s="24" t="s">
        <v>1852</v>
      </c>
      <c r="M135" s="34" t="s">
        <v>1853</v>
      </c>
      <c r="N135" s="24" t="n">
        <v>1</v>
      </c>
      <c r="O135" s="24" t="n">
        <v>4</v>
      </c>
      <c r="P135" s="24" t="n">
        <v>1</v>
      </c>
      <c r="Q135" s="24" t="str">
        <f aca="false">$L135&amp;"-"&amp;TEXT($N135,"00")&amp;"-"&amp;$O135&amp;"-"&amp;TEXT($P135,"00")</f>
        <v>C-01-4-01</v>
      </c>
      <c r="R135" s="34" t="str">
        <f aca="false">"ZONE "&amp;$L135&amp;" / BAY "&amp;TEXT($N135,"00")&amp;" / SHELF "&amp;$O135&amp;" / BIN "&amp;TEXT($P135,"00")</f>
        <v>ZONE C / BAY 01 / SHELF 4 / BIN 01</v>
      </c>
      <c r="S135" s="34" t="s">
        <v>1847</v>
      </c>
      <c r="T135" s="34" t="s">
        <v>1844</v>
      </c>
      <c r="U135" s="27" t="n">
        <v>134</v>
      </c>
      <c r="V135" s="30" t="n">
        <v>46229</v>
      </c>
      <c r="W135" s="34" t="str">
        <f aca="false">IF($H135&gt;0,"Yes - "&amp;$H135&amp;" in stock at Store 0146 (size "&amp;$G135&amp;"). Back room location "&amp;$Q135&amp;" ("&amp;$R135&amp;"), "&amp;$S135&amp;". Back room "&amp;$J135&amp;" / sales floor "&amp;$I135&amp;".","Not currently in stock at Store 0146 (size "&amp;$G135&amp;"). Home location is "&amp;$Q135&amp;" ("&amp;$R135&amp;") when replenished.")</f>
        <v>Yes - 6 in stock at Store 0146 (size 6.5). Back room location C-01-4-01 (ZONE C / BAY 01 / SHELF 4 / BIN 01), Overhead - step stool. Back room 5 / sales floor 1.</v>
      </c>
    </row>
    <row r="136" customFormat="false" ht="15" hidden="false" customHeight="false" outlineLevel="0" collapsed="false">
      <c r="A136" s="34" t="s">
        <v>832</v>
      </c>
      <c r="B136" s="34" t="s">
        <v>833</v>
      </c>
      <c r="C136" s="34" t="s">
        <v>351</v>
      </c>
      <c r="D136" s="34" t="s">
        <v>343</v>
      </c>
      <c r="E136" s="34" t="s">
        <v>352</v>
      </c>
      <c r="F136" s="34" t="s">
        <v>354</v>
      </c>
      <c r="G136" s="24" t="s">
        <v>338</v>
      </c>
      <c r="H136" s="27" t="n">
        <f aca="false">IFERROR(INDEX('Inventory Master'!$T$2:$T$525,MATCH($A136,'Inventory Master'!$A$2:$A$525,0)),0)</f>
        <v>3</v>
      </c>
      <c r="I136" s="27" t="n">
        <v>1</v>
      </c>
      <c r="J136" s="27" t="n">
        <f aca="false">MAX(0,$H136-$I136)</f>
        <v>2</v>
      </c>
      <c r="K136" s="34" t="str">
        <f aca="false">IF($H136&gt;0,"In Stock","Out of Stock")</f>
        <v>In Stock</v>
      </c>
      <c r="L136" s="24" t="s">
        <v>1852</v>
      </c>
      <c r="M136" s="34" t="s">
        <v>1853</v>
      </c>
      <c r="N136" s="24" t="n">
        <v>1</v>
      </c>
      <c r="O136" s="24" t="n">
        <v>4</v>
      </c>
      <c r="P136" s="24" t="n">
        <v>2</v>
      </c>
      <c r="Q136" s="24" t="str">
        <f aca="false">$L136&amp;"-"&amp;TEXT($N136,"00")&amp;"-"&amp;$O136&amp;"-"&amp;TEXT($P136,"00")</f>
        <v>C-01-4-02</v>
      </c>
      <c r="R136" s="34" t="str">
        <f aca="false">"ZONE "&amp;$L136&amp;" / BAY "&amp;TEXT($N136,"00")&amp;" / SHELF "&amp;$O136&amp;" / BIN "&amp;TEXT($P136,"00")</f>
        <v>ZONE C / BAY 01 / SHELF 4 / BIN 02</v>
      </c>
      <c r="S136" s="34" t="s">
        <v>1847</v>
      </c>
      <c r="T136" s="34" t="s">
        <v>1844</v>
      </c>
      <c r="U136" s="27" t="n">
        <v>135</v>
      </c>
      <c r="V136" s="30" t="n">
        <v>46176</v>
      </c>
      <c r="W136" s="34" t="str">
        <f aca="false">IF($H136&gt;0,"Yes - "&amp;$H136&amp;" in stock at Store 0146 (size "&amp;$G136&amp;"). Back room location "&amp;$Q136&amp;" ("&amp;$R136&amp;"), "&amp;$S136&amp;". Back room "&amp;$J136&amp;" / sales floor "&amp;$I136&amp;".","Not currently in stock at Store 0146 (size "&amp;$G136&amp;"). Home location is "&amp;$Q136&amp;" ("&amp;$R136&amp;") when replenished.")</f>
        <v>Yes - 3 in stock at Store 0146 (size 7). Back room location C-01-4-02 (ZONE C / BAY 01 / SHELF 4 / BIN 02), Overhead - step stool. Back room 2 / sales floor 1.</v>
      </c>
    </row>
    <row r="137" customFormat="false" ht="15" hidden="false" customHeight="false" outlineLevel="0" collapsed="false">
      <c r="A137" s="34" t="s">
        <v>1247</v>
      </c>
      <c r="B137" s="34" t="s">
        <v>1248</v>
      </c>
      <c r="C137" s="34" t="s">
        <v>351</v>
      </c>
      <c r="D137" s="34" t="s">
        <v>343</v>
      </c>
      <c r="E137" s="34" t="s">
        <v>352</v>
      </c>
      <c r="F137" s="34" t="s">
        <v>354</v>
      </c>
      <c r="G137" s="24" t="s">
        <v>291</v>
      </c>
      <c r="H137" s="27" t="n">
        <f aca="false">IFERROR(INDEX('Inventory Master'!$T$2:$T$525,MATCH($A137,'Inventory Master'!$A$2:$A$525,0)),0)</f>
        <v>7</v>
      </c>
      <c r="I137" s="27" t="n">
        <v>1</v>
      </c>
      <c r="J137" s="27" t="n">
        <f aca="false">MAX(0,$H137-$I137)</f>
        <v>6</v>
      </c>
      <c r="K137" s="34" t="str">
        <f aca="false">IF($H137&gt;0,"In Stock","Out of Stock")</f>
        <v>In Stock</v>
      </c>
      <c r="L137" s="24" t="s">
        <v>1852</v>
      </c>
      <c r="M137" s="34" t="s">
        <v>1853</v>
      </c>
      <c r="N137" s="24" t="n">
        <v>1</v>
      </c>
      <c r="O137" s="24" t="n">
        <v>4</v>
      </c>
      <c r="P137" s="24" t="n">
        <v>3</v>
      </c>
      <c r="Q137" s="24" t="str">
        <f aca="false">$L137&amp;"-"&amp;TEXT($N137,"00")&amp;"-"&amp;$O137&amp;"-"&amp;TEXT($P137,"00")</f>
        <v>C-01-4-03</v>
      </c>
      <c r="R137" s="34" t="str">
        <f aca="false">"ZONE "&amp;$L137&amp;" / BAY "&amp;TEXT($N137,"00")&amp;" / SHELF "&amp;$O137&amp;" / BIN "&amp;TEXT($P137,"00")</f>
        <v>ZONE C / BAY 01 / SHELF 4 / BIN 03</v>
      </c>
      <c r="S137" s="34" t="s">
        <v>1847</v>
      </c>
      <c r="T137" s="34" t="s">
        <v>1854</v>
      </c>
      <c r="U137" s="27" t="n">
        <v>136</v>
      </c>
      <c r="V137" s="30" t="n">
        <v>46231</v>
      </c>
      <c r="W137" s="34" t="str">
        <f aca="false">IF($H137&gt;0,"Yes - "&amp;$H137&amp;" in stock at Store 0146 (size "&amp;$G137&amp;"). Back room location "&amp;$Q137&amp;" ("&amp;$R137&amp;"), "&amp;$S137&amp;". Back room "&amp;$J137&amp;" / sales floor "&amp;$I137&amp;".","Not currently in stock at Store 0146 (size "&amp;$G137&amp;"). Home location is "&amp;$Q137&amp;" ("&amp;$R137&amp;") when replenished.")</f>
        <v>Yes - 7 in stock at Store 0146 (size 7.5). Back room location C-01-4-03 (ZONE C / BAY 01 / SHELF 4 / BIN 03), Overhead - step stool. Back room 6 / sales floor 1.</v>
      </c>
    </row>
    <row r="138" customFormat="false" ht="15" hidden="false" customHeight="false" outlineLevel="0" collapsed="false">
      <c r="A138" s="34" t="s">
        <v>349</v>
      </c>
      <c r="B138" s="34" t="s">
        <v>350</v>
      </c>
      <c r="C138" s="34" t="s">
        <v>351</v>
      </c>
      <c r="D138" s="34" t="s">
        <v>343</v>
      </c>
      <c r="E138" s="34" t="s">
        <v>352</v>
      </c>
      <c r="F138" s="34" t="s">
        <v>354</v>
      </c>
      <c r="G138" s="24" t="s">
        <v>356</v>
      </c>
      <c r="H138" s="27" t="n">
        <f aca="false">IFERROR(INDEX('Inventory Master'!$T$2:$T$525,MATCH($A138,'Inventory Master'!$A$2:$A$525,0)),0)</f>
        <v>0</v>
      </c>
      <c r="I138" s="27" t="n">
        <v>0</v>
      </c>
      <c r="J138" s="27" t="n">
        <f aca="false">MAX(0,$H138-$I138)</f>
        <v>0</v>
      </c>
      <c r="K138" s="34" t="str">
        <f aca="false">IF($H138&gt;0,"In Stock","Out of Stock")</f>
        <v>Out of Stock</v>
      </c>
      <c r="L138" s="24" t="s">
        <v>1852</v>
      </c>
      <c r="M138" s="34" t="s">
        <v>1853</v>
      </c>
      <c r="N138" s="24" t="n">
        <v>1</v>
      </c>
      <c r="O138" s="24" t="n">
        <v>4</v>
      </c>
      <c r="P138" s="24" t="n">
        <v>4</v>
      </c>
      <c r="Q138" s="24" t="str">
        <f aca="false">$L138&amp;"-"&amp;TEXT($N138,"00")&amp;"-"&amp;$O138&amp;"-"&amp;TEXT($P138,"00")</f>
        <v>C-01-4-04</v>
      </c>
      <c r="R138" s="34" t="str">
        <f aca="false">"ZONE "&amp;$L138&amp;" / BAY "&amp;TEXT($N138,"00")&amp;" / SHELF "&amp;$O138&amp;" / BIN "&amp;TEXT($P138,"00")</f>
        <v>ZONE C / BAY 01 / SHELF 4 / BIN 04</v>
      </c>
      <c r="S138" s="34" t="s">
        <v>1847</v>
      </c>
      <c r="T138" s="34" t="s">
        <v>1844</v>
      </c>
      <c r="U138" s="27" t="n">
        <v>137</v>
      </c>
      <c r="V138" s="30" t="n">
        <v>46171</v>
      </c>
      <c r="W138" s="34" t="str">
        <f aca="false">IF($H138&gt;0,"Yes - "&amp;$H138&amp;" in stock at Store 0146 (size "&amp;$G138&amp;"). Back room location "&amp;$Q138&amp;" ("&amp;$R138&amp;"), "&amp;$S138&amp;". Back room "&amp;$J138&amp;" / sales floor "&amp;$I138&amp;".","Not currently in stock at Store 0146 (size "&amp;$G138&amp;"). Home location is "&amp;$Q138&amp;" ("&amp;$R138&amp;") when replenished.")</f>
        <v>Not currently in stock at Store 0146 (size 8). Home location is C-01-4-04 (ZONE C / BAY 01 / SHELF 4 / BIN 04) when replenished.</v>
      </c>
    </row>
    <row r="139" customFormat="false" ht="15" hidden="false" customHeight="false" outlineLevel="0" collapsed="false">
      <c r="A139" s="34" t="s">
        <v>1512</v>
      </c>
      <c r="B139" s="34" t="s">
        <v>1513</v>
      </c>
      <c r="C139" s="34" t="s">
        <v>780</v>
      </c>
      <c r="D139" s="34" t="s">
        <v>343</v>
      </c>
      <c r="E139" s="34" t="s">
        <v>344</v>
      </c>
      <c r="F139" s="34" t="s">
        <v>782</v>
      </c>
      <c r="G139" s="24" t="s">
        <v>356</v>
      </c>
      <c r="H139" s="27" t="n">
        <f aca="false">IFERROR(INDEX('Inventory Master'!$T$2:$T$525,MATCH($A139,'Inventory Master'!$A$2:$A$525,0)),0)</f>
        <v>0</v>
      </c>
      <c r="I139" s="27" t="n">
        <v>0</v>
      </c>
      <c r="J139" s="27" t="n">
        <f aca="false">MAX(0,$H139-$I139)</f>
        <v>0</v>
      </c>
      <c r="K139" s="34" t="str">
        <f aca="false">IF($H139&gt;0,"In Stock","Out of Stock")</f>
        <v>Out of Stock</v>
      </c>
      <c r="L139" s="24" t="s">
        <v>1852</v>
      </c>
      <c r="M139" s="34" t="s">
        <v>1853</v>
      </c>
      <c r="N139" s="24" t="n">
        <v>1</v>
      </c>
      <c r="O139" s="24" t="n">
        <v>5</v>
      </c>
      <c r="P139" s="24" t="n">
        <v>1</v>
      </c>
      <c r="Q139" s="24" t="str">
        <f aca="false">$L139&amp;"-"&amp;TEXT($N139,"00")&amp;"-"&amp;$O139&amp;"-"&amp;TEXT($P139,"00")</f>
        <v>C-01-5-01</v>
      </c>
      <c r="R139" s="34" t="str">
        <f aca="false">"ZONE "&amp;$L139&amp;" / BAY "&amp;TEXT($N139,"00")&amp;" / SHELF "&amp;$O139&amp;" / BIN "&amp;TEXT($P139,"00")</f>
        <v>ZONE C / BAY 01 / SHELF 5 / BIN 01</v>
      </c>
      <c r="S139" s="34" t="s">
        <v>1848</v>
      </c>
      <c r="T139" s="34" t="s">
        <v>1844</v>
      </c>
      <c r="U139" s="27" t="n">
        <v>138</v>
      </c>
      <c r="V139" s="30" t="n">
        <v>46190</v>
      </c>
      <c r="W139" s="34" t="str">
        <f aca="false">IF($H139&gt;0,"Yes - "&amp;$H139&amp;" in stock at Store 0146 (size "&amp;$G139&amp;"). Back room location "&amp;$Q139&amp;" ("&amp;$R139&amp;"), "&amp;$S139&amp;". Back room "&amp;$J139&amp;" / sales floor "&amp;$I139&amp;".","Not currently in stock at Store 0146 (size "&amp;$G139&amp;"). Home location is "&amp;$Q139&amp;" ("&amp;$R139&amp;") when replenished.")</f>
        <v>Not currently in stock at Store 0146 (size 8). Home location is C-01-5-01 (ZONE C / BAY 01 / SHELF 5 / BIN 01) when replenished.</v>
      </c>
    </row>
    <row r="140" customFormat="false" ht="15" hidden="false" customHeight="false" outlineLevel="0" collapsed="false">
      <c r="A140" s="34" t="s">
        <v>778</v>
      </c>
      <c r="B140" s="34" t="s">
        <v>779</v>
      </c>
      <c r="C140" s="34" t="s">
        <v>780</v>
      </c>
      <c r="D140" s="34" t="s">
        <v>343</v>
      </c>
      <c r="E140" s="34" t="s">
        <v>344</v>
      </c>
      <c r="F140" s="34" t="s">
        <v>782</v>
      </c>
      <c r="G140" s="24" t="s">
        <v>188</v>
      </c>
      <c r="H140" s="27" t="n">
        <f aca="false">IFERROR(INDEX('Inventory Master'!$T$2:$T$525,MATCH($A140,'Inventory Master'!$A$2:$A$525,0)),0)</f>
        <v>6</v>
      </c>
      <c r="I140" s="27" t="n">
        <v>1</v>
      </c>
      <c r="J140" s="27" t="n">
        <f aca="false">MAX(0,$H140-$I140)</f>
        <v>5</v>
      </c>
      <c r="K140" s="34" t="str">
        <f aca="false">IF($H140&gt;0,"In Stock","Out of Stock")</f>
        <v>In Stock</v>
      </c>
      <c r="L140" s="24" t="s">
        <v>1852</v>
      </c>
      <c r="M140" s="34" t="s">
        <v>1853</v>
      </c>
      <c r="N140" s="24" t="n">
        <v>1</v>
      </c>
      <c r="O140" s="24" t="n">
        <v>5</v>
      </c>
      <c r="P140" s="24" t="n">
        <v>2</v>
      </c>
      <c r="Q140" s="24" t="str">
        <f aca="false">$L140&amp;"-"&amp;TEXT($N140,"00")&amp;"-"&amp;$O140&amp;"-"&amp;TEXT($P140,"00")</f>
        <v>C-01-5-02</v>
      </c>
      <c r="R140" s="34" t="str">
        <f aca="false">"ZONE "&amp;$L140&amp;" / BAY "&amp;TEXT($N140,"00")&amp;" / SHELF "&amp;$O140&amp;" / BIN "&amp;TEXT($P140,"00")</f>
        <v>ZONE C / BAY 01 / SHELF 5 / BIN 02</v>
      </c>
      <c r="S140" s="34" t="s">
        <v>1848</v>
      </c>
      <c r="T140" s="34" t="s">
        <v>1844</v>
      </c>
      <c r="U140" s="27" t="n">
        <v>139</v>
      </c>
      <c r="V140" s="30" t="n">
        <v>46215</v>
      </c>
      <c r="W140" s="34" t="str">
        <f aca="false">IF($H140&gt;0,"Yes - "&amp;$H140&amp;" in stock at Store 0146 (size "&amp;$G140&amp;"). Back room location "&amp;$Q140&amp;" ("&amp;$R140&amp;"), "&amp;$S140&amp;". Back room "&amp;$J140&amp;" / sales floor "&amp;$I140&amp;".","Not currently in stock at Store 0146 (size "&amp;$G140&amp;"). Home location is "&amp;$Q140&amp;" ("&amp;$R140&amp;") when replenished.")</f>
        <v>Yes - 6 in stock at Store 0146 (size 8.5). Back room location C-01-5-02 (ZONE C / BAY 01 / SHELF 5 / BIN 02), Top shelf - ladder required. Back room 5 / sales floor 1.</v>
      </c>
    </row>
    <row r="141" customFormat="false" ht="15" hidden="false" customHeight="false" outlineLevel="0" collapsed="false">
      <c r="A141" s="34" t="s">
        <v>1357</v>
      </c>
      <c r="B141" s="34" t="s">
        <v>1358</v>
      </c>
      <c r="C141" s="34" t="s">
        <v>780</v>
      </c>
      <c r="D141" s="34" t="s">
        <v>343</v>
      </c>
      <c r="E141" s="34" t="s">
        <v>344</v>
      </c>
      <c r="F141" s="34" t="s">
        <v>782</v>
      </c>
      <c r="G141" s="24" t="s">
        <v>164</v>
      </c>
      <c r="H141" s="27" t="n">
        <f aca="false">IFERROR(INDEX('Inventory Master'!$T$2:$T$525,MATCH($A141,'Inventory Master'!$A$2:$A$525,0)),0)</f>
        <v>6</v>
      </c>
      <c r="I141" s="27" t="n">
        <v>0</v>
      </c>
      <c r="J141" s="27" t="n">
        <f aca="false">MAX(0,$H141-$I141)</f>
        <v>6</v>
      </c>
      <c r="K141" s="34" t="str">
        <f aca="false">IF($H141&gt;0,"In Stock","Out of Stock")</f>
        <v>In Stock</v>
      </c>
      <c r="L141" s="24" t="s">
        <v>1852</v>
      </c>
      <c r="M141" s="34" t="s">
        <v>1853</v>
      </c>
      <c r="N141" s="24" t="n">
        <v>1</v>
      </c>
      <c r="O141" s="24" t="n">
        <v>5</v>
      </c>
      <c r="P141" s="24" t="n">
        <v>3</v>
      </c>
      <c r="Q141" s="24" t="str">
        <f aca="false">$L141&amp;"-"&amp;TEXT($N141,"00")&amp;"-"&amp;$O141&amp;"-"&amp;TEXT($P141,"00")</f>
        <v>C-01-5-03</v>
      </c>
      <c r="R141" s="34" t="str">
        <f aca="false">"ZONE "&amp;$L141&amp;" / BAY "&amp;TEXT($N141,"00")&amp;" / SHELF "&amp;$O141&amp;" / BIN "&amp;TEXT($P141,"00")</f>
        <v>ZONE C / BAY 01 / SHELF 5 / BIN 03</v>
      </c>
      <c r="S141" s="34" t="s">
        <v>1848</v>
      </c>
      <c r="T141" s="34" t="s">
        <v>1855</v>
      </c>
      <c r="U141" s="27" t="n">
        <v>140</v>
      </c>
      <c r="V141" s="30" t="n">
        <v>46187</v>
      </c>
      <c r="W141" s="34" t="str">
        <f aca="false">IF($H141&gt;0,"Yes - "&amp;$H141&amp;" in stock at Store 0146 (size "&amp;$G141&amp;"). Back room location "&amp;$Q141&amp;" ("&amp;$R141&amp;"), "&amp;$S141&amp;". Back room "&amp;$J141&amp;" / sales floor "&amp;$I141&amp;".","Not currently in stock at Store 0146 (size "&amp;$G141&amp;"). Home location is "&amp;$Q141&amp;" ("&amp;$R141&amp;") when replenished.")</f>
        <v>Yes - 6 in stock at Store 0146 (size 9). Back room location C-01-5-03 (ZONE C / BAY 01 / SHELF 5 / BIN 03), Top shelf - ladder required. Back room 6 / sales floor 0.</v>
      </c>
    </row>
    <row r="142" customFormat="false" ht="15" hidden="false" customHeight="false" outlineLevel="0" collapsed="false">
      <c r="A142" s="34" t="s">
        <v>1542</v>
      </c>
      <c r="B142" s="34" t="s">
        <v>1543</v>
      </c>
      <c r="C142" s="34" t="s">
        <v>780</v>
      </c>
      <c r="D142" s="34" t="s">
        <v>343</v>
      </c>
      <c r="E142" s="34" t="s">
        <v>344</v>
      </c>
      <c r="F142" s="34" t="s">
        <v>782</v>
      </c>
      <c r="G142" s="24" t="s">
        <v>177</v>
      </c>
      <c r="H142" s="27" t="n">
        <f aca="false">IFERROR(INDEX('Inventory Master'!$T$2:$T$525,MATCH($A142,'Inventory Master'!$A$2:$A$525,0)),0)</f>
        <v>0</v>
      </c>
      <c r="I142" s="27" t="n">
        <v>0</v>
      </c>
      <c r="J142" s="27" t="n">
        <f aca="false">MAX(0,$H142-$I142)</f>
        <v>0</v>
      </c>
      <c r="K142" s="34" t="str">
        <f aca="false">IF($H142&gt;0,"In Stock","Out of Stock")</f>
        <v>Out of Stock</v>
      </c>
      <c r="L142" s="24" t="s">
        <v>1852</v>
      </c>
      <c r="M142" s="34" t="s">
        <v>1853</v>
      </c>
      <c r="N142" s="24" t="n">
        <v>1</v>
      </c>
      <c r="O142" s="24" t="n">
        <v>5</v>
      </c>
      <c r="P142" s="24" t="n">
        <v>4</v>
      </c>
      <c r="Q142" s="24" t="str">
        <f aca="false">$L142&amp;"-"&amp;TEXT($N142,"00")&amp;"-"&amp;$O142&amp;"-"&amp;TEXT($P142,"00")</f>
        <v>C-01-5-04</v>
      </c>
      <c r="R142" s="34" t="str">
        <f aca="false">"ZONE "&amp;$L142&amp;" / BAY "&amp;TEXT($N142,"00")&amp;" / SHELF "&amp;$O142&amp;" / BIN "&amp;TEXT($P142,"00")</f>
        <v>ZONE C / BAY 01 / SHELF 5 / BIN 04</v>
      </c>
      <c r="S142" s="34" t="s">
        <v>1848</v>
      </c>
      <c r="T142" s="34" t="s">
        <v>1844</v>
      </c>
      <c r="U142" s="27" t="n">
        <v>141</v>
      </c>
      <c r="V142" s="30" t="n">
        <v>46199</v>
      </c>
      <c r="W142" s="34" t="str">
        <f aca="false">IF($H142&gt;0,"Yes - "&amp;$H142&amp;" in stock at Store 0146 (size "&amp;$G142&amp;"). Back room location "&amp;$Q142&amp;" ("&amp;$R142&amp;"), "&amp;$S142&amp;". Back room "&amp;$J142&amp;" / sales floor "&amp;$I142&amp;".","Not currently in stock at Store 0146 (size "&amp;$G142&amp;"). Home location is "&amp;$Q142&amp;" ("&amp;$R142&amp;") when replenished.")</f>
        <v>Not currently in stock at Store 0146 (size 9.5). Home location is C-01-5-04 (ZONE C / BAY 01 / SHELF 5 / BIN 04) when replenished.</v>
      </c>
    </row>
    <row r="143" customFormat="false" ht="15" hidden="false" customHeight="false" outlineLevel="0" collapsed="false">
      <c r="A143" s="34" t="s">
        <v>539</v>
      </c>
      <c r="B143" s="34" t="s">
        <v>540</v>
      </c>
      <c r="C143" s="34" t="s">
        <v>541</v>
      </c>
      <c r="D143" s="34" t="s">
        <v>136</v>
      </c>
      <c r="E143" s="34" t="s">
        <v>542</v>
      </c>
      <c r="F143" s="34" t="s">
        <v>544</v>
      </c>
      <c r="G143" s="24" t="s">
        <v>308</v>
      </c>
      <c r="H143" s="27" t="n">
        <f aca="false">IFERROR(INDEX('Inventory Master'!$T$2:$T$525,MATCH($A143,'Inventory Master'!$A$2:$A$525,0)),0)</f>
        <v>4</v>
      </c>
      <c r="I143" s="27" t="n">
        <v>1</v>
      </c>
      <c r="J143" s="27" t="n">
        <f aca="false">MAX(0,$H143-$I143)</f>
        <v>3</v>
      </c>
      <c r="K143" s="34" t="str">
        <f aca="false">IF($H143&gt;0,"In Stock","Out of Stock")</f>
        <v>In Stock</v>
      </c>
      <c r="L143" s="24" t="s">
        <v>1852</v>
      </c>
      <c r="M143" s="34" t="s">
        <v>1853</v>
      </c>
      <c r="N143" s="24" t="n">
        <v>2</v>
      </c>
      <c r="O143" s="24" t="n">
        <v>1</v>
      </c>
      <c r="P143" s="24" t="n">
        <v>1</v>
      </c>
      <c r="Q143" s="24" t="str">
        <f aca="false">$L143&amp;"-"&amp;TEXT($N143,"00")&amp;"-"&amp;$O143&amp;"-"&amp;TEXT($P143,"00")</f>
        <v>C-02-1-01</v>
      </c>
      <c r="R143" s="34" t="str">
        <f aca="false">"ZONE "&amp;$L143&amp;" / BAY "&amp;TEXT($N143,"00")&amp;" / SHELF "&amp;$O143&amp;" / BIN "&amp;TEXT($P143,"00")</f>
        <v>ZONE C / BAY 02 / SHELF 1 / BIN 01</v>
      </c>
      <c r="S143" s="34" t="s">
        <v>1843</v>
      </c>
      <c r="T143" s="34" t="s">
        <v>1844</v>
      </c>
      <c r="U143" s="27" t="n">
        <v>142</v>
      </c>
      <c r="V143" s="30" t="n">
        <v>46215</v>
      </c>
      <c r="W143" s="34" t="str">
        <f aca="false">IF($H143&gt;0,"Yes - "&amp;$H143&amp;" in stock at Store 0146 (size "&amp;$G143&amp;"). Back room location "&amp;$Q143&amp;" ("&amp;$R143&amp;"), "&amp;$S143&amp;". Back room "&amp;$J143&amp;" / sales floor "&amp;$I143&amp;".","Not currently in stock at Store 0146 (size "&amp;$G143&amp;"). Home location is "&amp;$Q143&amp;" ("&amp;$R143&amp;") when replenished.")</f>
        <v>Yes - 4 in stock at Store 0146 (size 6.5). Back room location C-02-1-01 (ZONE C / BAY 02 / SHELF 1 / BIN 01), Floor level - no reach. Back room 3 / sales floor 1.</v>
      </c>
    </row>
    <row r="144" customFormat="false" ht="15" hidden="false" customHeight="false" outlineLevel="0" collapsed="false">
      <c r="A144" s="34" t="s">
        <v>929</v>
      </c>
      <c r="B144" s="34" t="s">
        <v>930</v>
      </c>
      <c r="C144" s="34" t="s">
        <v>541</v>
      </c>
      <c r="D144" s="34" t="s">
        <v>136</v>
      </c>
      <c r="E144" s="34" t="s">
        <v>542</v>
      </c>
      <c r="F144" s="34" t="s">
        <v>544</v>
      </c>
      <c r="G144" s="24" t="s">
        <v>338</v>
      </c>
      <c r="H144" s="27" t="n">
        <f aca="false">IFERROR(INDEX('Inventory Master'!$T$2:$T$525,MATCH($A144,'Inventory Master'!$A$2:$A$525,0)),0)</f>
        <v>2</v>
      </c>
      <c r="I144" s="27" t="n">
        <v>1</v>
      </c>
      <c r="J144" s="27" t="n">
        <f aca="false">MAX(0,$H144-$I144)</f>
        <v>1</v>
      </c>
      <c r="K144" s="34" t="str">
        <f aca="false">IF($H144&gt;0,"In Stock","Out of Stock")</f>
        <v>In Stock</v>
      </c>
      <c r="L144" s="24" t="s">
        <v>1852</v>
      </c>
      <c r="M144" s="34" t="s">
        <v>1853</v>
      </c>
      <c r="N144" s="24" t="n">
        <v>2</v>
      </c>
      <c r="O144" s="24" t="n">
        <v>1</v>
      </c>
      <c r="P144" s="24" t="n">
        <v>2</v>
      </c>
      <c r="Q144" s="24" t="str">
        <f aca="false">$L144&amp;"-"&amp;TEXT($N144,"00")&amp;"-"&amp;$O144&amp;"-"&amp;TEXT($P144,"00")</f>
        <v>C-02-1-02</v>
      </c>
      <c r="R144" s="34" t="str">
        <f aca="false">"ZONE "&amp;$L144&amp;" / BAY "&amp;TEXT($N144,"00")&amp;" / SHELF "&amp;$O144&amp;" / BIN "&amp;TEXT($P144,"00")</f>
        <v>ZONE C / BAY 02 / SHELF 1 / BIN 02</v>
      </c>
      <c r="S144" s="34" t="s">
        <v>1843</v>
      </c>
      <c r="T144" s="34" t="s">
        <v>1844</v>
      </c>
      <c r="U144" s="27" t="n">
        <v>143</v>
      </c>
      <c r="V144" s="30" t="n">
        <v>46151</v>
      </c>
      <c r="W144" s="34" t="str">
        <f aca="false">IF($H144&gt;0,"Yes - "&amp;$H144&amp;" in stock at Store 0146 (size "&amp;$G144&amp;"). Back room location "&amp;$Q144&amp;" ("&amp;$R144&amp;"), "&amp;$S144&amp;". Back room "&amp;$J144&amp;" / sales floor "&amp;$I144&amp;".","Not currently in stock at Store 0146 (size "&amp;$G144&amp;"). Home location is "&amp;$Q144&amp;" ("&amp;$R144&amp;") when replenished.")</f>
        <v>Yes - 2 in stock at Store 0146 (size 7). Back room location C-02-1-02 (ZONE C / BAY 02 / SHELF 1 / BIN 02), Floor level - no reach. Back room 1 / sales floor 1.</v>
      </c>
    </row>
    <row r="145" customFormat="false" ht="15" hidden="false" customHeight="false" outlineLevel="0" collapsed="false">
      <c r="A145" s="34" t="s">
        <v>695</v>
      </c>
      <c r="B145" s="34" t="s">
        <v>696</v>
      </c>
      <c r="C145" s="34" t="s">
        <v>541</v>
      </c>
      <c r="D145" s="34" t="s">
        <v>136</v>
      </c>
      <c r="E145" s="34" t="s">
        <v>542</v>
      </c>
      <c r="F145" s="34" t="s">
        <v>544</v>
      </c>
      <c r="G145" s="24" t="s">
        <v>291</v>
      </c>
      <c r="H145" s="27" t="n">
        <f aca="false">IFERROR(INDEX('Inventory Master'!$T$2:$T$525,MATCH($A145,'Inventory Master'!$A$2:$A$525,0)),0)</f>
        <v>6</v>
      </c>
      <c r="I145" s="27" t="n">
        <v>1</v>
      </c>
      <c r="J145" s="27" t="n">
        <f aca="false">MAX(0,$H145-$I145)</f>
        <v>5</v>
      </c>
      <c r="K145" s="34" t="str">
        <f aca="false">IF($H145&gt;0,"In Stock","Out of Stock")</f>
        <v>In Stock</v>
      </c>
      <c r="L145" s="24" t="s">
        <v>1852</v>
      </c>
      <c r="M145" s="34" t="s">
        <v>1853</v>
      </c>
      <c r="N145" s="24" t="n">
        <v>2</v>
      </c>
      <c r="O145" s="24" t="n">
        <v>1</v>
      </c>
      <c r="P145" s="24" t="n">
        <v>3</v>
      </c>
      <c r="Q145" s="24" t="str">
        <f aca="false">$L145&amp;"-"&amp;TEXT($N145,"00")&amp;"-"&amp;$O145&amp;"-"&amp;TEXT($P145,"00")</f>
        <v>C-02-1-03</v>
      </c>
      <c r="R145" s="34" t="str">
        <f aca="false">"ZONE "&amp;$L145&amp;" / BAY "&amp;TEXT($N145,"00")&amp;" / SHELF "&amp;$O145&amp;" / BIN "&amp;TEXT($P145,"00")</f>
        <v>ZONE C / BAY 02 / SHELF 1 / BIN 03</v>
      </c>
      <c r="S145" s="34" t="s">
        <v>1843</v>
      </c>
      <c r="T145" s="34" t="s">
        <v>1844</v>
      </c>
      <c r="U145" s="27" t="n">
        <v>144</v>
      </c>
      <c r="V145" s="30" t="n">
        <v>46159</v>
      </c>
      <c r="W145" s="34" t="str">
        <f aca="false">IF($H145&gt;0,"Yes - "&amp;$H145&amp;" in stock at Store 0146 (size "&amp;$G145&amp;"). Back room location "&amp;$Q145&amp;" ("&amp;$R145&amp;"), "&amp;$S145&amp;". Back room "&amp;$J145&amp;" / sales floor "&amp;$I145&amp;".","Not currently in stock at Store 0146 (size "&amp;$G145&amp;"). Home location is "&amp;$Q145&amp;" ("&amp;$R145&amp;") when replenished.")</f>
        <v>Yes - 6 in stock at Store 0146 (size 7.5). Back room location C-02-1-03 (ZONE C / BAY 02 / SHELF 1 / BIN 03), Floor level - no reach. Back room 5 / sales floor 1.</v>
      </c>
    </row>
    <row r="146" customFormat="false" ht="15" hidden="false" customHeight="false" outlineLevel="0" collapsed="false">
      <c r="A146" s="34" t="s">
        <v>1217</v>
      </c>
      <c r="B146" s="34" t="s">
        <v>1218</v>
      </c>
      <c r="C146" s="34" t="s">
        <v>541</v>
      </c>
      <c r="D146" s="34" t="s">
        <v>136</v>
      </c>
      <c r="E146" s="34" t="s">
        <v>542</v>
      </c>
      <c r="F146" s="34" t="s">
        <v>544</v>
      </c>
      <c r="G146" s="24" t="s">
        <v>356</v>
      </c>
      <c r="H146" s="27" t="n">
        <f aca="false">IFERROR(INDEX('Inventory Master'!$T$2:$T$525,MATCH($A146,'Inventory Master'!$A$2:$A$525,0)),0)</f>
        <v>0</v>
      </c>
      <c r="I146" s="27" t="n">
        <v>0</v>
      </c>
      <c r="J146" s="27" t="n">
        <f aca="false">MAX(0,$H146-$I146)</f>
        <v>0</v>
      </c>
      <c r="K146" s="34" t="str">
        <f aca="false">IF($H146&gt;0,"In Stock","Out of Stock")</f>
        <v>Out of Stock</v>
      </c>
      <c r="L146" s="24" t="s">
        <v>1852</v>
      </c>
      <c r="M146" s="34" t="s">
        <v>1853</v>
      </c>
      <c r="N146" s="24" t="n">
        <v>2</v>
      </c>
      <c r="O146" s="24" t="n">
        <v>1</v>
      </c>
      <c r="P146" s="24" t="n">
        <v>4</v>
      </c>
      <c r="Q146" s="24" t="str">
        <f aca="false">$L146&amp;"-"&amp;TEXT($N146,"00")&amp;"-"&amp;$O146&amp;"-"&amp;TEXT($P146,"00")</f>
        <v>C-02-1-04</v>
      </c>
      <c r="R146" s="34" t="str">
        <f aca="false">"ZONE "&amp;$L146&amp;" / BAY "&amp;TEXT($N146,"00")&amp;" / SHELF "&amp;$O146&amp;" / BIN "&amp;TEXT($P146,"00")</f>
        <v>ZONE C / BAY 02 / SHELF 1 / BIN 04</v>
      </c>
      <c r="S146" s="34" t="s">
        <v>1843</v>
      </c>
      <c r="T146" s="34" t="s">
        <v>1844</v>
      </c>
      <c r="U146" s="27" t="n">
        <v>145</v>
      </c>
      <c r="V146" s="30" t="n">
        <v>46206</v>
      </c>
      <c r="W146" s="34" t="str">
        <f aca="false">IF($H146&gt;0,"Yes - "&amp;$H146&amp;" in stock at Store 0146 (size "&amp;$G146&amp;"). Back room location "&amp;$Q146&amp;" ("&amp;$R146&amp;"), "&amp;$S146&amp;". Back room "&amp;$J146&amp;" / sales floor "&amp;$I146&amp;".","Not currently in stock at Store 0146 (size "&amp;$G146&amp;"). Home location is "&amp;$Q146&amp;" ("&amp;$R146&amp;") when replenished.")</f>
        <v>Not currently in stock at Store 0146 (size 8). Home location is C-02-1-04 (ZONE C / BAY 02 / SHELF 1 / BIN 04) when replenished.</v>
      </c>
    </row>
    <row r="147" customFormat="false" ht="15" hidden="false" customHeight="false" outlineLevel="0" collapsed="false">
      <c r="A147" s="34" t="s">
        <v>1221</v>
      </c>
      <c r="B147" s="34" t="s">
        <v>1222</v>
      </c>
      <c r="C147" s="34" t="s">
        <v>708</v>
      </c>
      <c r="D147" s="34" t="s">
        <v>136</v>
      </c>
      <c r="E147" s="34" t="s">
        <v>413</v>
      </c>
      <c r="F147" s="34" t="s">
        <v>710</v>
      </c>
      <c r="G147" s="24" t="s">
        <v>308</v>
      </c>
      <c r="H147" s="27" t="n">
        <f aca="false">IFERROR(INDEX('Inventory Master'!$T$2:$T$525,MATCH($A147,'Inventory Master'!$A$2:$A$525,0)),0)</f>
        <v>3</v>
      </c>
      <c r="I147" s="27" t="n">
        <v>0</v>
      </c>
      <c r="J147" s="27" t="n">
        <f aca="false">MAX(0,$H147-$I147)</f>
        <v>3</v>
      </c>
      <c r="K147" s="34" t="str">
        <f aca="false">IF($H147&gt;0,"In Stock","Out of Stock")</f>
        <v>In Stock</v>
      </c>
      <c r="L147" s="24" t="s">
        <v>1852</v>
      </c>
      <c r="M147" s="34" t="s">
        <v>1853</v>
      </c>
      <c r="N147" s="24" t="n">
        <v>2</v>
      </c>
      <c r="O147" s="24" t="n">
        <v>2</v>
      </c>
      <c r="P147" s="24" t="n">
        <v>1</v>
      </c>
      <c r="Q147" s="24" t="str">
        <f aca="false">$L147&amp;"-"&amp;TEXT($N147,"00")&amp;"-"&amp;$O147&amp;"-"&amp;TEXT($P147,"00")</f>
        <v>C-02-2-01</v>
      </c>
      <c r="R147" s="34" t="str">
        <f aca="false">"ZONE "&amp;$L147&amp;" / BAY "&amp;TEXT($N147,"00")&amp;" / SHELF "&amp;$O147&amp;" / BIN "&amp;TEXT($P147,"00")</f>
        <v>ZONE C / BAY 02 / SHELF 2 / BIN 01</v>
      </c>
      <c r="S147" s="34" t="s">
        <v>1845</v>
      </c>
      <c r="T147" s="34" t="s">
        <v>1844</v>
      </c>
      <c r="U147" s="27" t="n">
        <v>146</v>
      </c>
      <c r="V147" s="30" t="n">
        <v>46217</v>
      </c>
      <c r="W147" s="34" t="str">
        <f aca="false">IF($H147&gt;0,"Yes - "&amp;$H147&amp;" in stock at Store 0146 (size "&amp;$G147&amp;"). Back room location "&amp;$Q147&amp;" ("&amp;$R147&amp;"), "&amp;$S147&amp;". Back room "&amp;$J147&amp;" / sales floor "&amp;$I147&amp;".","Not currently in stock at Store 0146 (size "&amp;$G147&amp;"). Home location is "&amp;$Q147&amp;" ("&amp;$R147&amp;") when replenished.")</f>
        <v>Yes - 3 in stock at Store 0146 (size 6.5). Back room location C-02-2-01 (ZONE C / BAY 02 / SHELF 2 / BIN 01), Waist height. Back room 3 / sales floor 0.</v>
      </c>
    </row>
    <row r="148" customFormat="false" ht="15" hidden="false" customHeight="false" outlineLevel="0" collapsed="false">
      <c r="A148" s="34" t="s">
        <v>706</v>
      </c>
      <c r="B148" s="34" t="s">
        <v>707</v>
      </c>
      <c r="C148" s="34" t="s">
        <v>708</v>
      </c>
      <c r="D148" s="34" t="s">
        <v>136</v>
      </c>
      <c r="E148" s="34" t="s">
        <v>413</v>
      </c>
      <c r="F148" s="34" t="s">
        <v>710</v>
      </c>
      <c r="G148" s="24" t="s">
        <v>338</v>
      </c>
      <c r="H148" s="27" t="n">
        <f aca="false">IFERROR(INDEX('Inventory Master'!$T$2:$T$525,MATCH($A148,'Inventory Master'!$A$2:$A$525,0)),0)</f>
        <v>4</v>
      </c>
      <c r="I148" s="27" t="n">
        <v>2</v>
      </c>
      <c r="J148" s="27" t="n">
        <f aca="false">MAX(0,$H148-$I148)</f>
        <v>2</v>
      </c>
      <c r="K148" s="34" t="str">
        <f aca="false">IF($H148&gt;0,"In Stock","Out of Stock")</f>
        <v>In Stock</v>
      </c>
      <c r="L148" s="24" t="s">
        <v>1852</v>
      </c>
      <c r="M148" s="34" t="s">
        <v>1853</v>
      </c>
      <c r="N148" s="24" t="n">
        <v>2</v>
      </c>
      <c r="O148" s="24" t="n">
        <v>2</v>
      </c>
      <c r="P148" s="24" t="n">
        <v>2</v>
      </c>
      <c r="Q148" s="24" t="str">
        <f aca="false">$L148&amp;"-"&amp;TEXT($N148,"00")&amp;"-"&amp;$O148&amp;"-"&amp;TEXT($P148,"00")</f>
        <v>C-02-2-02</v>
      </c>
      <c r="R148" s="34" t="str">
        <f aca="false">"ZONE "&amp;$L148&amp;" / BAY "&amp;TEXT($N148,"00")&amp;" / SHELF "&amp;$O148&amp;" / BIN "&amp;TEXT($P148,"00")</f>
        <v>ZONE C / BAY 02 / SHELF 2 / BIN 02</v>
      </c>
      <c r="S148" s="34" t="s">
        <v>1845</v>
      </c>
      <c r="T148" s="34" t="s">
        <v>1844</v>
      </c>
      <c r="U148" s="27" t="n">
        <v>147</v>
      </c>
      <c r="V148" s="30" t="n">
        <v>46189</v>
      </c>
      <c r="W148" s="34" t="str">
        <f aca="false">IF($H148&gt;0,"Yes - "&amp;$H148&amp;" in stock at Store 0146 (size "&amp;$G148&amp;"). Back room location "&amp;$Q148&amp;" ("&amp;$R148&amp;"), "&amp;$S148&amp;". Back room "&amp;$J148&amp;" / sales floor "&amp;$I148&amp;".","Not currently in stock at Store 0146 (size "&amp;$G148&amp;"). Home location is "&amp;$Q148&amp;" ("&amp;$R148&amp;") when replenished.")</f>
        <v>Yes - 4 in stock at Store 0146 (size 7). Back room location C-02-2-02 (ZONE C / BAY 02 / SHELF 2 / BIN 02), Waist height. Back room 2 / sales floor 2.</v>
      </c>
    </row>
    <row r="149" customFormat="false" ht="15" hidden="false" customHeight="false" outlineLevel="0" collapsed="false">
      <c r="A149" s="34" t="s">
        <v>948</v>
      </c>
      <c r="B149" s="34" t="s">
        <v>949</v>
      </c>
      <c r="C149" s="34" t="s">
        <v>708</v>
      </c>
      <c r="D149" s="34" t="s">
        <v>136</v>
      </c>
      <c r="E149" s="34" t="s">
        <v>413</v>
      </c>
      <c r="F149" s="34" t="s">
        <v>710</v>
      </c>
      <c r="G149" s="24" t="s">
        <v>291</v>
      </c>
      <c r="H149" s="27" t="n">
        <f aca="false">IFERROR(INDEX('Inventory Master'!$T$2:$T$525,MATCH($A149,'Inventory Master'!$A$2:$A$525,0)),0)</f>
        <v>0</v>
      </c>
      <c r="I149" s="27" t="n">
        <v>0</v>
      </c>
      <c r="J149" s="27" t="n">
        <f aca="false">MAX(0,$H149-$I149)</f>
        <v>0</v>
      </c>
      <c r="K149" s="34" t="str">
        <f aca="false">IF($H149&gt;0,"In Stock","Out of Stock")</f>
        <v>Out of Stock</v>
      </c>
      <c r="L149" s="24" t="s">
        <v>1852</v>
      </c>
      <c r="M149" s="34" t="s">
        <v>1853</v>
      </c>
      <c r="N149" s="24" t="n">
        <v>2</v>
      </c>
      <c r="O149" s="24" t="n">
        <v>2</v>
      </c>
      <c r="P149" s="24" t="n">
        <v>3</v>
      </c>
      <c r="Q149" s="24" t="str">
        <f aca="false">$L149&amp;"-"&amp;TEXT($N149,"00")&amp;"-"&amp;$O149&amp;"-"&amp;TEXT($P149,"00")</f>
        <v>C-02-2-03</v>
      </c>
      <c r="R149" s="34" t="str">
        <f aca="false">"ZONE "&amp;$L149&amp;" / BAY "&amp;TEXT($N149,"00")&amp;" / SHELF "&amp;$O149&amp;" / BIN "&amp;TEXT($P149,"00")</f>
        <v>ZONE C / BAY 02 / SHELF 2 / BIN 03</v>
      </c>
      <c r="S149" s="34" t="s">
        <v>1845</v>
      </c>
      <c r="T149" s="34" t="s">
        <v>1844</v>
      </c>
      <c r="U149" s="27" t="n">
        <v>148</v>
      </c>
      <c r="V149" s="30" t="n">
        <v>46179</v>
      </c>
      <c r="W149" s="34" t="str">
        <f aca="false">IF($H149&gt;0,"Yes - "&amp;$H149&amp;" in stock at Store 0146 (size "&amp;$G149&amp;"). Back room location "&amp;$Q149&amp;" ("&amp;$R149&amp;"), "&amp;$S149&amp;". Back room "&amp;$J149&amp;" / sales floor "&amp;$I149&amp;".","Not currently in stock at Store 0146 (size "&amp;$G149&amp;"). Home location is "&amp;$Q149&amp;" ("&amp;$R149&amp;") when replenished.")</f>
        <v>Not currently in stock at Store 0146 (size 7.5). Home location is C-02-2-03 (ZONE C / BAY 02 / SHELF 2 / BIN 03) when replenished.</v>
      </c>
    </row>
    <row r="150" customFormat="false" ht="15" hidden="false" customHeight="false" outlineLevel="0" collapsed="false">
      <c r="A150" s="34" t="s">
        <v>1440</v>
      </c>
      <c r="B150" s="34" t="s">
        <v>1441</v>
      </c>
      <c r="C150" s="34" t="s">
        <v>467</v>
      </c>
      <c r="D150" s="34" t="s">
        <v>136</v>
      </c>
      <c r="E150" s="34" t="s">
        <v>468</v>
      </c>
      <c r="F150" s="34" t="s">
        <v>470</v>
      </c>
      <c r="G150" s="24" t="s">
        <v>538</v>
      </c>
      <c r="H150" s="27" t="n">
        <f aca="false">IFERROR(INDEX('Inventory Master'!$T$2:$T$525,MATCH($A150,'Inventory Master'!$A$2:$A$525,0)),0)</f>
        <v>0</v>
      </c>
      <c r="I150" s="27" t="n">
        <v>0</v>
      </c>
      <c r="J150" s="27" t="n">
        <f aca="false">MAX(0,$H150-$I150)</f>
        <v>0</v>
      </c>
      <c r="K150" s="34" t="str">
        <f aca="false">IF($H150&gt;0,"In Stock","Out of Stock")</f>
        <v>Out of Stock</v>
      </c>
      <c r="L150" s="24" t="s">
        <v>1852</v>
      </c>
      <c r="M150" s="34" t="s">
        <v>1853</v>
      </c>
      <c r="N150" s="24" t="n">
        <v>2</v>
      </c>
      <c r="O150" s="24" t="n">
        <v>3</v>
      </c>
      <c r="P150" s="24" t="n">
        <v>1</v>
      </c>
      <c r="Q150" s="24" t="str">
        <f aca="false">$L150&amp;"-"&amp;TEXT($N150,"00")&amp;"-"&amp;$O150&amp;"-"&amp;TEXT($P150,"00")</f>
        <v>C-02-3-01</v>
      </c>
      <c r="R150" s="34" t="str">
        <f aca="false">"ZONE "&amp;$L150&amp;" / BAY "&amp;TEXT($N150,"00")&amp;" / SHELF "&amp;$O150&amp;" / BIN "&amp;TEXT($P150,"00")</f>
        <v>ZONE C / BAY 02 / SHELF 3 / BIN 01</v>
      </c>
      <c r="S150" s="34" t="s">
        <v>1846</v>
      </c>
      <c r="T150" s="34" t="s">
        <v>1844</v>
      </c>
      <c r="U150" s="27" t="n">
        <v>149</v>
      </c>
      <c r="V150" s="30" t="n">
        <v>46183</v>
      </c>
      <c r="W150" s="34" t="str">
        <f aca="false">IF($H150&gt;0,"Yes - "&amp;$H150&amp;" in stock at Store 0146 (size "&amp;$G150&amp;"). Back room location "&amp;$Q150&amp;" ("&amp;$R150&amp;"), "&amp;$S150&amp;". Back room "&amp;$J150&amp;" / sales floor "&amp;$I150&amp;".","Not currently in stock at Store 0146 (size "&amp;$G150&amp;"). Home location is "&amp;$Q150&amp;" ("&amp;$R150&amp;") when replenished.")</f>
        <v>Not currently in stock at Store 0146 (size 6). Home location is C-02-3-01 (ZONE C / BAY 02 / SHELF 3 / BIN 01) when replenished.</v>
      </c>
    </row>
    <row r="151" customFormat="false" ht="15" hidden="false" customHeight="false" outlineLevel="0" collapsed="false">
      <c r="A151" s="34" t="s">
        <v>465</v>
      </c>
      <c r="B151" s="34" t="s">
        <v>466</v>
      </c>
      <c r="C151" s="34" t="s">
        <v>467</v>
      </c>
      <c r="D151" s="34" t="s">
        <v>136</v>
      </c>
      <c r="E151" s="34" t="s">
        <v>468</v>
      </c>
      <c r="F151" s="34" t="s">
        <v>470</v>
      </c>
      <c r="G151" s="24" t="s">
        <v>308</v>
      </c>
      <c r="H151" s="27" t="n">
        <f aca="false">IFERROR(INDEX('Inventory Master'!$T$2:$T$525,MATCH($A151,'Inventory Master'!$A$2:$A$525,0)),0)</f>
        <v>1</v>
      </c>
      <c r="I151" s="27" t="n">
        <v>1</v>
      </c>
      <c r="J151" s="27" t="n">
        <f aca="false">MAX(0,$H151-$I151)</f>
        <v>0</v>
      </c>
      <c r="K151" s="34" t="str">
        <f aca="false">IF($H151&gt;0,"In Stock","Out of Stock")</f>
        <v>In Stock</v>
      </c>
      <c r="L151" s="24" t="s">
        <v>1852</v>
      </c>
      <c r="M151" s="34" t="s">
        <v>1853</v>
      </c>
      <c r="N151" s="24" t="n">
        <v>2</v>
      </c>
      <c r="O151" s="24" t="n">
        <v>3</v>
      </c>
      <c r="P151" s="24" t="n">
        <v>2</v>
      </c>
      <c r="Q151" s="24" t="str">
        <f aca="false">$L151&amp;"-"&amp;TEXT($N151,"00")&amp;"-"&amp;$O151&amp;"-"&amp;TEXT($P151,"00")</f>
        <v>C-02-3-02</v>
      </c>
      <c r="R151" s="34" t="str">
        <f aca="false">"ZONE "&amp;$L151&amp;" / BAY "&amp;TEXT($N151,"00")&amp;" / SHELF "&amp;$O151&amp;" / BIN "&amp;TEXT($P151,"00")</f>
        <v>ZONE C / BAY 02 / SHELF 3 / BIN 02</v>
      </c>
      <c r="S151" s="34" t="s">
        <v>1846</v>
      </c>
      <c r="T151" s="34" t="s">
        <v>1844</v>
      </c>
      <c r="U151" s="27" t="n">
        <v>150</v>
      </c>
      <c r="V151" s="30" t="n">
        <v>46219</v>
      </c>
      <c r="W151" s="34" t="str">
        <f aca="false">IF($H151&gt;0,"Yes - "&amp;$H151&amp;" in stock at Store 0146 (size "&amp;$G151&amp;"). Back room location "&amp;$Q151&amp;" ("&amp;$R151&amp;"), "&amp;$S151&amp;". Back room "&amp;$J151&amp;" / sales floor "&amp;$I151&amp;".","Not currently in stock at Store 0146 (size "&amp;$G151&amp;"). Home location is "&amp;$Q151&amp;" ("&amp;$R151&amp;") when replenished.")</f>
        <v>Yes - 1 in stock at Store 0146 (size 6.5). Back room location C-02-3-02 (ZONE C / BAY 02 / SHELF 3 / BIN 02), Eye level. Back room 0 / sales floor 1.</v>
      </c>
    </row>
    <row r="152" customFormat="false" ht="15" hidden="false" customHeight="false" outlineLevel="0" collapsed="false">
      <c r="A152" s="34" t="s">
        <v>1351</v>
      </c>
      <c r="B152" s="34" t="s">
        <v>1352</v>
      </c>
      <c r="C152" s="34" t="s">
        <v>467</v>
      </c>
      <c r="D152" s="34" t="s">
        <v>136</v>
      </c>
      <c r="E152" s="34" t="s">
        <v>468</v>
      </c>
      <c r="F152" s="34" t="s">
        <v>470</v>
      </c>
      <c r="G152" s="24" t="s">
        <v>338</v>
      </c>
      <c r="H152" s="27" t="n">
        <f aca="false">IFERROR(INDEX('Inventory Master'!$T$2:$T$525,MATCH($A152,'Inventory Master'!$A$2:$A$525,0)),0)</f>
        <v>1</v>
      </c>
      <c r="I152" s="27" t="n">
        <v>1</v>
      </c>
      <c r="J152" s="27" t="n">
        <f aca="false">MAX(0,$H152-$I152)</f>
        <v>0</v>
      </c>
      <c r="K152" s="34" t="str">
        <f aca="false">IF($H152&gt;0,"In Stock","Out of Stock")</f>
        <v>In Stock</v>
      </c>
      <c r="L152" s="24" t="s">
        <v>1852</v>
      </c>
      <c r="M152" s="34" t="s">
        <v>1853</v>
      </c>
      <c r="N152" s="24" t="n">
        <v>2</v>
      </c>
      <c r="O152" s="24" t="n">
        <v>3</v>
      </c>
      <c r="P152" s="24" t="n">
        <v>3</v>
      </c>
      <c r="Q152" s="24" t="str">
        <f aca="false">$L152&amp;"-"&amp;TEXT($N152,"00")&amp;"-"&amp;$O152&amp;"-"&amp;TEXT($P152,"00")</f>
        <v>C-02-3-03</v>
      </c>
      <c r="R152" s="34" t="str">
        <f aca="false">"ZONE "&amp;$L152&amp;" / BAY "&amp;TEXT($N152,"00")&amp;" / SHELF "&amp;$O152&amp;" / BIN "&amp;TEXT($P152,"00")</f>
        <v>ZONE C / BAY 02 / SHELF 3 / BIN 03</v>
      </c>
      <c r="S152" s="34" t="s">
        <v>1846</v>
      </c>
      <c r="T152" s="34" t="s">
        <v>1844</v>
      </c>
      <c r="U152" s="27" t="n">
        <v>151</v>
      </c>
      <c r="V152" s="30" t="n">
        <v>46227</v>
      </c>
      <c r="W152" s="34" t="str">
        <f aca="false">IF($H152&gt;0,"Yes - "&amp;$H152&amp;" in stock at Store 0146 (size "&amp;$G152&amp;"). Back room location "&amp;$Q152&amp;" ("&amp;$R152&amp;"), "&amp;$S152&amp;". Back room "&amp;$J152&amp;" / sales floor "&amp;$I152&amp;".","Not currently in stock at Store 0146 (size "&amp;$G152&amp;"). Home location is "&amp;$Q152&amp;" ("&amp;$R152&amp;") when replenished.")</f>
        <v>Yes - 1 in stock at Store 0146 (size 7). Back room location C-02-3-03 (ZONE C / BAY 02 / SHELF 3 / BIN 03), Eye level. Back room 0 / sales floor 1.</v>
      </c>
    </row>
    <row r="153" customFormat="false" ht="15" hidden="false" customHeight="false" outlineLevel="0" collapsed="false">
      <c r="A153" s="34" t="s">
        <v>960</v>
      </c>
      <c r="B153" s="34" t="s">
        <v>961</v>
      </c>
      <c r="C153" s="34" t="s">
        <v>467</v>
      </c>
      <c r="D153" s="34" t="s">
        <v>136</v>
      </c>
      <c r="E153" s="34" t="s">
        <v>468</v>
      </c>
      <c r="F153" s="34" t="s">
        <v>470</v>
      </c>
      <c r="G153" s="24" t="s">
        <v>291</v>
      </c>
      <c r="H153" s="27" t="n">
        <f aca="false">IFERROR(INDEX('Inventory Master'!$T$2:$T$525,MATCH($A153,'Inventory Master'!$A$2:$A$525,0)),0)</f>
        <v>0</v>
      </c>
      <c r="I153" s="27" t="n">
        <v>0</v>
      </c>
      <c r="J153" s="27" t="n">
        <f aca="false">MAX(0,$H153-$I153)</f>
        <v>0</v>
      </c>
      <c r="K153" s="34" t="str">
        <f aca="false">IF($H153&gt;0,"In Stock","Out of Stock")</f>
        <v>Out of Stock</v>
      </c>
      <c r="L153" s="24" t="s">
        <v>1852</v>
      </c>
      <c r="M153" s="34" t="s">
        <v>1853</v>
      </c>
      <c r="N153" s="24" t="n">
        <v>2</v>
      </c>
      <c r="O153" s="24" t="n">
        <v>3</v>
      </c>
      <c r="P153" s="24" t="n">
        <v>4</v>
      </c>
      <c r="Q153" s="24" t="str">
        <f aca="false">$L153&amp;"-"&amp;TEXT($N153,"00")&amp;"-"&amp;$O153&amp;"-"&amp;TEXT($P153,"00")</f>
        <v>C-02-3-04</v>
      </c>
      <c r="R153" s="34" t="str">
        <f aca="false">"ZONE "&amp;$L153&amp;" / BAY "&amp;TEXT($N153,"00")&amp;" / SHELF "&amp;$O153&amp;" / BIN "&amp;TEXT($P153,"00")</f>
        <v>ZONE C / BAY 02 / SHELF 3 / BIN 04</v>
      </c>
      <c r="S153" s="34" t="s">
        <v>1846</v>
      </c>
      <c r="T153" s="34" t="s">
        <v>1844</v>
      </c>
      <c r="U153" s="27" t="n">
        <v>152</v>
      </c>
      <c r="V153" s="30" t="n">
        <v>46157</v>
      </c>
      <c r="W153" s="34" t="str">
        <f aca="false">IF($H153&gt;0,"Yes - "&amp;$H153&amp;" in stock at Store 0146 (size "&amp;$G153&amp;"). Back room location "&amp;$Q153&amp;" ("&amp;$R153&amp;"), "&amp;$S153&amp;". Back room "&amp;$J153&amp;" / sales floor "&amp;$I153&amp;".","Not currently in stock at Store 0146 (size "&amp;$G153&amp;"). Home location is "&amp;$Q153&amp;" ("&amp;$R153&amp;") when replenished.")</f>
        <v>Not currently in stock at Store 0146 (size 7.5). Home location is C-02-3-04 (ZONE C / BAY 02 / SHELF 3 / BIN 04) when replenished.</v>
      </c>
    </row>
    <row r="154" customFormat="false" ht="15" hidden="false" customHeight="false" outlineLevel="0" collapsed="false">
      <c r="A154" s="34" t="s">
        <v>906</v>
      </c>
      <c r="B154" s="34" t="s">
        <v>907</v>
      </c>
      <c r="C154" s="34" t="s">
        <v>467</v>
      </c>
      <c r="D154" s="34" t="s">
        <v>136</v>
      </c>
      <c r="E154" s="34" t="s">
        <v>468</v>
      </c>
      <c r="F154" s="34" t="s">
        <v>470</v>
      </c>
      <c r="G154" s="24" t="s">
        <v>356</v>
      </c>
      <c r="H154" s="27" t="n">
        <f aca="false">IFERROR(INDEX('Inventory Master'!$T$2:$T$525,MATCH($A154,'Inventory Master'!$A$2:$A$525,0)),0)</f>
        <v>4</v>
      </c>
      <c r="I154" s="27" t="n">
        <v>1</v>
      </c>
      <c r="J154" s="27" t="n">
        <f aca="false">MAX(0,$H154-$I154)</f>
        <v>3</v>
      </c>
      <c r="K154" s="34" t="str">
        <f aca="false">IF($H154&gt;0,"In Stock","Out of Stock")</f>
        <v>In Stock</v>
      </c>
      <c r="L154" s="24" t="s">
        <v>1852</v>
      </c>
      <c r="M154" s="34" t="s">
        <v>1853</v>
      </c>
      <c r="N154" s="24" t="n">
        <v>2</v>
      </c>
      <c r="O154" s="24" t="n">
        <v>3</v>
      </c>
      <c r="P154" s="24" t="n">
        <v>5</v>
      </c>
      <c r="Q154" s="24" t="str">
        <f aca="false">$L154&amp;"-"&amp;TEXT($N154,"00")&amp;"-"&amp;$O154&amp;"-"&amp;TEXT($P154,"00")</f>
        <v>C-02-3-05</v>
      </c>
      <c r="R154" s="34" t="str">
        <f aca="false">"ZONE "&amp;$L154&amp;" / BAY "&amp;TEXT($N154,"00")&amp;" / SHELF "&amp;$O154&amp;" / BIN "&amp;TEXT($P154,"00")</f>
        <v>ZONE C / BAY 02 / SHELF 3 / BIN 05</v>
      </c>
      <c r="S154" s="34" t="s">
        <v>1846</v>
      </c>
      <c r="T154" s="34" t="s">
        <v>1844</v>
      </c>
      <c r="U154" s="27" t="n">
        <v>153</v>
      </c>
      <c r="V154" s="30" t="n">
        <v>46156</v>
      </c>
      <c r="W154" s="34" t="str">
        <f aca="false">IF($H154&gt;0,"Yes - "&amp;$H154&amp;" in stock at Store 0146 (size "&amp;$G154&amp;"). Back room location "&amp;$Q154&amp;" ("&amp;$R154&amp;"), "&amp;$S154&amp;". Back room "&amp;$J154&amp;" / sales floor "&amp;$I154&amp;".","Not currently in stock at Store 0146 (size "&amp;$G154&amp;"). Home location is "&amp;$Q154&amp;" ("&amp;$R154&amp;") when replenished.")</f>
        <v>Yes - 4 in stock at Store 0146 (size 8). Back room location C-02-3-05 (ZONE C / BAY 02 / SHELF 3 / BIN 05), Eye level. Back room 3 / sales floor 1.</v>
      </c>
    </row>
    <row r="155" customFormat="false" ht="15" hidden="false" customHeight="false" outlineLevel="0" collapsed="false">
      <c r="A155" s="34" t="s">
        <v>531</v>
      </c>
      <c r="B155" s="34" t="s">
        <v>532</v>
      </c>
      <c r="C155" s="34" t="s">
        <v>533</v>
      </c>
      <c r="D155" s="34" t="s">
        <v>136</v>
      </c>
      <c r="E155" s="34" t="s">
        <v>534</v>
      </c>
      <c r="F155" s="34" t="s">
        <v>536</v>
      </c>
      <c r="G155" s="24" t="s">
        <v>538</v>
      </c>
      <c r="H155" s="27" t="n">
        <f aca="false">IFERROR(INDEX('Inventory Master'!$T$2:$T$525,MATCH($A155,'Inventory Master'!$A$2:$A$525,0)),0)</f>
        <v>1</v>
      </c>
      <c r="I155" s="27" t="n">
        <v>1</v>
      </c>
      <c r="J155" s="27" t="n">
        <f aca="false">MAX(0,$H155-$I155)</f>
        <v>0</v>
      </c>
      <c r="K155" s="34" t="str">
        <f aca="false">IF($H155&gt;0,"In Stock","Out of Stock")</f>
        <v>In Stock</v>
      </c>
      <c r="L155" s="24" t="s">
        <v>1852</v>
      </c>
      <c r="M155" s="34" t="s">
        <v>1853</v>
      </c>
      <c r="N155" s="24" t="n">
        <v>2</v>
      </c>
      <c r="O155" s="24" t="n">
        <v>4</v>
      </c>
      <c r="P155" s="24" t="n">
        <v>1</v>
      </c>
      <c r="Q155" s="24" t="str">
        <f aca="false">$L155&amp;"-"&amp;TEXT($N155,"00")&amp;"-"&amp;$O155&amp;"-"&amp;TEXT($P155,"00")</f>
        <v>C-02-4-01</v>
      </c>
      <c r="R155" s="34" t="str">
        <f aca="false">"ZONE "&amp;$L155&amp;" / BAY "&amp;TEXT($N155,"00")&amp;" / SHELF "&amp;$O155&amp;" / BIN "&amp;TEXT($P155,"00")</f>
        <v>ZONE C / BAY 02 / SHELF 4 / BIN 01</v>
      </c>
      <c r="S155" s="34" t="s">
        <v>1847</v>
      </c>
      <c r="T155" s="34" t="s">
        <v>1844</v>
      </c>
      <c r="U155" s="27" t="n">
        <v>154</v>
      </c>
      <c r="V155" s="30" t="n">
        <v>46145</v>
      </c>
      <c r="W155" s="34" t="str">
        <f aca="false">IF($H155&gt;0,"Yes - "&amp;$H155&amp;" in stock at Store 0146 (size "&amp;$G155&amp;"). Back room location "&amp;$Q155&amp;" ("&amp;$R155&amp;"), "&amp;$S155&amp;". Back room "&amp;$J155&amp;" / sales floor "&amp;$I155&amp;".","Not currently in stock at Store 0146 (size "&amp;$G155&amp;"). Home location is "&amp;$Q155&amp;" ("&amp;$R155&amp;") when replenished.")</f>
        <v>Yes - 1 in stock at Store 0146 (size 6). Back room location C-02-4-01 (ZONE C / BAY 02 / SHELF 4 / BIN 01), Overhead - step stool. Back room 0 / sales floor 1.</v>
      </c>
    </row>
    <row r="156" customFormat="false" ht="15" hidden="false" customHeight="false" outlineLevel="0" collapsed="false">
      <c r="A156" s="34" t="s">
        <v>1273</v>
      </c>
      <c r="B156" s="34" t="s">
        <v>1274</v>
      </c>
      <c r="C156" s="34" t="s">
        <v>533</v>
      </c>
      <c r="D156" s="34" t="s">
        <v>136</v>
      </c>
      <c r="E156" s="34" t="s">
        <v>534</v>
      </c>
      <c r="F156" s="34" t="s">
        <v>536</v>
      </c>
      <c r="G156" s="24" t="s">
        <v>308</v>
      </c>
      <c r="H156" s="27" t="n">
        <f aca="false">IFERROR(INDEX('Inventory Master'!$T$2:$T$525,MATCH($A156,'Inventory Master'!$A$2:$A$525,0)),0)</f>
        <v>4</v>
      </c>
      <c r="I156" s="27" t="n">
        <v>1</v>
      </c>
      <c r="J156" s="27" t="n">
        <f aca="false">MAX(0,$H156-$I156)</f>
        <v>3</v>
      </c>
      <c r="K156" s="34" t="str">
        <f aca="false">IF($H156&gt;0,"In Stock","Out of Stock")</f>
        <v>In Stock</v>
      </c>
      <c r="L156" s="24" t="s">
        <v>1852</v>
      </c>
      <c r="M156" s="34" t="s">
        <v>1853</v>
      </c>
      <c r="N156" s="24" t="n">
        <v>2</v>
      </c>
      <c r="O156" s="24" t="n">
        <v>4</v>
      </c>
      <c r="P156" s="24" t="n">
        <v>2</v>
      </c>
      <c r="Q156" s="24" t="str">
        <f aca="false">$L156&amp;"-"&amp;TEXT($N156,"00")&amp;"-"&amp;$O156&amp;"-"&amp;TEXT($P156,"00")</f>
        <v>C-02-4-02</v>
      </c>
      <c r="R156" s="34" t="str">
        <f aca="false">"ZONE "&amp;$L156&amp;" / BAY "&amp;TEXT($N156,"00")&amp;" / SHELF "&amp;$O156&amp;" / BIN "&amp;TEXT($P156,"00")</f>
        <v>ZONE C / BAY 02 / SHELF 4 / BIN 02</v>
      </c>
      <c r="S156" s="34" t="s">
        <v>1847</v>
      </c>
      <c r="T156" s="34" t="s">
        <v>1844</v>
      </c>
      <c r="U156" s="27" t="n">
        <v>155</v>
      </c>
      <c r="V156" s="30" t="n">
        <v>46222</v>
      </c>
      <c r="W156" s="34" t="str">
        <f aca="false">IF($H156&gt;0,"Yes - "&amp;$H156&amp;" in stock at Store 0146 (size "&amp;$G156&amp;"). Back room location "&amp;$Q156&amp;" ("&amp;$R156&amp;"), "&amp;$S156&amp;". Back room "&amp;$J156&amp;" / sales floor "&amp;$I156&amp;".","Not currently in stock at Store 0146 (size "&amp;$G156&amp;"). Home location is "&amp;$Q156&amp;" ("&amp;$R156&amp;") when replenished.")</f>
        <v>Yes - 4 in stock at Store 0146 (size 6.5). Back room location C-02-4-02 (ZONE C / BAY 02 / SHELF 4 / BIN 02), Overhead - step stool. Back room 3 / sales floor 1.</v>
      </c>
    </row>
    <row r="157" customFormat="false" ht="15" hidden="false" customHeight="false" outlineLevel="0" collapsed="false">
      <c r="A157" s="34" t="s">
        <v>1757</v>
      </c>
      <c r="B157" s="34" t="s">
        <v>1758</v>
      </c>
      <c r="C157" s="34" t="s">
        <v>533</v>
      </c>
      <c r="D157" s="34" t="s">
        <v>136</v>
      </c>
      <c r="E157" s="34" t="s">
        <v>534</v>
      </c>
      <c r="F157" s="34" t="s">
        <v>536</v>
      </c>
      <c r="G157" s="24" t="s">
        <v>338</v>
      </c>
      <c r="H157" s="27" t="n">
        <f aca="false">IFERROR(INDEX('Inventory Master'!$T$2:$T$525,MATCH($A157,'Inventory Master'!$A$2:$A$525,0)),0)</f>
        <v>3</v>
      </c>
      <c r="I157" s="27" t="n">
        <v>1</v>
      </c>
      <c r="J157" s="27" t="n">
        <f aca="false">MAX(0,$H157-$I157)</f>
        <v>2</v>
      </c>
      <c r="K157" s="34" t="str">
        <f aca="false">IF($H157&gt;0,"In Stock","Out of Stock")</f>
        <v>In Stock</v>
      </c>
      <c r="L157" s="24" t="s">
        <v>1852</v>
      </c>
      <c r="M157" s="34" t="s">
        <v>1853</v>
      </c>
      <c r="N157" s="24" t="n">
        <v>2</v>
      </c>
      <c r="O157" s="24" t="n">
        <v>4</v>
      </c>
      <c r="P157" s="24" t="n">
        <v>3</v>
      </c>
      <c r="Q157" s="24" t="str">
        <f aca="false">$L157&amp;"-"&amp;TEXT($N157,"00")&amp;"-"&amp;$O157&amp;"-"&amp;TEXT($P157,"00")</f>
        <v>C-02-4-03</v>
      </c>
      <c r="R157" s="34" t="str">
        <f aca="false">"ZONE "&amp;$L157&amp;" / BAY "&amp;TEXT($N157,"00")&amp;" / SHELF "&amp;$O157&amp;" / BIN "&amp;TEXT($P157,"00")</f>
        <v>ZONE C / BAY 02 / SHELF 4 / BIN 03</v>
      </c>
      <c r="S157" s="34" t="s">
        <v>1847</v>
      </c>
      <c r="T157" s="34" t="s">
        <v>1844</v>
      </c>
      <c r="U157" s="27" t="n">
        <v>156</v>
      </c>
      <c r="V157" s="30" t="n">
        <v>46218</v>
      </c>
      <c r="W157" s="34" t="str">
        <f aca="false">IF($H157&gt;0,"Yes - "&amp;$H157&amp;" in stock at Store 0146 (size "&amp;$G157&amp;"). Back room location "&amp;$Q157&amp;" ("&amp;$R157&amp;"), "&amp;$S157&amp;". Back room "&amp;$J157&amp;" / sales floor "&amp;$I157&amp;".","Not currently in stock at Store 0146 (size "&amp;$G157&amp;"). Home location is "&amp;$Q157&amp;" ("&amp;$R157&amp;") when replenished.")</f>
        <v>Yes - 3 in stock at Store 0146 (size 7). Back room location C-02-4-03 (ZONE C / BAY 02 / SHELF 4 / BIN 03), Overhead - step stool. Back room 2 / sales floor 1.</v>
      </c>
    </row>
    <row r="158" customFormat="false" ht="15" hidden="false" customHeight="false" outlineLevel="0" collapsed="false">
      <c r="A158" s="34" t="s">
        <v>1324</v>
      </c>
      <c r="B158" s="34" t="s">
        <v>1325</v>
      </c>
      <c r="C158" s="34" t="s">
        <v>533</v>
      </c>
      <c r="D158" s="34" t="s">
        <v>136</v>
      </c>
      <c r="E158" s="34" t="s">
        <v>534</v>
      </c>
      <c r="F158" s="34" t="s">
        <v>536</v>
      </c>
      <c r="G158" s="24" t="s">
        <v>291</v>
      </c>
      <c r="H158" s="27" t="n">
        <f aca="false">IFERROR(INDEX('Inventory Master'!$T$2:$T$525,MATCH($A158,'Inventory Master'!$A$2:$A$525,0)),0)</f>
        <v>5</v>
      </c>
      <c r="I158" s="27" t="n">
        <v>1</v>
      </c>
      <c r="J158" s="27" t="n">
        <f aca="false">MAX(0,$H158-$I158)</f>
        <v>4</v>
      </c>
      <c r="K158" s="34" t="str">
        <f aca="false">IF($H158&gt;0,"In Stock","Out of Stock")</f>
        <v>In Stock</v>
      </c>
      <c r="L158" s="24" t="s">
        <v>1852</v>
      </c>
      <c r="M158" s="34" t="s">
        <v>1853</v>
      </c>
      <c r="N158" s="24" t="n">
        <v>2</v>
      </c>
      <c r="O158" s="24" t="n">
        <v>4</v>
      </c>
      <c r="P158" s="24" t="n">
        <v>4</v>
      </c>
      <c r="Q158" s="24" t="str">
        <f aca="false">$L158&amp;"-"&amp;TEXT($N158,"00")&amp;"-"&amp;$O158&amp;"-"&amp;TEXT($P158,"00")</f>
        <v>C-02-4-04</v>
      </c>
      <c r="R158" s="34" t="str">
        <f aca="false">"ZONE "&amp;$L158&amp;" / BAY "&amp;TEXT($N158,"00")&amp;" / SHELF "&amp;$O158&amp;" / BIN "&amp;TEXT($P158,"00")</f>
        <v>ZONE C / BAY 02 / SHELF 4 / BIN 04</v>
      </c>
      <c r="S158" s="34" t="s">
        <v>1847</v>
      </c>
      <c r="T158" s="34" t="s">
        <v>1844</v>
      </c>
      <c r="U158" s="27" t="n">
        <v>157</v>
      </c>
      <c r="V158" s="30" t="n">
        <v>46219</v>
      </c>
      <c r="W158" s="34" t="str">
        <f aca="false">IF($H158&gt;0,"Yes - "&amp;$H158&amp;" in stock at Store 0146 (size "&amp;$G158&amp;"). Back room location "&amp;$Q158&amp;" ("&amp;$R158&amp;"), "&amp;$S158&amp;". Back room "&amp;$J158&amp;" / sales floor "&amp;$I158&amp;".","Not currently in stock at Store 0146 (size "&amp;$G158&amp;"). Home location is "&amp;$Q158&amp;" ("&amp;$R158&amp;") when replenished.")</f>
        <v>Yes - 5 in stock at Store 0146 (size 7.5). Back room location C-02-4-04 (ZONE C / BAY 02 / SHELF 4 / BIN 04), Overhead - step stool. Back room 4 / sales floor 1.</v>
      </c>
    </row>
    <row r="159" customFormat="false" ht="15" hidden="false" customHeight="false" outlineLevel="0" collapsed="false">
      <c r="A159" s="34" t="s">
        <v>735</v>
      </c>
      <c r="B159" s="34" t="s">
        <v>736</v>
      </c>
      <c r="C159" s="34" t="s">
        <v>737</v>
      </c>
      <c r="D159" s="34" t="s">
        <v>123</v>
      </c>
      <c r="E159" s="34" t="s">
        <v>420</v>
      </c>
      <c r="F159" s="34" t="s">
        <v>739</v>
      </c>
      <c r="G159" s="24" t="s">
        <v>308</v>
      </c>
      <c r="H159" s="27" t="n">
        <f aca="false">IFERROR(INDEX('Inventory Master'!$T$2:$T$525,MATCH($A159,'Inventory Master'!$A$2:$A$525,0)),0)</f>
        <v>0</v>
      </c>
      <c r="I159" s="27" t="n">
        <v>0</v>
      </c>
      <c r="J159" s="27" t="n">
        <f aca="false">MAX(0,$H159-$I159)</f>
        <v>0</v>
      </c>
      <c r="K159" s="34" t="str">
        <f aca="false">IF($H159&gt;0,"In Stock","Out of Stock")</f>
        <v>Out of Stock</v>
      </c>
      <c r="L159" s="24" t="s">
        <v>1852</v>
      </c>
      <c r="M159" s="34" t="s">
        <v>1853</v>
      </c>
      <c r="N159" s="24" t="n">
        <v>2</v>
      </c>
      <c r="O159" s="24" t="n">
        <v>5</v>
      </c>
      <c r="P159" s="24" t="n">
        <v>1</v>
      </c>
      <c r="Q159" s="24" t="str">
        <f aca="false">$L159&amp;"-"&amp;TEXT($N159,"00")&amp;"-"&amp;$O159&amp;"-"&amp;TEXT($P159,"00")</f>
        <v>C-02-5-01</v>
      </c>
      <c r="R159" s="34" t="str">
        <f aca="false">"ZONE "&amp;$L159&amp;" / BAY "&amp;TEXT($N159,"00")&amp;" / SHELF "&amp;$O159&amp;" / BIN "&amp;TEXT($P159,"00")</f>
        <v>ZONE C / BAY 02 / SHELF 5 / BIN 01</v>
      </c>
      <c r="S159" s="34" t="s">
        <v>1848</v>
      </c>
      <c r="T159" s="34" t="s">
        <v>1844</v>
      </c>
      <c r="U159" s="27" t="n">
        <v>158</v>
      </c>
      <c r="V159" s="30" t="n">
        <v>46142</v>
      </c>
      <c r="W159" s="34" t="str">
        <f aca="false">IF($H159&gt;0,"Yes - "&amp;$H159&amp;" in stock at Store 0146 (size "&amp;$G159&amp;"). Back room location "&amp;$Q159&amp;" ("&amp;$R159&amp;"), "&amp;$S159&amp;". Back room "&amp;$J159&amp;" / sales floor "&amp;$I159&amp;".","Not currently in stock at Store 0146 (size "&amp;$G159&amp;"). Home location is "&amp;$Q159&amp;" ("&amp;$R159&amp;") when replenished.")</f>
        <v>Not currently in stock at Store 0146 (size 6.5). Home location is C-02-5-01 (ZONE C / BAY 02 / SHELF 5 / BIN 01) when replenished.</v>
      </c>
    </row>
    <row r="160" customFormat="false" ht="15" hidden="false" customHeight="false" outlineLevel="0" collapsed="false">
      <c r="A160" s="34" t="s">
        <v>1126</v>
      </c>
      <c r="B160" s="34" t="s">
        <v>1127</v>
      </c>
      <c r="C160" s="34" t="s">
        <v>737</v>
      </c>
      <c r="D160" s="34" t="s">
        <v>123</v>
      </c>
      <c r="E160" s="34" t="s">
        <v>420</v>
      </c>
      <c r="F160" s="34" t="s">
        <v>739</v>
      </c>
      <c r="G160" s="24" t="s">
        <v>338</v>
      </c>
      <c r="H160" s="27" t="n">
        <f aca="false">IFERROR(INDEX('Inventory Master'!$T$2:$T$525,MATCH($A160,'Inventory Master'!$A$2:$A$525,0)),0)</f>
        <v>5</v>
      </c>
      <c r="I160" s="27" t="n">
        <v>1</v>
      </c>
      <c r="J160" s="27" t="n">
        <f aca="false">MAX(0,$H160-$I160)</f>
        <v>4</v>
      </c>
      <c r="K160" s="34" t="str">
        <f aca="false">IF($H160&gt;0,"In Stock","Out of Stock")</f>
        <v>In Stock</v>
      </c>
      <c r="L160" s="24" t="s">
        <v>1852</v>
      </c>
      <c r="M160" s="34" t="s">
        <v>1853</v>
      </c>
      <c r="N160" s="24" t="n">
        <v>2</v>
      </c>
      <c r="O160" s="24" t="n">
        <v>5</v>
      </c>
      <c r="P160" s="24" t="n">
        <v>2</v>
      </c>
      <c r="Q160" s="24" t="str">
        <f aca="false">$L160&amp;"-"&amp;TEXT($N160,"00")&amp;"-"&amp;$O160&amp;"-"&amp;TEXT($P160,"00")</f>
        <v>C-02-5-02</v>
      </c>
      <c r="R160" s="34" t="str">
        <f aca="false">"ZONE "&amp;$L160&amp;" / BAY "&amp;TEXT($N160,"00")&amp;" / SHELF "&amp;$O160&amp;" / BIN "&amp;TEXT($P160,"00")</f>
        <v>ZONE C / BAY 02 / SHELF 5 / BIN 02</v>
      </c>
      <c r="S160" s="34" t="s">
        <v>1848</v>
      </c>
      <c r="T160" s="34" t="s">
        <v>1844</v>
      </c>
      <c r="U160" s="27" t="n">
        <v>159</v>
      </c>
      <c r="V160" s="30" t="n">
        <v>46152</v>
      </c>
      <c r="W160" s="34" t="str">
        <f aca="false">IF($H160&gt;0,"Yes - "&amp;$H160&amp;" in stock at Store 0146 (size "&amp;$G160&amp;"). Back room location "&amp;$Q160&amp;" ("&amp;$R160&amp;"), "&amp;$S160&amp;". Back room "&amp;$J160&amp;" / sales floor "&amp;$I160&amp;".","Not currently in stock at Store 0146 (size "&amp;$G160&amp;"). Home location is "&amp;$Q160&amp;" ("&amp;$R160&amp;") when replenished.")</f>
        <v>Yes - 5 in stock at Store 0146 (size 7). Back room location C-02-5-02 (ZONE C / BAY 02 / SHELF 5 / BIN 02), Top shelf - ladder required. Back room 4 / sales floor 1.</v>
      </c>
    </row>
    <row r="161" customFormat="false" ht="15" hidden="false" customHeight="false" outlineLevel="0" collapsed="false">
      <c r="A161" s="34" t="s">
        <v>1251</v>
      </c>
      <c r="B161" s="34" t="s">
        <v>1252</v>
      </c>
      <c r="C161" s="34" t="s">
        <v>737</v>
      </c>
      <c r="D161" s="34" t="s">
        <v>123</v>
      </c>
      <c r="E161" s="34" t="s">
        <v>420</v>
      </c>
      <c r="F161" s="34" t="s">
        <v>739</v>
      </c>
      <c r="G161" s="24" t="s">
        <v>291</v>
      </c>
      <c r="H161" s="27" t="n">
        <f aca="false">IFERROR(INDEX('Inventory Master'!$T$2:$T$525,MATCH($A161,'Inventory Master'!$A$2:$A$525,0)),0)</f>
        <v>3</v>
      </c>
      <c r="I161" s="27" t="n">
        <v>1</v>
      </c>
      <c r="J161" s="27" t="n">
        <f aca="false">MAX(0,$H161-$I161)</f>
        <v>2</v>
      </c>
      <c r="K161" s="34" t="str">
        <f aca="false">IF($H161&gt;0,"In Stock","Out of Stock")</f>
        <v>In Stock</v>
      </c>
      <c r="L161" s="24" t="s">
        <v>1852</v>
      </c>
      <c r="M161" s="34" t="s">
        <v>1853</v>
      </c>
      <c r="N161" s="24" t="n">
        <v>2</v>
      </c>
      <c r="O161" s="24" t="n">
        <v>5</v>
      </c>
      <c r="P161" s="24" t="n">
        <v>3</v>
      </c>
      <c r="Q161" s="24" t="str">
        <f aca="false">$L161&amp;"-"&amp;TEXT($N161,"00")&amp;"-"&amp;$O161&amp;"-"&amp;TEXT($P161,"00")</f>
        <v>C-02-5-03</v>
      </c>
      <c r="R161" s="34" t="str">
        <f aca="false">"ZONE "&amp;$L161&amp;" / BAY "&amp;TEXT($N161,"00")&amp;" / SHELF "&amp;$O161&amp;" / BIN "&amp;TEXT($P161,"00")</f>
        <v>ZONE C / BAY 02 / SHELF 5 / BIN 03</v>
      </c>
      <c r="S161" s="34" t="s">
        <v>1848</v>
      </c>
      <c r="T161" s="34" t="s">
        <v>1844</v>
      </c>
      <c r="U161" s="27" t="n">
        <v>160</v>
      </c>
      <c r="V161" s="30" t="n">
        <v>46172</v>
      </c>
      <c r="W161" s="34" t="str">
        <f aca="false">IF($H161&gt;0,"Yes - "&amp;$H161&amp;" in stock at Store 0146 (size "&amp;$G161&amp;"). Back room location "&amp;$Q161&amp;" ("&amp;$R161&amp;"), "&amp;$S161&amp;". Back room "&amp;$J161&amp;" / sales floor "&amp;$I161&amp;".","Not currently in stock at Store 0146 (size "&amp;$G161&amp;"). Home location is "&amp;$Q161&amp;" ("&amp;$R161&amp;") when replenished.")</f>
        <v>Yes - 3 in stock at Store 0146 (size 7.5). Back room location C-02-5-03 (ZONE C / BAY 02 / SHELF 5 / BIN 03), Top shelf - ladder required. Back room 2 / sales floor 1.</v>
      </c>
    </row>
    <row r="162" customFormat="false" ht="15" hidden="false" customHeight="false" outlineLevel="0" collapsed="false">
      <c r="A162" s="34" t="s">
        <v>1649</v>
      </c>
      <c r="B162" s="34" t="s">
        <v>1650</v>
      </c>
      <c r="C162" s="34" t="s">
        <v>737</v>
      </c>
      <c r="D162" s="34" t="s">
        <v>123</v>
      </c>
      <c r="E162" s="34" t="s">
        <v>420</v>
      </c>
      <c r="F162" s="34" t="s">
        <v>739</v>
      </c>
      <c r="G162" s="24" t="s">
        <v>356</v>
      </c>
      <c r="H162" s="27" t="n">
        <f aca="false">IFERROR(INDEX('Inventory Master'!$T$2:$T$525,MATCH($A162,'Inventory Master'!$A$2:$A$525,0)),0)</f>
        <v>3</v>
      </c>
      <c r="I162" s="27" t="n">
        <v>1</v>
      </c>
      <c r="J162" s="27" t="n">
        <f aca="false">MAX(0,$H162-$I162)</f>
        <v>2</v>
      </c>
      <c r="K162" s="34" t="str">
        <f aca="false">IF($H162&gt;0,"In Stock","Out of Stock")</f>
        <v>In Stock</v>
      </c>
      <c r="L162" s="24" t="s">
        <v>1852</v>
      </c>
      <c r="M162" s="34" t="s">
        <v>1853</v>
      </c>
      <c r="N162" s="24" t="n">
        <v>2</v>
      </c>
      <c r="O162" s="24" t="n">
        <v>5</v>
      </c>
      <c r="P162" s="24" t="n">
        <v>4</v>
      </c>
      <c r="Q162" s="24" t="str">
        <f aca="false">$L162&amp;"-"&amp;TEXT($N162,"00")&amp;"-"&amp;$O162&amp;"-"&amp;TEXT($P162,"00")</f>
        <v>C-02-5-04</v>
      </c>
      <c r="R162" s="34" t="str">
        <f aca="false">"ZONE "&amp;$L162&amp;" / BAY "&amp;TEXT($N162,"00")&amp;" / SHELF "&amp;$O162&amp;" / BIN "&amp;TEXT($P162,"00")</f>
        <v>ZONE C / BAY 02 / SHELF 5 / BIN 04</v>
      </c>
      <c r="S162" s="34" t="s">
        <v>1848</v>
      </c>
      <c r="T162" s="34" t="s">
        <v>1844</v>
      </c>
      <c r="U162" s="27" t="n">
        <v>161</v>
      </c>
      <c r="V162" s="30" t="n">
        <v>46160</v>
      </c>
      <c r="W162" s="34" t="str">
        <f aca="false">IF($H162&gt;0,"Yes - "&amp;$H162&amp;" in stock at Store 0146 (size "&amp;$G162&amp;"). Back room location "&amp;$Q162&amp;" ("&amp;$R162&amp;"), "&amp;$S162&amp;". Back room "&amp;$J162&amp;" / sales floor "&amp;$I162&amp;".","Not currently in stock at Store 0146 (size "&amp;$G162&amp;"). Home location is "&amp;$Q162&amp;" ("&amp;$R162&amp;") when replenished.")</f>
        <v>Yes - 3 in stock at Store 0146 (size 8). Back room location C-02-5-04 (ZONE C / BAY 02 / SHELF 5 / BIN 04), Top shelf - ladder required. Back room 2 / sales floor 1.</v>
      </c>
    </row>
    <row r="163" customFormat="false" ht="15" hidden="false" customHeight="false" outlineLevel="0" collapsed="false">
      <c r="A163" s="34" t="s">
        <v>1057</v>
      </c>
      <c r="B163" s="34" t="s">
        <v>1058</v>
      </c>
      <c r="C163" s="34" t="s">
        <v>737</v>
      </c>
      <c r="D163" s="34" t="s">
        <v>123</v>
      </c>
      <c r="E163" s="34" t="s">
        <v>420</v>
      </c>
      <c r="F163" s="34" t="s">
        <v>739</v>
      </c>
      <c r="G163" s="24" t="s">
        <v>188</v>
      </c>
      <c r="H163" s="27" t="n">
        <f aca="false">IFERROR(INDEX('Inventory Master'!$T$2:$T$525,MATCH($A163,'Inventory Master'!$A$2:$A$525,0)),0)</f>
        <v>3</v>
      </c>
      <c r="I163" s="27" t="n">
        <v>2</v>
      </c>
      <c r="J163" s="27" t="n">
        <f aca="false">MAX(0,$H163-$I163)</f>
        <v>1</v>
      </c>
      <c r="K163" s="34" t="str">
        <f aca="false">IF($H163&gt;0,"In Stock","Out of Stock")</f>
        <v>In Stock</v>
      </c>
      <c r="L163" s="24" t="s">
        <v>1852</v>
      </c>
      <c r="M163" s="34" t="s">
        <v>1853</v>
      </c>
      <c r="N163" s="24" t="n">
        <v>2</v>
      </c>
      <c r="O163" s="24" t="n">
        <v>5</v>
      </c>
      <c r="P163" s="24" t="n">
        <v>5</v>
      </c>
      <c r="Q163" s="24" t="str">
        <f aca="false">$L163&amp;"-"&amp;TEXT($N163,"00")&amp;"-"&amp;$O163&amp;"-"&amp;TEXT($P163,"00")</f>
        <v>C-02-5-05</v>
      </c>
      <c r="R163" s="34" t="str">
        <f aca="false">"ZONE "&amp;$L163&amp;" / BAY "&amp;TEXT($N163,"00")&amp;" / SHELF "&amp;$O163&amp;" / BIN "&amp;TEXT($P163,"00")</f>
        <v>ZONE C / BAY 02 / SHELF 5 / BIN 05</v>
      </c>
      <c r="S163" s="34" t="s">
        <v>1848</v>
      </c>
      <c r="T163" s="34" t="s">
        <v>1844</v>
      </c>
      <c r="U163" s="27" t="n">
        <v>162</v>
      </c>
      <c r="V163" s="30" t="n">
        <v>46181</v>
      </c>
      <c r="W163" s="34" t="str">
        <f aca="false">IF($H163&gt;0,"Yes - "&amp;$H163&amp;" in stock at Store 0146 (size "&amp;$G163&amp;"). Back room location "&amp;$Q163&amp;" ("&amp;$R163&amp;"), "&amp;$S163&amp;". Back room "&amp;$J163&amp;" / sales floor "&amp;$I163&amp;".","Not currently in stock at Store 0146 (size "&amp;$G163&amp;"). Home location is "&amp;$Q163&amp;" ("&amp;$R163&amp;") when replenished.")</f>
        <v>Yes - 3 in stock at Store 0146 (size 8.5). Back room location C-02-5-05 (ZONE C / BAY 02 / SHELF 5 / BIN 05), Top shelf - ladder required. Back room 1 / sales floor 2.</v>
      </c>
    </row>
    <row r="164" customFormat="false" ht="15" hidden="false" customHeight="false" outlineLevel="0" collapsed="false">
      <c r="A164" s="34" t="s">
        <v>1791</v>
      </c>
      <c r="B164" s="34" t="s">
        <v>1792</v>
      </c>
      <c r="C164" s="34" t="s">
        <v>853</v>
      </c>
      <c r="D164" s="34" t="s">
        <v>123</v>
      </c>
      <c r="E164" s="34" t="s">
        <v>854</v>
      </c>
      <c r="F164" s="34" t="s">
        <v>856</v>
      </c>
      <c r="G164" s="24" t="s">
        <v>291</v>
      </c>
      <c r="H164" s="27" t="n">
        <f aca="false">IFERROR(INDEX('Inventory Master'!$T$2:$T$525,MATCH($A164,'Inventory Master'!$A$2:$A$525,0)),0)</f>
        <v>4</v>
      </c>
      <c r="I164" s="27" t="n">
        <v>2</v>
      </c>
      <c r="J164" s="27" t="n">
        <f aca="false">MAX(0,$H164-$I164)</f>
        <v>2</v>
      </c>
      <c r="K164" s="34" t="str">
        <f aca="false">IF($H164&gt;0,"In Stock","Out of Stock")</f>
        <v>In Stock</v>
      </c>
      <c r="L164" s="24" t="s">
        <v>1852</v>
      </c>
      <c r="M164" s="34" t="s">
        <v>1853</v>
      </c>
      <c r="N164" s="24" t="n">
        <v>3</v>
      </c>
      <c r="O164" s="24" t="n">
        <v>1</v>
      </c>
      <c r="P164" s="24" t="n">
        <v>1</v>
      </c>
      <c r="Q164" s="24" t="str">
        <f aca="false">$L164&amp;"-"&amp;TEXT($N164,"00")&amp;"-"&amp;$O164&amp;"-"&amp;TEXT($P164,"00")</f>
        <v>C-03-1-01</v>
      </c>
      <c r="R164" s="34" t="str">
        <f aca="false">"ZONE "&amp;$L164&amp;" / BAY "&amp;TEXT($N164,"00")&amp;" / SHELF "&amp;$O164&amp;" / BIN "&amp;TEXT($P164,"00")</f>
        <v>ZONE C / BAY 03 / SHELF 1 / BIN 01</v>
      </c>
      <c r="S164" s="34" t="s">
        <v>1843</v>
      </c>
      <c r="T164" s="34" t="s">
        <v>1844</v>
      </c>
      <c r="U164" s="27" t="n">
        <v>163</v>
      </c>
      <c r="V164" s="30" t="n">
        <v>46159</v>
      </c>
      <c r="W164" s="34" t="str">
        <f aca="false">IF($H164&gt;0,"Yes - "&amp;$H164&amp;" in stock at Store 0146 (size "&amp;$G164&amp;"). Back room location "&amp;$Q164&amp;" ("&amp;$R164&amp;"), "&amp;$S164&amp;". Back room "&amp;$J164&amp;" / sales floor "&amp;$I164&amp;".","Not currently in stock at Store 0146 (size "&amp;$G164&amp;"). Home location is "&amp;$Q164&amp;" ("&amp;$R164&amp;") when replenished.")</f>
        <v>Yes - 4 in stock at Store 0146 (size 7.5). Back room location C-03-1-01 (ZONE C / BAY 03 / SHELF 1 / BIN 01), Floor level - no reach. Back room 2 / sales floor 2.</v>
      </c>
    </row>
    <row r="165" customFormat="false" ht="15" hidden="false" customHeight="false" outlineLevel="0" collapsed="false">
      <c r="A165" s="34" t="s">
        <v>851</v>
      </c>
      <c r="B165" s="34" t="s">
        <v>852</v>
      </c>
      <c r="C165" s="34" t="s">
        <v>853</v>
      </c>
      <c r="D165" s="34" t="s">
        <v>123</v>
      </c>
      <c r="E165" s="34" t="s">
        <v>854</v>
      </c>
      <c r="F165" s="34" t="s">
        <v>856</v>
      </c>
      <c r="G165" s="24" t="s">
        <v>356</v>
      </c>
      <c r="H165" s="27" t="n">
        <f aca="false">IFERROR(INDEX('Inventory Master'!$T$2:$T$525,MATCH($A165,'Inventory Master'!$A$2:$A$525,0)),0)</f>
        <v>1</v>
      </c>
      <c r="I165" s="27" t="n">
        <v>1</v>
      </c>
      <c r="J165" s="27" t="n">
        <f aca="false">MAX(0,$H165-$I165)</f>
        <v>0</v>
      </c>
      <c r="K165" s="34" t="str">
        <f aca="false">IF($H165&gt;0,"In Stock","Out of Stock")</f>
        <v>In Stock</v>
      </c>
      <c r="L165" s="24" t="s">
        <v>1852</v>
      </c>
      <c r="M165" s="34" t="s">
        <v>1853</v>
      </c>
      <c r="N165" s="24" t="n">
        <v>3</v>
      </c>
      <c r="O165" s="24" t="n">
        <v>1</v>
      </c>
      <c r="P165" s="24" t="n">
        <v>2</v>
      </c>
      <c r="Q165" s="24" t="str">
        <f aca="false">$L165&amp;"-"&amp;TEXT($N165,"00")&amp;"-"&amp;$O165&amp;"-"&amp;TEXT($P165,"00")</f>
        <v>C-03-1-02</v>
      </c>
      <c r="R165" s="34" t="str">
        <f aca="false">"ZONE "&amp;$L165&amp;" / BAY "&amp;TEXT($N165,"00")&amp;" / SHELF "&amp;$O165&amp;" / BIN "&amp;TEXT($P165,"00")</f>
        <v>ZONE C / BAY 03 / SHELF 1 / BIN 02</v>
      </c>
      <c r="S165" s="34" t="s">
        <v>1843</v>
      </c>
      <c r="T165" s="34" t="s">
        <v>1844</v>
      </c>
      <c r="U165" s="27" t="n">
        <v>164</v>
      </c>
      <c r="V165" s="30" t="n">
        <v>46154</v>
      </c>
      <c r="W165" s="34" t="str">
        <f aca="false">IF($H165&gt;0,"Yes - "&amp;$H165&amp;" in stock at Store 0146 (size "&amp;$G165&amp;"). Back room location "&amp;$Q165&amp;" ("&amp;$R165&amp;"), "&amp;$S165&amp;". Back room "&amp;$J165&amp;" / sales floor "&amp;$I165&amp;".","Not currently in stock at Store 0146 (size "&amp;$G165&amp;"). Home location is "&amp;$Q165&amp;" ("&amp;$R165&amp;") when replenished.")</f>
        <v>Yes - 1 in stock at Store 0146 (size 8). Back room location C-03-1-02 (ZONE C / BAY 03 / SHELF 1 / BIN 02), Floor level - no reach. Back room 0 / sales floor 1.</v>
      </c>
    </row>
    <row r="166" customFormat="false" ht="15" hidden="false" customHeight="false" outlineLevel="0" collapsed="false">
      <c r="A166" s="34" t="s">
        <v>1426</v>
      </c>
      <c r="B166" s="34" t="s">
        <v>1427</v>
      </c>
      <c r="C166" s="34" t="s">
        <v>853</v>
      </c>
      <c r="D166" s="34" t="s">
        <v>123</v>
      </c>
      <c r="E166" s="34" t="s">
        <v>854</v>
      </c>
      <c r="F166" s="34" t="s">
        <v>856</v>
      </c>
      <c r="G166" s="24" t="s">
        <v>188</v>
      </c>
      <c r="H166" s="27" t="n">
        <f aca="false">IFERROR(INDEX('Inventory Master'!$T$2:$T$525,MATCH($A166,'Inventory Master'!$A$2:$A$525,0)),0)</f>
        <v>3</v>
      </c>
      <c r="I166" s="27" t="n">
        <v>1</v>
      </c>
      <c r="J166" s="27" t="n">
        <f aca="false">MAX(0,$H166-$I166)</f>
        <v>2</v>
      </c>
      <c r="K166" s="34" t="str">
        <f aca="false">IF($H166&gt;0,"In Stock","Out of Stock")</f>
        <v>In Stock</v>
      </c>
      <c r="L166" s="24" t="s">
        <v>1852</v>
      </c>
      <c r="M166" s="34" t="s">
        <v>1853</v>
      </c>
      <c r="N166" s="24" t="n">
        <v>3</v>
      </c>
      <c r="O166" s="24" t="n">
        <v>1</v>
      </c>
      <c r="P166" s="24" t="n">
        <v>3</v>
      </c>
      <c r="Q166" s="24" t="str">
        <f aca="false">$L166&amp;"-"&amp;TEXT($N166,"00")&amp;"-"&amp;$O166&amp;"-"&amp;TEXT($P166,"00")</f>
        <v>C-03-1-03</v>
      </c>
      <c r="R166" s="34" t="str">
        <f aca="false">"ZONE "&amp;$L166&amp;" / BAY "&amp;TEXT($N166,"00")&amp;" / SHELF "&amp;$O166&amp;" / BIN "&amp;TEXT($P166,"00")</f>
        <v>ZONE C / BAY 03 / SHELF 1 / BIN 03</v>
      </c>
      <c r="S166" s="34" t="s">
        <v>1843</v>
      </c>
      <c r="T166" s="34" t="s">
        <v>1844</v>
      </c>
      <c r="U166" s="27" t="n">
        <v>165</v>
      </c>
      <c r="V166" s="30" t="n">
        <v>46158</v>
      </c>
      <c r="W166" s="34" t="str">
        <f aca="false">IF($H166&gt;0,"Yes - "&amp;$H166&amp;" in stock at Store 0146 (size "&amp;$G166&amp;"). Back room location "&amp;$Q166&amp;" ("&amp;$R166&amp;"), "&amp;$S166&amp;". Back room "&amp;$J166&amp;" / sales floor "&amp;$I166&amp;".","Not currently in stock at Store 0146 (size "&amp;$G166&amp;"). Home location is "&amp;$Q166&amp;" ("&amp;$R166&amp;") when replenished.")</f>
        <v>Yes - 3 in stock at Store 0146 (size 8.5). Back room location C-03-1-03 (ZONE C / BAY 03 / SHELF 1 / BIN 03), Floor level - no reach. Back room 2 / sales floor 1.</v>
      </c>
    </row>
    <row r="167" customFormat="false" ht="15" hidden="false" customHeight="false" outlineLevel="0" collapsed="false">
      <c r="A167" s="34" t="s">
        <v>1146</v>
      </c>
      <c r="B167" s="34" t="s">
        <v>1147</v>
      </c>
      <c r="C167" s="34" t="s">
        <v>853</v>
      </c>
      <c r="D167" s="34" t="s">
        <v>123</v>
      </c>
      <c r="E167" s="34" t="s">
        <v>854</v>
      </c>
      <c r="F167" s="34" t="s">
        <v>856</v>
      </c>
      <c r="G167" s="24" t="s">
        <v>164</v>
      </c>
      <c r="H167" s="27" t="n">
        <f aca="false">IFERROR(INDEX('Inventory Master'!$T$2:$T$525,MATCH($A167,'Inventory Master'!$A$2:$A$525,0)),0)</f>
        <v>4</v>
      </c>
      <c r="I167" s="27" t="n">
        <v>1</v>
      </c>
      <c r="J167" s="27" t="n">
        <f aca="false">MAX(0,$H167-$I167)</f>
        <v>3</v>
      </c>
      <c r="K167" s="34" t="str">
        <f aca="false">IF($H167&gt;0,"In Stock","Out of Stock")</f>
        <v>In Stock</v>
      </c>
      <c r="L167" s="24" t="s">
        <v>1852</v>
      </c>
      <c r="M167" s="34" t="s">
        <v>1853</v>
      </c>
      <c r="N167" s="24" t="n">
        <v>3</v>
      </c>
      <c r="O167" s="24" t="n">
        <v>1</v>
      </c>
      <c r="P167" s="24" t="n">
        <v>4</v>
      </c>
      <c r="Q167" s="24" t="str">
        <f aca="false">$L167&amp;"-"&amp;TEXT($N167,"00")&amp;"-"&amp;$O167&amp;"-"&amp;TEXT($P167,"00")</f>
        <v>C-03-1-04</v>
      </c>
      <c r="R167" s="34" t="str">
        <f aca="false">"ZONE "&amp;$L167&amp;" / BAY "&amp;TEXT($N167,"00")&amp;" / SHELF "&amp;$O167&amp;" / BIN "&amp;TEXT($P167,"00")</f>
        <v>ZONE C / BAY 03 / SHELF 1 / BIN 04</v>
      </c>
      <c r="S167" s="34" t="s">
        <v>1843</v>
      </c>
      <c r="T167" s="34" t="s">
        <v>1844</v>
      </c>
      <c r="U167" s="27" t="n">
        <v>166</v>
      </c>
      <c r="V167" s="30" t="n">
        <v>46181</v>
      </c>
      <c r="W167" s="34" t="str">
        <f aca="false">IF($H167&gt;0,"Yes - "&amp;$H167&amp;" in stock at Store 0146 (size "&amp;$G167&amp;"). Back room location "&amp;$Q167&amp;" ("&amp;$R167&amp;"), "&amp;$S167&amp;". Back room "&amp;$J167&amp;" / sales floor "&amp;$I167&amp;".","Not currently in stock at Store 0146 (size "&amp;$G167&amp;"). Home location is "&amp;$Q167&amp;" ("&amp;$R167&amp;") when replenished.")</f>
        <v>Yes - 4 in stock at Store 0146 (size 9). Back room location C-03-1-04 (ZONE C / BAY 03 / SHELF 1 / BIN 04), Floor level - no reach. Back room 3 / sales floor 1.</v>
      </c>
    </row>
    <row r="168" customFormat="false" ht="15" hidden="false" customHeight="false" outlineLevel="0" collapsed="false">
      <c r="A168" s="34" t="s">
        <v>1568</v>
      </c>
      <c r="B168" s="34" t="s">
        <v>1569</v>
      </c>
      <c r="C168" s="34" t="s">
        <v>853</v>
      </c>
      <c r="D168" s="34" t="s">
        <v>123</v>
      </c>
      <c r="E168" s="34" t="s">
        <v>854</v>
      </c>
      <c r="F168" s="34" t="s">
        <v>856</v>
      </c>
      <c r="G168" s="24" t="s">
        <v>177</v>
      </c>
      <c r="H168" s="27" t="n">
        <f aca="false">IFERROR(INDEX('Inventory Master'!$T$2:$T$525,MATCH($A168,'Inventory Master'!$A$2:$A$525,0)),0)</f>
        <v>6</v>
      </c>
      <c r="I168" s="27" t="n">
        <v>1</v>
      </c>
      <c r="J168" s="27" t="n">
        <f aca="false">MAX(0,$H168-$I168)</f>
        <v>5</v>
      </c>
      <c r="K168" s="34" t="str">
        <f aca="false">IF($H168&gt;0,"In Stock","Out of Stock")</f>
        <v>In Stock</v>
      </c>
      <c r="L168" s="24" t="s">
        <v>1852</v>
      </c>
      <c r="M168" s="34" t="s">
        <v>1853</v>
      </c>
      <c r="N168" s="24" t="n">
        <v>3</v>
      </c>
      <c r="O168" s="24" t="n">
        <v>1</v>
      </c>
      <c r="P168" s="24" t="n">
        <v>5</v>
      </c>
      <c r="Q168" s="24" t="str">
        <f aca="false">$L168&amp;"-"&amp;TEXT($N168,"00")&amp;"-"&amp;$O168&amp;"-"&amp;TEXT($P168,"00")</f>
        <v>C-03-1-05</v>
      </c>
      <c r="R168" s="34" t="str">
        <f aca="false">"ZONE "&amp;$L168&amp;" / BAY "&amp;TEXT($N168,"00")&amp;" / SHELF "&amp;$O168&amp;" / BIN "&amp;TEXT($P168,"00")</f>
        <v>ZONE C / BAY 03 / SHELF 1 / BIN 05</v>
      </c>
      <c r="S168" s="34" t="s">
        <v>1843</v>
      </c>
      <c r="T168" s="34" t="s">
        <v>1844</v>
      </c>
      <c r="U168" s="27" t="n">
        <v>167</v>
      </c>
      <c r="V168" s="30" t="n">
        <v>46167</v>
      </c>
      <c r="W168" s="34" t="str">
        <f aca="false">IF($H168&gt;0,"Yes - "&amp;$H168&amp;" in stock at Store 0146 (size "&amp;$G168&amp;"). Back room location "&amp;$Q168&amp;" ("&amp;$R168&amp;"), "&amp;$S168&amp;". Back room "&amp;$J168&amp;" / sales floor "&amp;$I168&amp;".","Not currently in stock at Store 0146 (size "&amp;$G168&amp;"). Home location is "&amp;$Q168&amp;" ("&amp;$R168&amp;") when replenished.")</f>
        <v>Yes - 6 in stock at Store 0146 (size 9.5). Back room location C-03-1-05 (ZONE C / BAY 03 / SHELF 1 / BIN 05), Floor level - no reach. Back room 5 / sales floor 1.</v>
      </c>
    </row>
    <row r="169" customFormat="false" ht="15" hidden="false" customHeight="false" outlineLevel="0" collapsed="false">
      <c r="A169" s="34" t="s">
        <v>1245</v>
      </c>
      <c r="B169" s="34" t="s">
        <v>1246</v>
      </c>
      <c r="C169" s="34" t="s">
        <v>853</v>
      </c>
      <c r="D169" s="34" t="s">
        <v>123</v>
      </c>
      <c r="E169" s="34" t="s">
        <v>854</v>
      </c>
      <c r="F169" s="34" t="s">
        <v>856</v>
      </c>
      <c r="G169" s="24" t="s">
        <v>211</v>
      </c>
      <c r="H169" s="27" t="n">
        <f aca="false">IFERROR(INDEX('Inventory Master'!$T$2:$T$525,MATCH($A169,'Inventory Master'!$A$2:$A$525,0)),0)</f>
        <v>0</v>
      </c>
      <c r="I169" s="27" t="n">
        <v>0</v>
      </c>
      <c r="J169" s="27" t="n">
        <f aca="false">MAX(0,$H169-$I169)</f>
        <v>0</v>
      </c>
      <c r="K169" s="34" t="str">
        <f aca="false">IF($H169&gt;0,"In Stock","Out of Stock")</f>
        <v>Out of Stock</v>
      </c>
      <c r="L169" s="24" t="s">
        <v>1852</v>
      </c>
      <c r="M169" s="34" t="s">
        <v>1853</v>
      </c>
      <c r="N169" s="24" t="n">
        <v>3</v>
      </c>
      <c r="O169" s="24" t="n">
        <v>1</v>
      </c>
      <c r="P169" s="24" t="n">
        <v>6</v>
      </c>
      <c r="Q169" s="24" t="str">
        <f aca="false">$L169&amp;"-"&amp;TEXT($N169,"00")&amp;"-"&amp;$O169&amp;"-"&amp;TEXT($P169,"00")</f>
        <v>C-03-1-06</v>
      </c>
      <c r="R169" s="34" t="str">
        <f aca="false">"ZONE "&amp;$L169&amp;" / BAY "&amp;TEXT($N169,"00")&amp;" / SHELF "&amp;$O169&amp;" / BIN "&amp;TEXT($P169,"00")</f>
        <v>ZONE C / BAY 03 / SHELF 1 / BIN 06</v>
      </c>
      <c r="S169" s="34" t="s">
        <v>1843</v>
      </c>
      <c r="T169" s="34" t="s">
        <v>1844</v>
      </c>
      <c r="U169" s="27" t="n">
        <v>168</v>
      </c>
      <c r="V169" s="30" t="n">
        <v>46167</v>
      </c>
      <c r="W169" s="34" t="str">
        <f aca="false">IF($H169&gt;0,"Yes - "&amp;$H169&amp;" in stock at Store 0146 (size "&amp;$G169&amp;"). Back room location "&amp;$Q169&amp;" ("&amp;$R169&amp;"), "&amp;$S169&amp;". Back room "&amp;$J169&amp;" / sales floor "&amp;$I169&amp;".","Not currently in stock at Store 0146 (size "&amp;$G169&amp;"). Home location is "&amp;$Q169&amp;" ("&amp;$R169&amp;") when replenished.")</f>
        <v>Not currently in stock at Store 0146 (size 10). Home location is C-03-1-06 (ZONE C / BAY 03 / SHELF 1 / BIN 06) when replenished.</v>
      </c>
    </row>
    <row r="170" customFormat="false" ht="15" hidden="false" customHeight="false" outlineLevel="0" collapsed="false">
      <c r="A170" s="34" t="s">
        <v>1287</v>
      </c>
      <c r="B170" s="34" t="s">
        <v>1288</v>
      </c>
      <c r="C170" s="34" t="s">
        <v>302</v>
      </c>
      <c r="D170" s="34" t="s">
        <v>123</v>
      </c>
      <c r="E170" s="34" t="s">
        <v>303</v>
      </c>
      <c r="F170" s="34" t="s">
        <v>305</v>
      </c>
      <c r="G170" s="24" t="s">
        <v>538</v>
      </c>
      <c r="H170" s="27" t="n">
        <f aca="false">IFERROR(INDEX('Inventory Master'!$T$2:$T$525,MATCH($A170,'Inventory Master'!$A$2:$A$525,0)),0)</f>
        <v>4</v>
      </c>
      <c r="I170" s="27" t="n">
        <v>1</v>
      </c>
      <c r="J170" s="27" t="n">
        <f aca="false">MAX(0,$H170-$I170)</f>
        <v>3</v>
      </c>
      <c r="K170" s="34" t="str">
        <f aca="false">IF($H170&gt;0,"In Stock","Out of Stock")</f>
        <v>In Stock</v>
      </c>
      <c r="L170" s="24" t="s">
        <v>1852</v>
      </c>
      <c r="M170" s="34" t="s">
        <v>1853</v>
      </c>
      <c r="N170" s="24" t="n">
        <v>3</v>
      </c>
      <c r="O170" s="24" t="n">
        <v>2</v>
      </c>
      <c r="P170" s="24" t="n">
        <v>1</v>
      </c>
      <c r="Q170" s="24" t="str">
        <f aca="false">$L170&amp;"-"&amp;TEXT($N170,"00")&amp;"-"&amp;$O170&amp;"-"&amp;TEXT($P170,"00")</f>
        <v>C-03-2-01</v>
      </c>
      <c r="R170" s="34" t="str">
        <f aca="false">"ZONE "&amp;$L170&amp;" / BAY "&amp;TEXT($N170,"00")&amp;" / SHELF "&amp;$O170&amp;" / BIN "&amp;TEXT($P170,"00")</f>
        <v>ZONE C / BAY 03 / SHELF 2 / BIN 01</v>
      </c>
      <c r="S170" s="34" t="s">
        <v>1845</v>
      </c>
      <c r="T170" s="34" t="s">
        <v>1844</v>
      </c>
      <c r="U170" s="27" t="n">
        <v>169</v>
      </c>
      <c r="V170" s="30" t="n">
        <v>46169</v>
      </c>
      <c r="W170" s="34" t="str">
        <f aca="false">IF($H170&gt;0,"Yes - "&amp;$H170&amp;" in stock at Store 0146 (size "&amp;$G170&amp;"). Back room location "&amp;$Q170&amp;" ("&amp;$R170&amp;"), "&amp;$S170&amp;". Back room "&amp;$J170&amp;" / sales floor "&amp;$I170&amp;".","Not currently in stock at Store 0146 (size "&amp;$G170&amp;"). Home location is "&amp;$Q170&amp;" ("&amp;$R170&amp;") when replenished.")</f>
        <v>Yes - 4 in stock at Store 0146 (size 6). Back room location C-03-2-01 (ZONE C / BAY 03 / SHELF 2 / BIN 01), Waist height. Back room 3 / sales floor 1.</v>
      </c>
    </row>
    <row r="171" customFormat="false" ht="15" hidden="false" customHeight="false" outlineLevel="0" collapsed="false">
      <c r="A171" s="34" t="s">
        <v>300</v>
      </c>
      <c r="B171" s="34" t="s">
        <v>301</v>
      </c>
      <c r="C171" s="34" t="s">
        <v>302</v>
      </c>
      <c r="D171" s="34" t="s">
        <v>123</v>
      </c>
      <c r="E171" s="34" t="s">
        <v>303</v>
      </c>
      <c r="F171" s="34" t="s">
        <v>305</v>
      </c>
      <c r="G171" s="24" t="s">
        <v>308</v>
      </c>
      <c r="H171" s="27" t="n">
        <f aca="false">IFERROR(INDEX('Inventory Master'!$T$2:$T$525,MATCH($A171,'Inventory Master'!$A$2:$A$525,0)),0)</f>
        <v>0</v>
      </c>
      <c r="I171" s="27" t="n">
        <v>0</v>
      </c>
      <c r="J171" s="27" t="n">
        <f aca="false">MAX(0,$H171-$I171)</f>
        <v>0</v>
      </c>
      <c r="K171" s="34" t="str">
        <f aca="false">IF($H171&gt;0,"In Stock","Out of Stock")</f>
        <v>Out of Stock</v>
      </c>
      <c r="L171" s="24" t="s">
        <v>1852</v>
      </c>
      <c r="M171" s="34" t="s">
        <v>1853</v>
      </c>
      <c r="N171" s="24" t="n">
        <v>3</v>
      </c>
      <c r="O171" s="24" t="n">
        <v>2</v>
      </c>
      <c r="P171" s="24" t="n">
        <v>2</v>
      </c>
      <c r="Q171" s="24" t="str">
        <f aca="false">$L171&amp;"-"&amp;TEXT($N171,"00")&amp;"-"&amp;$O171&amp;"-"&amp;TEXT($P171,"00")</f>
        <v>C-03-2-02</v>
      </c>
      <c r="R171" s="34" t="str">
        <f aca="false">"ZONE "&amp;$L171&amp;" / BAY "&amp;TEXT($N171,"00")&amp;" / SHELF "&amp;$O171&amp;" / BIN "&amp;TEXT($P171,"00")</f>
        <v>ZONE C / BAY 03 / SHELF 2 / BIN 02</v>
      </c>
      <c r="S171" s="34" t="s">
        <v>1845</v>
      </c>
      <c r="T171" s="34" t="s">
        <v>1844</v>
      </c>
      <c r="U171" s="27" t="n">
        <v>170</v>
      </c>
      <c r="V171" s="30" t="n">
        <v>46167</v>
      </c>
      <c r="W171" s="34" t="str">
        <f aca="false">IF($H171&gt;0,"Yes - "&amp;$H171&amp;" in stock at Store 0146 (size "&amp;$G171&amp;"). Back room location "&amp;$Q171&amp;" ("&amp;$R171&amp;"), "&amp;$S171&amp;". Back room "&amp;$J171&amp;" / sales floor "&amp;$I171&amp;".","Not currently in stock at Store 0146 (size "&amp;$G171&amp;"). Home location is "&amp;$Q171&amp;" ("&amp;$R171&amp;") when replenished.")</f>
        <v>Not currently in stock at Store 0146 (size 6.5). Home location is C-03-2-02 (ZONE C / BAY 03 / SHELF 2 / BIN 02) when replenished.</v>
      </c>
    </row>
    <row r="172" customFormat="false" ht="15" hidden="false" customHeight="false" outlineLevel="0" collapsed="false">
      <c r="A172" s="34" t="s">
        <v>1619</v>
      </c>
      <c r="B172" s="34" t="s">
        <v>1620</v>
      </c>
      <c r="C172" s="34" t="s">
        <v>302</v>
      </c>
      <c r="D172" s="34" t="s">
        <v>123</v>
      </c>
      <c r="E172" s="34" t="s">
        <v>303</v>
      </c>
      <c r="F172" s="34" t="s">
        <v>305</v>
      </c>
      <c r="G172" s="24" t="s">
        <v>338</v>
      </c>
      <c r="H172" s="27" t="n">
        <f aca="false">IFERROR(INDEX('Inventory Master'!$T$2:$T$525,MATCH($A172,'Inventory Master'!$A$2:$A$525,0)),0)</f>
        <v>4</v>
      </c>
      <c r="I172" s="27" t="n">
        <v>1</v>
      </c>
      <c r="J172" s="27" t="n">
        <f aca="false">MAX(0,$H172-$I172)</f>
        <v>3</v>
      </c>
      <c r="K172" s="34" t="str">
        <f aca="false">IF($H172&gt;0,"In Stock","Out of Stock")</f>
        <v>In Stock</v>
      </c>
      <c r="L172" s="24" t="s">
        <v>1852</v>
      </c>
      <c r="M172" s="34" t="s">
        <v>1853</v>
      </c>
      <c r="N172" s="24" t="n">
        <v>3</v>
      </c>
      <c r="O172" s="24" t="n">
        <v>2</v>
      </c>
      <c r="P172" s="24" t="n">
        <v>3</v>
      </c>
      <c r="Q172" s="24" t="str">
        <f aca="false">$L172&amp;"-"&amp;TEXT($N172,"00")&amp;"-"&amp;$O172&amp;"-"&amp;TEXT($P172,"00")</f>
        <v>C-03-2-03</v>
      </c>
      <c r="R172" s="34" t="str">
        <f aca="false">"ZONE "&amp;$L172&amp;" / BAY "&amp;TEXT($N172,"00")&amp;" / SHELF "&amp;$O172&amp;" / BIN "&amp;TEXT($P172,"00")</f>
        <v>ZONE C / BAY 03 / SHELF 2 / BIN 03</v>
      </c>
      <c r="S172" s="34" t="s">
        <v>1845</v>
      </c>
      <c r="T172" s="34" t="s">
        <v>1844</v>
      </c>
      <c r="U172" s="27" t="n">
        <v>171</v>
      </c>
      <c r="V172" s="30" t="n">
        <v>46188</v>
      </c>
      <c r="W172" s="34" t="str">
        <f aca="false">IF($H172&gt;0,"Yes - "&amp;$H172&amp;" in stock at Store 0146 (size "&amp;$G172&amp;"). Back room location "&amp;$Q172&amp;" ("&amp;$R172&amp;"), "&amp;$S172&amp;". Back room "&amp;$J172&amp;" / sales floor "&amp;$I172&amp;".","Not currently in stock at Store 0146 (size "&amp;$G172&amp;"). Home location is "&amp;$Q172&amp;" ("&amp;$R172&amp;") when replenished.")</f>
        <v>Yes - 4 in stock at Store 0146 (size 7). Back room location C-03-2-03 (ZONE C / BAY 03 / SHELF 2 / BIN 03), Waist height. Back room 3 / sales floor 1.</v>
      </c>
    </row>
    <row r="173" customFormat="false" ht="15" hidden="false" customHeight="false" outlineLevel="0" collapsed="false">
      <c r="A173" s="34" t="s">
        <v>1000</v>
      </c>
      <c r="B173" s="34" t="s">
        <v>1001</v>
      </c>
      <c r="C173" s="34" t="s">
        <v>302</v>
      </c>
      <c r="D173" s="34" t="s">
        <v>123</v>
      </c>
      <c r="E173" s="34" t="s">
        <v>303</v>
      </c>
      <c r="F173" s="34" t="s">
        <v>305</v>
      </c>
      <c r="G173" s="24" t="s">
        <v>291</v>
      </c>
      <c r="H173" s="27" t="n">
        <f aca="false">IFERROR(INDEX('Inventory Master'!$T$2:$T$525,MATCH($A173,'Inventory Master'!$A$2:$A$525,0)),0)</f>
        <v>3</v>
      </c>
      <c r="I173" s="27" t="n">
        <v>1</v>
      </c>
      <c r="J173" s="27" t="n">
        <f aca="false">MAX(0,$H173-$I173)</f>
        <v>2</v>
      </c>
      <c r="K173" s="34" t="str">
        <f aca="false">IF($H173&gt;0,"In Stock","Out of Stock")</f>
        <v>In Stock</v>
      </c>
      <c r="L173" s="24" t="s">
        <v>1852</v>
      </c>
      <c r="M173" s="34" t="s">
        <v>1853</v>
      </c>
      <c r="N173" s="24" t="n">
        <v>3</v>
      </c>
      <c r="O173" s="24" t="n">
        <v>2</v>
      </c>
      <c r="P173" s="24" t="n">
        <v>4</v>
      </c>
      <c r="Q173" s="24" t="str">
        <f aca="false">$L173&amp;"-"&amp;TEXT($N173,"00")&amp;"-"&amp;$O173&amp;"-"&amp;TEXT($P173,"00")</f>
        <v>C-03-2-04</v>
      </c>
      <c r="R173" s="34" t="str">
        <f aca="false">"ZONE "&amp;$L173&amp;" / BAY "&amp;TEXT($N173,"00")&amp;" / SHELF "&amp;$O173&amp;" / BIN "&amp;TEXT($P173,"00")</f>
        <v>ZONE C / BAY 03 / SHELF 2 / BIN 04</v>
      </c>
      <c r="S173" s="34" t="s">
        <v>1845</v>
      </c>
      <c r="T173" s="34" t="s">
        <v>1844</v>
      </c>
      <c r="U173" s="27" t="n">
        <v>172</v>
      </c>
      <c r="V173" s="30" t="n">
        <v>46220</v>
      </c>
      <c r="W173" s="34" t="str">
        <f aca="false">IF($H173&gt;0,"Yes - "&amp;$H173&amp;" in stock at Store 0146 (size "&amp;$G173&amp;"). Back room location "&amp;$Q173&amp;" ("&amp;$R173&amp;"), "&amp;$S173&amp;". Back room "&amp;$J173&amp;" / sales floor "&amp;$I173&amp;".","Not currently in stock at Store 0146 (size "&amp;$G173&amp;"). Home location is "&amp;$Q173&amp;" ("&amp;$R173&amp;") when replenished.")</f>
        <v>Yes - 3 in stock at Store 0146 (size 7.5). Back room location C-03-2-04 (ZONE C / BAY 03 / SHELF 2 / BIN 04), Waist height. Back room 2 / sales floor 1.</v>
      </c>
    </row>
    <row r="174" customFormat="false" ht="15" hidden="false" customHeight="false" outlineLevel="0" collapsed="false">
      <c r="A174" s="34" t="s">
        <v>1480</v>
      </c>
      <c r="B174" s="34" t="s">
        <v>1481</v>
      </c>
      <c r="C174" s="34" t="s">
        <v>302</v>
      </c>
      <c r="D174" s="34" t="s">
        <v>123</v>
      </c>
      <c r="E174" s="34" t="s">
        <v>303</v>
      </c>
      <c r="F174" s="34" t="s">
        <v>305</v>
      </c>
      <c r="G174" s="24" t="s">
        <v>356</v>
      </c>
      <c r="H174" s="27" t="n">
        <f aca="false">IFERROR(INDEX('Inventory Master'!$T$2:$T$525,MATCH($A174,'Inventory Master'!$A$2:$A$525,0)),0)</f>
        <v>2</v>
      </c>
      <c r="I174" s="27" t="n">
        <v>1</v>
      </c>
      <c r="J174" s="27" t="n">
        <f aca="false">MAX(0,$H174-$I174)</f>
        <v>1</v>
      </c>
      <c r="K174" s="34" t="str">
        <f aca="false">IF($H174&gt;0,"In Stock","Out of Stock")</f>
        <v>In Stock</v>
      </c>
      <c r="L174" s="24" t="s">
        <v>1852</v>
      </c>
      <c r="M174" s="34" t="s">
        <v>1853</v>
      </c>
      <c r="N174" s="24" t="n">
        <v>3</v>
      </c>
      <c r="O174" s="24" t="n">
        <v>2</v>
      </c>
      <c r="P174" s="24" t="n">
        <v>5</v>
      </c>
      <c r="Q174" s="24" t="str">
        <f aca="false">$L174&amp;"-"&amp;TEXT($N174,"00")&amp;"-"&amp;$O174&amp;"-"&amp;TEXT($P174,"00")</f>
        <v>C-03-2-05</v>
      </c>
      <c r="R174" s="34" t="str">
        <f aca="false">"ZONE "&amp;$L174&amp;" / BAY "&amp;TEXT($N174,"00")&amp;" / SHELF "&amp;$O174&amp;" / BIN "&amp;TEXT($P174,"00")</f>
        <v>ZONE C / BAY 03 / SHELF 2 / BIN 05</v>
      </c>
      <c r="S174" s="34" t="s">
        <v>1845</v>
      </c>
      <c r="T174" s="34" t="s">
        <v>1844</v>
      </c>
      <c r="U174" s="27" t="n">
        <v>173</v>
      </c>
      <c r="V174" s="30" t="n">
        <v>46187</v>
      </c>
      <c r="W174" s="34" t="str">
        <f aca="false">IF($H174&gt;0,"Yes - "&amp;$H174&amp;" in stock at Store 0146 (size "&amp;$G174&amp;"). Back room location "&amp;$Q174&amp;" ("&amp;$R174&amp;"), "&amp;$S174&amp;". Back room "&amp;$J174&amp;" / sales floor "&amp;$I174&amp;".","Not currently in stock at Store 0146 (size "&amp;$G174&amp;"). Home location is "&amp;$Q174&amp;" ("&amp;$R174&amp;") when replenished.")</f>
        <v>Yes - 2 in stock at Store 0146 (size 8). Back room location C-03-2-05 (ZONE C / BAY 03 / SHELF 2 / BIN 05), Waist height. Back room 1 / sales floor 1.</v>
      </c>
    </row>
    <row r="175" customFormat="false" ht="15" hidden="false" customHeight="false" outlineLevel="0" collapsed="false">
      <c r="A175" s="34" t="s">
        <v>1241</v>
      </c>
      <c r="B175" s="34" t="s">
        <v>1242</v>
      </c>
      <c r="C175" s="34" t="s">
        <v>302</v>
      </c>
      <c r="D175" s="34" t="s">
        <v>123</v>
      </c>
      <c r="E175" s="34" t="s">
        <v>303</v>
      </c>
      <c r="F175" s="34" t="s">
        <v>305</v>
      </c>
      <c r="G175" s="24" t="s">
        <v>188</v>
      </c>
      <c r="H175" s="27" t="n">
        <f aca="false">IFERROR(INDEX('Inventory Master'!$T$2:$T$525,MATCH($A175,'Inventory Master'!$A$2:$A$525,0)),0)</f>
        <v>3</v>
      </c>
      <c r="I175" s="27" t="n">
        <v>0</v>
      </c>
      <c r="J175" s="27" t="n">
        <f aca="false">MAX(0,$H175-$I175)</f>
        <v>3</v>
      </c>
      <c r="K175" s="34" t="str">
        <f aca="false">IF($H175&gt;0,"In Stock","Out of Stock")</f>
        <v>In Stock</v>
      </c>
      <c r="L175" s="24" t="s">
        <v>1852</v>
      </c>
      <c r="M175" s="34" t="s">
        <v>1853</v>
      </c>
      <c r="N175" s="24" t="n">
        <v>3</v>
      </c>
      <c r="O175" s="24" t="n">
        <v>2</v>
      </c>
      <c r="P175" s="24" t="n">
        <v>6</v>
      </c>
      <c r="Q175" s="24" t="str">
        <f aca="false">$L175&amp;"-"&amp;TEXT($N175,"00")&amp;"-"&amp;$O175&amp;"-"&amp;TEXT($P175,"00")</f>
        <v>C-03-2-06</v>
      </c>
      <c r="R175" s="34" t="str">
        <f aca="false">"ZONE "&amp;$L175&amp;" / BAY "&amp;TEXT($N175,"00")&amp;" / SHELF "&amp;$O175&amp;" / BIN "&amp;TEXT($P175,"00")</f>
        <v>ZONE C / BAY 03 / SHELF 2 / BIN 06</v>
      </c>
      <c r="S175" s="34" t="s">
        <v>1845</v>
      </c>
      <c r="T175" s="34" t="s">
        <v>1844</v>
      </c>
      <c r="U175" s="27" t="n">
        <v>174</v>
      </c>
      <c r="V175" s="30" t="n">
        <v>46170</v>
      </c>
      <c r="W175" s="34" t="str">
        <f aca="false">IF($H175&gt;0,"Yes - "&amp;$H175&amp;" in stock at Store 0146 (size "&amp;$G175&amp;"). Back room location "&amp;$Q175&amp;" ("&amp;$R175&amp;"), "&amp;$S175&amp;". Back room "&amp;$J175&amp;" / sales floor "&amp;$I175&amp;".","Not currently in stock at Store 0146 (size "&amp;$G175&amp;"). Home location is "&amp;$Q175&amp;" ("&amp;$R175&amp;") when replenished.")</f>
        <v>Yes - 3 in stock at Store 0146 (size 8.5). Back room location C-03-2-06 (ZONE C / BAY 03 / SHELF 2 / BIN 06), Waist height. Back room 3 / sales floor 0.</v>
      </c>
    </row>
    <row r="176" customFormat="false" ht="15" hidden="false" customHeight="false" outlineLevel="0" collapsed="false">
      <c r="A176" s="34" t="s">
        <v>1328</v>
      </c>
      <c r="B176" s="34" t="s">
        <v>1329</v>
      </c>
      <c r="C176" s="34" t="s">
        <v>555</v>
      </c>
      <c r="D176" s="34" t="s">
        <v>123</v>
      </c>
      <c r="E176" s="34" t="s">
        <v>556</v>
      </c>
      <c r="F176" s="34" t="s">
        <v>558</v>
      </c>
      <c r="G176" s="24" t="s">
        <v>308</v>
      </c>
      <c r="H176" s="27" t="n">
        <f aca="false">IFERROR(INDEX('Inventory Master'!$T$2:$T$525,MATCH($A176,'Inventory Master'!$A$2:$A$525,0)),0)</f>
        <v>3</v>
      </c>
      <c r="I176" s="27" t="n">
        <v>1</v>
      </c>
      <c r="J176" s="27" t="n">
        <f aca="false">MAX(0,$H176-$I176)</f>
        <v>2</v>
      </c>
      <c r="K176" s="34" t="str">
        <f aca="false">IF($H176&gt;0,"In Stock","Out of Stock")</f>
        <v>In Stock</v>
      </c>
      <c r="L176" s="24" t="s">
        <v>1852</v>
      </c>
      <c r="M176" s="34" t="s">
        <v>1853</v>
      </c>
      <c r="N176" s="24" t="n">
        <v>3</v>
      </c>
      <c r="O176" s="24" t="n">
        <v>3</v>
      </c>
      <c r="P176" s="24" t="n">
        <v>1</v>
      </c>
      <c r="Q176" s="24" t="str">
        <f aca="false">$L176&amp;"-"&amp;TEXT($N176,"00")&amp;"-"&amp;$O176&amp;"-"&amp;TEXT($P176,"00")</f>
        <v>C-03-3-01</v>
      </c>
      <c r="R176" s="34" t="str">
        <f aca="false">"ZONE "&amp;$L176&amp;" / BAY "&amp;TEXT($N176,"00")&amp;" / SHELF "&amp;$O176&amp;" / BIN "&amp;TEXT($P176,"00")</f>
        <v>ZONE C / BAY 03 / SHELF 3 / BIN 01</v>
      </c>
      <c r="S176" s="34" t="s">
        <v>1846</v>
      </c>
      <c r="T176" s="34" t="s">
        <v>1844</v>
      </c>
      <c r="U176" s="27" t="n">
        <v>175</v>
      </c>
      <c r="V176" s="30" t="n">
        <v>46218</v>
      </c>
      <c r="W176" s="34" t="str">
        <f aca="false">IF($H176&gt;0,"Yes - "&amp;$H176&amp;" in stock at Store 0146 (size "&amp;$G176&amp;"). Back room location "&amp;$Q176&amp;" ("&amp;$R176&amp;"), "&amp;$S176&amp;". Back room "&amp;$J176&amp;" / sales floor "&amp;$I176&amp;".","Not currently in stock at Store 0146 (size "&amp;$G176&amp;"). Home location is "&amp;$Q176&amp;" ("&amp;$R176&amp;") when replenished.")</f>
        <v>Yes - 3 in stock at Store 0146 (size 6.5). Back room location C-03-3-01 (ZONE C / BAY 03 / SHELF 3 / BIN 01), Eye level. Back room 2 / sales floor 1.</v>
      </c>
    </row>
    <row r="177" customFormat="false" ht="15" hidden="false" customHeight="false" outlineLevel="0" collapsed="false">
      <c r="A177" s="34" t="s">
        <v>1255</v>
      </c>
      <c r="B177" s="34" t="s">
        <v>1256</v>
      </c>
      <c r="C177" s="34" t="s">
        <v>555</v>
      </c>
      <c r="D177" s="34" t="s">
        <v>123</v>
      </c>
      <c r="E177" s="34" t="s">
        <v>556</v>
      </c>
      <c r="F177" s="34" t="s">
        <v>558</v>
      </c>
      <c r="G177" s="24" t="s">
        <v>338</v>
      </c>
      <c r="H177" s="27" t="n">
        <f aca="false">IFERROR(INDEX('Inventory Master'!$T$2:$T$525,MATCH($A177,'Inventory Master'!$A$2:$A$525,0)),0)</f>
        <v>4</v>
      </c>
      <c r="I177" s="27" t="n">
        <v>1</v>
      </c>
      <c r="J177" s="27" t="n">
        <f aca="false">MAX(0,$H177-$I177)</f>
        <v>3</v>
      </c>
      <c r="K177" s="34" t="str">
        <f aca="false">IF($H177&gt;0,"In Stock","Out of Stock")</f>
        <v>In Stock</v>
      </c>
      <c r="L177" s="24" t="s">
        <v>1852</v>
      </c>
      <c r="M177" s="34" t="s">
        <v>1853</v>
      </c>
      <c r="N177" s="24" t="n">
        <v>3</v>
      </c>
      <c r="O177" s="24" t="n">
        <v>3</v>
      </c>
      <c r="P177" s="24" t="n">
        <v>2</v>
      </c>
      <c r="Q177" s="24" t="str">
        <f aca="false">$L177&amp;"-"&amp;TEXT($N177,"00")&amp;"-"&amp;$O177&amp;"-"&amp;TEXT($P177,"00")</f>
        <v>C-03-3-02</v>
      </c>
      <c r="R177" s="34" t="str">
        <f aca="false">"ZONE "&amp;$L177&amp;" / BAY "&amp;TEXT($N177,"00")&amp;" / SHELF "&amp;$O177&amp;" / BIN "&amp;TEXT($P177,"00")</f>
        <v>ZONE C / BAY 03 / SHELF 3 / BIN 02</v>
      </c>
      <c r="S177" s="34" t="s">
        <v>1846</v>
      </c>
      <c r="T177" s="34" t="s">
        <v>1844</v>
      </c>
      <c r="U177" s="27" t="n">
        <v>176</v>
      </c>
      <c r="V177" s="30" t="n">
        <v>46202</v>
      </c>
      <c r="W177" s="34" t="str">
        <f aca="false">IF($H177&gt;0,"Yes - "&amp;$H177&amp;" in stock at Store 0146 (size "&amp;$G177&amp;"). Back room location "&amp;$Q177&amp;" ("&amp;$R177&amp;"), "&amp;$S177&amp;". Back room "&amp;$J177&amp;" / sales floor "&amp;$I177&amp;".","Not currently in stock at Store 0146 (size "&amp;$G177&amp;"). Home location is "&amp;$Q177&amp;" ("&amp;$R177&amp;") when replenished.")</f>
        <v>Yes - 4 in stock at Store 0146 (size 7). Back room location C-03-3-02 (ZONE C / BAY 03 / SHELF 3 / BIN 02), Eye level. Back room 3 / sales floor 1.</v>
      </c>
    </row>
    <row r="178" customFormat="false" ht="15" hidden="false" customHeight="false" outlineLevel="0" collapsed="false">
      <c r="A178" s="34" t="s">
        <v>985</v>
      </c>
      <c r="B178" s="34" t="s">
        <v>986</v>
      </c>
      <c r="C178" s="34" t="s">
        <v>555</v>
      </c>
      <c r="D178" s="34" t="s">
        <v>123</v>
      </c>
      <c r="E178" s="34" t="s">
        <v>556</v>
      </c>
      <c r="F178" s="34" t="s">
        <v>558</v>
      </c>
      <c r="G178" s="24" t="s">
        <v>291</v>
      </c>
      <c r="H178" s="27" t="n">
        <f aca="false">IFERROR(INDEX('Inventory Master'!$T$2:$T$525,MATCH($A178,'Inventory Master'!$A$2:$A$525,0)),0)</f>
        <v>2</v>
      </c>
      <c r="I178" s="27" t="n">
        <v>1</v>
      </c>
      <c r="J178" s="27" t="n">
        <f aca="false">MAX(0,$H178-$I178)</f>
        <v>1</v>
      </c>
      <c r="K178" s="34" t="str">
        <f aca="false">IF($H178&gt;0,"In Stock","Out of Stock")</f>
        <v>In Stock</v>
      </c>
      <c r="L178" s="24" t="s">
        <v>1852</v>
      </c>
      <c r="M178" s="34" t="s">
        <v>1853</v>
      </c>
      <c r="N178" s="24" t="n">
        <v>3</v>
      </c>
      <c r="O178" s="24" t="n">
        <v>3</v>
      </c>
      <c r="P178" s="24" t="n">
        <v>3</v>
      </c>
      <c r="Q178" s="24" t="str">
        <f aca="false">$L178&amp;"-"&amp;TEXT($N178,"00")&amp;"-"&amp;$O178&amp;"-"&amp;TEXT($P178,"00")</f>
        <v>C-03-3-03</v>
      </c>
      <c r="R178" s="34" t="str">
        <f aca="false">"ZONE "&amp;$L178&amp;" / BAY "&amp;TEXT($N178,"00")&amp;" / SHELF "&amp;$O178&amp;" / BIN "&amp;TEXT($P178,"00")</f>
        <v>ZONE C / BAY 03 / SHELF 3 / BIN 03</v>
      </c>
      <c r="S178" s="34" t="s">
        <v>1846</v>
      </c>
      <c r="T178" s="34" t="s">
        <v>1844</v>
      </c>
      <c r="U178" s="27" t="n">
        <v>177</v>
      </c>
      <c r="V178" s="30" t="n">
        <v>46151</v>
      </c>
      <c r="W178" s="34" t="str">
        <f aca="false">IF($H178&gt;0,"Yes - "&amp;$H178&amp;" in stock at Store 0146 (size "&amp;$G178&amp;"). Back room location "&amp;$Q178&amp;" ("&amp;$R178&amp;"), "&amp;$S178&amp;". Back room "&amp;$J178&amp;" / sales floor "&amp;$I178&amp;".","Not currently in stock at Store 0146 (size "&amp;$G178&amp;"). Home location is "&amp;$Q178&amp;" ("&amp;$R178&amp;") when replenished.")</f>
        <v>Yes - 2 in stock at Store 0146 (size 7.5). Back room location C-03-3-03 (ZONE C / BAY 03 / SHELF 3 / BIN 03), Eye level. Back room 1 / sales floor 1.</v>
      </c>
    </row>
    <row r="179" customFormat="false" ht="15" hidden="false" customHeight="false" outlineLevel="0" collapsed="false">
      <c r="A179" s="34" t="s">
        <v>1691</v>
      </c>
      <c r="B179" s="34" t="s">
        <v>1692</v>
      </c>
      <c r="C179" s="34" t="s">
        <v>555</v>
      </c>
      <c r="D179" s="34" t="s">
        <v>123</v>
      </c>
      <c r="E179" s="34" t="s">
        <v>556</v>
      </c>
      <c r="F179" s="34" t="s">
        <v>558</v>
      </c>
      <c r="G179" s="24" t="s">
        <v>356</v>
      </c>
      <c r="H179" s="27" t="n">
        <f aca="false">IFERROR(INDEX('Inventory Master'!$T$2:$T$525,MATCH($A179,'Inventory Master'!$A$2:$A$525,0)),0)</f>
        <v>3</v>
      </c>
      <c r="I179" s="27" t="n">
        <v>1</v>
      </c>
      <c r="J179" s="27" t="n">
        <f aca="false">MAX(0,$H179-$I179)</f>
        <v>2</v>
      </c>
      <c r="K179" s="34" t="str">
        <f aca="false">IF($H179&gt;0,"In Stock","Out of Stock")</f>
        <v>In Stock</v>
      </c>
      <c r="L179" s="24" t="s">
        <v>1852</v>
      </c>
      <c r="M179" s="34" t="s">
        <v>1853</v>
      </c>
      <c r="N179" s="24" t="n">
        <v>3</v>
      </c>
      <c r="O179" s="24" t="n">
        <v>3</v>
      </c>
      <c r="P179" s="24" t="n">
        <v>4</v>
      </c>
      <c r="Q179" s="24" t="str">
        <f aca="false">$L179&amp;"-"&amp;TEXT($N179,"00")&amp;"-"&amp;$O179&amp;"-"&amp;TEXT($P179,"00")</f>
        <v>C-03-3-04</v>
      </c>
      <c r="R179" s="34" t="str">
        <f aca="false">"ZONE "&amp;$L179&amp;" / BAY "&amp;TEXT($N179,"00")&amp;" / SHELF "&amp;$O179&amp;" / BIN "&amp;TEXT($P179,"00")</f>
        <v>ZONE C / BAY 03 / SHELF 3 / BIN 04</v>
      </c>
      <c r="S179" s="34" t="s">
        <v>1846</v>
      </c>
      <c r="T179" s="34" t="s">
        <v>1844</v>
      </c>
      <c r="U179" s="27" t="n">
        <v>178</v>
      </c>
      <c r="V179" s="30" t="n">
        <v>46209</v>
      </c>
      <c r="W179" s="34" t="str">
        <f aca="false">IF($H179&gt;0,"Yes - "&amp;$H179&amp;" in stock at Store 0146 (size "&amp;$G179&amp;"). Back room location "&amp;$Q179&amp;" ("&amp;$R179&amp;"), "&amp;$S179&amp;". Back room "&amp;$J179&amp;" / sales floor "&amp;$I179&amp;".","Not currently in stock at Store 0146 (size "&amp;$G179&amp;"). Home location is "&amp;$Q179&amp;" ("&amp;$R179&amp;") when replenished.")</f>
        <v>Yes - 3 in stock at Store 0146 (size 8). Back room location C-03-3-04 (ZONE C / BAY 03 / SHELF 3 / BIN 04), Eye level. Back room 2 / sales floor 1.</v>
      </c>
    </row>
    <row r="180" customFormat="false" ht="15" hidden="false" customHeight="false" outlineLevel="0" collapsed="false">
      <c r="A180" s="34" t="s">
        <v>1683</v>
      </c>
      <c r="B180" s="34" t="s">
        <v>1684</v>
      </c>
      <c r="C180" s="34" t="s">
        <v>555</v>
      </c>
      <c r="D180" s="34" t="s">
        <v>123</v>
      </c>
      <c r="E180" s="34" t="s">
        <v>556</v>
      </c>
      <c r="F180" s="34" t="s">
        <v>558</v>
      </c>
      <c r="G180" s="24" t="s">
        <v>188</v>
      </c>
      <c r="H180" s="27" t="n">
        <f aca="false">IFERROR(INDEX('Inventory Master'!$T$2:$T$525,MATCH($A180,'Inventory Master'!$A$2:$A$525,0)),0)</f>
        <v>3</v>
      </c>
      <c r="I180" s="27" t="n">
        <v>1</v>
      </c>
      <c r="J180" s="27" t="n">
        <f aca="false">MAX(0,$H180-$I180)</f>
        <v>2</v>
      </c>
      <c r="K180" s="34" t="str">
        <f aca="false">IF($H180&gt;0,"In Stock","Out of Stock")</f>
        <v>In Stock</v>
      </c>
      <c r="L180" s="24" t="s">
        <v>1852</v>
      </c>
      <c r="M180" s="34" t="s">
        <v>1853</v>
      </c>
      <c r="N180" s="24" t="n">
        <v>3</v>
      </c>
      <c r="O180" s="24" t="n">
        <v>3</v>
      </c>
      <c r="P180" s="24" t="n">
        <v>5</v>
      </c>
      <c r="Q180" s="24" t="str">
        <f aca="false">$L180&amp;"-"&amp;TEXT($N180,"00")&amp;"-"&amp;$O180&amp;"-"&amp;TEXT($P180,"00")</f>
        <v>C-03-3-05</v>
      </c>
      <c r="R180" s="34" t="str">
        <f aca="false">"ZONE "&amp;$L180&amp;" / BAY "&amp;TEXT($N180,"00")&amp;" / SHELF "&amp;$O180&amp;" / BIN "&amp;TEXT($P180,"00")</f>
        <v>ZONE C / BAY 03 / SHELF 3 / BIN 05</v>
      </c>
      <c r="S180" s="34" t="s">
        <v>1846</v>
      </c>
      <c r="T180" s="34" t="s">
        <v>1844</v>
      </c>
      <c r="U180" s="27" t="n">
        <v>179</v>
      </c>
      <c r="V180" s="30" t="n">
        <v>46160</v>
      </c>
      <c r="W180" s="34" t="str">
        <f aca="false">IF($H180&gt;0,"Yes - "&amp;$H180&amp;" in stock at Store 0146 (size "&amp;$G180&amp;"). Back room location "&amp;$Q180&amp;" ("&amp;$R180&amp;"), "&amp;$S180&amp;". Back room "&amp;$J180&amp;" / sales floor "&amp;$I180&amp;".","Not currently in stock at Store 0146 (size "&amp;$G180&amp;"). Home location is "&amp;$Q180&amp;" ("&amp;$R180&amp;") when replenished.")</f>
        <v>Yes - 3 in stock at Store 0146 (size 8.5). Back room location C-03-3-05 (ZONE C / BAY 03 / SHELF 3 / BIN 05), Eye level. Back room 2 / sales floor 1.</v>
      </c>
    </row>
    <row r="181" customFormat="false" ht="15" hidden="false" customHeight="false" outlineLevel="0" collapsed="false">
      <c r="A181" s="34" t="s">
        <v>553</v>
      </c>
      <c r="B181" s="34" t="s">
        <v>554</v>
      </c>
      <c r="C181" s="34" t="s">
        <v>555</v>
      </c>
      <c r="D181" s="34" t="s">
        <v>123</v>
      </c>
      <c r="E181" s="34" t="s">
        <v>556</v>
      </c>
      <c r="F181" s="34" t="s">
        <v>558</v>
      </c>
      <c r="G181" s="24" t="s">
        <v>164</v>
      </c>
      <c r="H181" s="27" t="n">
        <f aca="false">IFERROR(INDEX('Inventory Master'!$T$2:$T$525,MATCH($A181,'Inventory Master'!$A$2:$A$525,0)),0)</f>
        <v>8</v>
      </c>
      <c r="I181" s="27" t="n">
        <v>2</v>
      </c>
      <c r="J181" s="27" t="n">
        <f aca="false">MAX(0,$H181-$I181)</f>
        <v>6</v>
      </c>
      <c r="K181" s="34" t="str">
        <f aca="false">IF($H181&gt;0,"In Stock","Out of Stock")</f>
        <v>In Stock</v>
      </c>
      <c r="L181" s="24" t="s">
        <v>1852</v>
      </c>
      <c r="M181" s="34" t="s">
        <v>1853</v>
      </c>
      <c r="N181" s="24" t="n">
        <v>3</v>
      </c>
      <c r="O181" s="24" t="n">
        <v>3</v>
      </c>
      <c r="P181" s="24" t="n">
        <v>6</v>
      </c>
      <c r="Q181" s="24" t="str">
        <f aca="false">$L181&amp;"-"&amp;TEXT($N181,"00")&amp;"-"&amp;$O181&amp;"-"&amp;TEXT($P181,"00")</f>
        <v>C-03-3-06</v>
      </c>
      <c r="R181" s="34" t="str">
        <f aca="false">"ZONE "&amp;$L181&amp;" / BAY "&amp;TEXT($N181,"00")&amp;" / SHELF "&amp;$O181&amp;" / BIN "&amp;TEXT($P181,"00")</f>
        <v>ZONE C / BAY 03 / SHELF 3 / BIN 06</v>
      </c>
      <c r="S181" s="34" t="s">
        <v>1846</v>
      </c>
      <c r="T181" s="34" t="s">
        <v>1856</v>
      </c>
      <c r="U181" s="27" t="n">
        <v>180</v>
      </c>
      <c r="V181" s="30" t="n">
        <v>46145</v>
      </c>
      <c r="W181" s="34" t="str">
        <f aca="false">IF($H181&gt;0,"Yes - "&amp;$H181&amp;" in stock at Store 0146 (size "&amp;$G181&amp;"). Back room location "&amp;$Q181&amp;" ("&amp;$R181&amp;"), "&amp;$S181&amp;". Back room "&amp;$J181&amp;" / sales floor "&amp;$I181&amp;".","Not currently in stock at Store 0146 (size "&amp;$G181&amp;"). Home location is "&amp;$Q181&amp;" ("&amp;$R181&amp;") when replenished.")</f>
        <v>Yes - 8 in stock at Store 0146 (size 9). Back room location C-03-3-06 (ZONE C / BAY 03 / SHELF 3 / BIN 06), Eye level. Back room 6 / sales floor 2.</v>
      </c>
    </row>
    <row r="182" customFormat="false" ht="15" hidden="false" customHeight="false" outlineLevel="0" collapsed="false">
      <c r="A182" s="34" t="s">
        <v>1729</v>
      </c>
      <c r="B182" s="34" t="s">
        <v>1730</v>
      </c>
      <c r="C182" s="34" t="s">
        <v>597</v>
      </c>
      <c r="D182" s="34" t="s">
        <v>123</v>
      </c>
      <c r="E182" s="34" t="s">
        <v>598</v>
      </c>
      <c r="F182" s="34" t="s">
        <v>600</v>
      </c>
      <c r="G182" s="24" t="s">
        <v>538</v>
      </c>
      <c r="H182" s="27" t="n">
        <f aca="false">IFERROR(INDEX('Inventory Master'!$T$2:$T$525,MATCH($A182,'Inventory Master'!$A$2:$A$525,0)),0)</f>
        <v>1</v>
      </c>
      <c r="I182" s="27" t="n">
        <v>1</v>
      </c>
      <c r="J182" s="27" t="n">
        <f aca="false">MAX(0,$H182-$I182)</f>
        <v>0</v>
      </c>
      <c r="K182" s="34" t="str">
        <f aca="false">IF($H182&gt;0,"In Stock","Out of Stock")</f>
        <v>In Stock</v>
      </c>
      <c r="L182" s="24" t="s">
        <v>1852</v>
      </c>
      <c r="M182" s="34" t="s">
        <v>1853</v>
      </c>
      <c r="N182" s="24" t="n">
        <v>3</v>
      </c>
      <c r="O182" s="24" t="n">
        <v>4</v>
      </c>
      <c r="P182" s="24" t="n">
        <v>1</v>
      </c>
      <c r="Q182" s="24" t="str">
        <f aca="false">$L182&amp;"-"&amp;TEXT($N182,"00")&amp;"-"&amp;$O182&amp;"-"&amp;TEXT($P182,"00")</f>
        <v>C-03-4-01</v>
      </c>
      <c r="R182" s="34" t="str">
        <f aca="false">"ZONE "&amp;$L182&amp;" / BAY "&amp;TEXT($N182,"00")&amp;" / SHELF "&amp;$O182&amp;" / BIN "&amp;TEXT($P182,"00")</f>
        <v>ZONE C / BAY 03 / SHELF 4 / BIN 01</v>
      </c>
      <c r="S182" s="34" t="s">
        <v>1847</v>
      </c>
      <c r="T182" s="34" t="s">
        <v>1844</v>
      </c>
      <c r="U182" s="27" t="n">
        <v>181</v>
      </c>
      <c r="V182" s="30" t="n">
        <v>46219</v>
      </c>
      <c r="W182" s="34" t="str">
        <f aca="false">IF($H182&gt;0,"Yes - "&amp;$H182&amp;" in stock at Store 0146 (size "&amp;$G182&amp;"). Back room location "&amp;$Q182&amp;" ("&amp;$R182&amp;"), "&amp;$S182&amp;". Back room "&amp;$J182&amp;" / sales floor "&amp;$I182&amp;".","Not currently in stock at Store 0146 (size "&amp;$G182&amp;"). Home location is "&amp;$Q182&amp;" ("&amp;$R182&amp;") when replenished.")</f>
        <v>Yes - 1 in stock at Store 0146 (size 6). Back room location C-03-4-01 (ZONE C / BAY 03 / SHELF 4 / BIN 01), Overhead - step stool. Back room 0 / sales floor 1.</v>
      </c>
    </row>
    <row r="183" customFormat="false" ht="15" hidden="false" customHeight="false" outlineLevel="0" collapsed="false">
      <c r="A183" s="34" t="s">
        <v>595</v>
      </c>
      <c r="B183" s="34" t="s">
        <v>596</v>
      </c>
      <c r="C183" s="34" t="s">
        <v>597</v>
      </c>
      <c r="D183" s="34" t="s">
        <v>123</v>
      </c>
      <c r="E183" s="34" t="s">
        <v>598</v>
      </c>
      <c r="F183" s="34" t="s">
        <v>600</v>
      </c>
      <c r="G183" s="24" t="s">
        <v>308</v>
      </c>
      <c r="H183" s="27" t="n">
        <f aca="false">IFERROR(INDEX('Inventory Master'!$T$2:$T$525,MATCH($A183,'Inventory Master'!$A$2:$A$525,0)),0)</f>
        <v>5</v>
      </c>
      <c r="I183" s="27" t="n">
        <v>1</v>
      </c>
      <c r="J183" s="27" t="n">
        <f aca="false">MAX(0,$H183-$I183)</f>
        <v>4</v>
      </c>
      <c r="K183" s="34" t="str">
        <f aca="false">IF($H183&gt;0,"In Stock","Out of Stock")</f>
        <v>In Stock</v>
      </c>
      <c r="L183" s="24" t="s">
        <v>1852</v>
      </c>
      <c r="M183" s="34" t="s">
        <v>1853</v>
      </c>
      <c r="N183" s="24" t="n">
        <v>3</v>
      </c>
      <c r="O183" s="24" t="n">
        <v>4</v>
      </c>
      <c r="P183" s="24" t="n">
        <v>2</v>
      </c>
      <c r="Q183" s="24" t="str">
        <f aca="false">$L183&amp;"-"&amp;TEXT($N183,"00")&amp;"-"&amp;$O183&amp;"-"&amp;TEXT($P183,"00")</f>
        <v>C-03-4-02</v>
      </c>
      <c r="R183" s="34" t="str">
        <f aca="false">"ZONE "&amp;$L183&amp;" / BAY "&amp;TEXT($N183,"00")&amp;" / SHELF "&amp;$O183&amp;" / BIN "&amp;TEXT($P183,"00")</f>
        <v>ZONE C / BAY 03 / SHELF 4 / BIN 02</v>
      </c>
      <c r="S183" s="34" t="s">
        <v>1847</v>
      </c>
      <c r="T183" s="34" t="s">
        <v>1844</v>
      </c>
      <c r="U183" s="27" t="n">
        <v>182</v>
      </c>
      <c r="V183" s="30" t="n">
        <v>46200</v>
      </c>
      <c r="W183" s="34" t="str">
        <f aca="false">IF($H183&gt;0,"Yes - "&amp;$H183&amp;" in stock at Store 0146 (size "&amp;$G183&amp;"). Back room location "&amp;$Q183&amp;" ("&amp;$R183&amp;"), "&amp;$S183&amp;". Back room "&amp;$J183&amp;" / sales floor "&amp;$I183&amp;".","Not currently in stock at Store 0146 (size "&amp;$G183&amp;"). Home location is "&amp;$Q183&amp;" ("&amp;$R183&amp;") when replenished.")</f>
        <v>Yes - 5 in stock at Store 0146 (size 6.5). Back room location C-03-4-02 (ZONE C / BAY 03 / SHELF 4 / BIN 02), Overhead - step stool. Back room 4 / sales floor 1.</v>
      </c>
    </row>
    <row r="184" customFormat="false" ht="15" hidden="false" customHeight="false" outlineLevel="0" collapsed="false">
      <c r="A184" s="34" t="s">
        <v>1166</v>
      </c>
      <c r="B184" s="34" t="s">
        <v>1167</v>
      </c>
      <c r="C184" s="34" t="s">
        <v>597</v>
      </c>
      <c r="D184" s="34" t="s">
        <v>123</v>
      </c>
      <c r="E184" s="34" t="s">
        <v>598</v>
      </c>
      <c r="F184" s="34" t="s">
        <v>600</v>
      </c>
      <c r="G184" s="24" t="s">
        <v>338</v>
      </c>
      <c r="H184" s="27" t="n">
        <f aca="false">IFERROR(INDEX('Inventory Master'!$T$2:$T$525,MATCH($A184,'Inventory Master'!$A$2:$A$525,0)),0)</f>
        <v>4</v>
      </c>
      <c r="I184" s="27" t="n">
        <v>1</v>
      </c>
      <c r="J184" s="27" t="n">
        <f aca="false">MAX(0,$H184-$I184)</f>
        <v>3</v>
      </c>
      <c r="K184" s="34" t="str">
        <f aca="false">IF($H184&gt;0,"In Stock","Out of Stock")</f>
        <v>In Stock</v>
      </c>
      <c r="L184" s="24" t="s">
        <v>1852</v>
      </c>
      <c r="M184" s="34" t="s">
        <v>1853</v>
      </c>
      <c r="N184" s="24" t="n">
        <v>3</v>
      </c>
      <c r="O184" s="24" t="n">
        <v>4</v>
      </c>
      <c r="P184" s="24" t="n">
        <v>3</v>
      </c>
      <c r="Q184" s="24" t="str">
        <f aca="false">$L184&amp;"-"&amp;TEXT($N184,"00")&amp;"-"&amp;$O184&amp;"-"&amp;TEXT($P184,"00")</f>
        <v>C-03-4-03</v>
      </c>
      <c r="R184" s="34" t="str">
        <f aca="false">"ZONE "&amp;$L184&amp;" / BAY "&amp;TEXT($N184,"00")&amp;" / SHELF "&amp;$O184&amp;" / BIN "&amp;TEXT($P184,"00")</f>
        <v>ZONE C / BAY 03 / SHELF 4 / BIN 03</v>
      </c>
      <c r="S184" s="34" t="s">
        <v>1847</v>
      </c>
      <c r="T184" s="34" t="s">
        <v>1844</v>
      </c>
      <c r="U184" s="27" t="n">
        <v>183</v>
      </c>
      <c r="V184" s="30" t="n">
        <v>46185</v>
      </c>
      <c r="W184" s="34" t="str">
        <f aca="false">IF($H184&gt;0,"Yes - "&amp;$H184&amp;" in stock at Store 0146 (size "&amp;$G184&amp;"). Back room location "&amp;$Q184&amp;" ("&amp;$R184&amp;"), "&amp;$S184&amp;". Back room "&amp;$J184&amp;" / sales floor "&amp;$I184&amp;".","Not currently in stock at Store 0146 (size "&amp;$G184&amp;"). Home location is "&amp;$Q184&amp;" ("&amp;$R184&amp;") when replenished.")</f>
        <v>Yes - 4 in stock at Store 0146 (size 7). Back room location C-03-4-03 (ZONE C / BAY 03 / SHELF 4 / BIN 03), Overhead - step stool. Back room 3 / sales floor 1.</v>
      </c>
    </row>
    <row r="185" customFormat="false" ht="15" hidden="false" customHeight="false" outlineLevel="0" collapsed="false">
      <c r="A185" s="34" t="s">
        <v>1751</v>
      </c>
      <c r="B185" s="34" t="s">
        <v>1752</v>
      </c>
      <c r="C185" s="34" t="s">
        <v>330</v>
      </c>
      <c r="D185" s="34" t="s">
        <v>332</v>
      </c>
      <c r="E185" s="34" t="s">
        <v>333</v>
      </c>
      <c r="F185" s="34" t="s">
        <v>335</v>
      </c>
      <c r="G185" s="24" t="s">
        <v>308</v>
      </c>
      <c r="H185" s="27" t="n">
        <f aca="false">IFERROR(INDEX('Inventory Master'!$T$2:$T$525,MATCH($A185,'Inventory Master'!$A$2:$A$525,0)),0)</f>
        <v>0</v>
      </c>
      <c r="I185" s="27" t="n">
        <v>0</v>
      </c>
      <c r="J185" s="27" t="n">
        <f aca="false">MAX(0,$H185-$I185)</f>
        <v>0</v>
      </c>
      <c r="K185" s="34" t="str">
        <f aca="false">IF($H185&gt;0,"In Stock","Out of Stock")</f>
        <v>Out of Stock</v>
      </c>
      <c r="L185" s="24" t="s">
        <v>1852</v>
      </c>
      <c r="M185" s="34" t="s">
        <v>1853</v>
      </c>
      <c r="N185" s="24" t="n">
        <v>3</v>
      </c>
      <c r="O185" s="24" t="n">
        <v>5</v>
      </c>
      <c r="P185" s="24" t="n">
        <v>1</v>
      </c>
      <c r="Q185" s="24" t="str">
        <f aca="false">$L185&amp;"-"&amp;TEXT($N185,"00")&amp;"-"&amp;$O185&amp;"-"&amp;TEXT($P185,"00")</f>
        <v>C-03-5-01</v>
      </c>
      <c r="R185" s="34" t="str">
        <f aca="false">"ZONE "&amp;$L185&amp;" / BAY "&amp;TEXT($N185,"00")&amp;" / SHELF "&amp;$O185&amp;" / BIN "&amp;TEXT($P185,"00")</f>
        <v>ZONE C / BAY 03 / SHELF 5 / BIN 01</v>
      </c>
      <c r="S185" s="34" t="s">
        <v>1848</v>
      </c>
      <c r="T185" s="34" t="s">
        <v>1844</v>
      </c>
      <c r="U185" s="27" t="n">
        <v>184</v>
      </c>
      <c r="V185" s="30" t="n">
        <v>46189</v>
      </c>
      <c r="W185" s="34" t="str">
        <f aca="false">IF($H185&gt;0,"Yes - "&amp;$H185&amp;" in stock at Store 0146 (size "&amp;$G185&amp;"). Back room location "&amp;$Q185&amp;" ("&amp;$R185&amp;"), "&amp;$S185&amp;". Back room "&amp;$J185&amp;" / sales floor "&amp;$I185&amp;".","Not currently in stock at Store 0146 (size "&amp;$G185&amp;"). Home location is "&amp;$Q185&amp;" ("&amp;$R185&amp;") when replenished.")</f>
        <v>Not currently in stock at Store 0146 (size 6.5). Home location is C-03-5-01 (ZONE C / BAY 03 / SHELF 5 / BIN 01) when replenished.</v>
      </c>
    </row>
    <row r="186" customFormat="false" ht="15" hidden="false" customHeight="false" outlineLevel="0" collapsed="false">
      <c r="A186" s="34" t="s">
        <v>328</v>
      </c>
      <c r="B186" s="34" t="s">
        <v>329</v>
      </c>
      <c r="C186" s="34" t="s">
        <v>330</v>
      </c>
      <c r="D186" s="34" t="s">
        <v>332</v>
      </c>
      <c r="E186" s="34" t="s">
        <v>333</v>
      </c>
      <c r="F186" s="34" t="s">
        <v>335</v>
      </c>
      <c r="G186" s="24" t="s">
        <v>338</v>
      </c>
      <c r="H186" s="27" t="n">
        <f aca="false">IFERROR(INDEX('Inventory Master'!$T$2:$T$525,MATCH($A186,'Inventory Master'!$A$2:$A$525,0)),0)</f>
        <v>5</v>
      </c>
      <c r="I186" s="27" t="n">
        <v>2</v>
      </c>
      <c r="J186" s="27" t="n">
        <f aca="false">MAX(0,$H186-$I186)</f>
        <v>3</v>
      </c>
      <c r="K186" s="34" t="str">
        <f aca="false">IF($H186&gt;0,"In Stock","Out of Stock")</f>
        <v>In Stock</v>
      </c>
      <c r="L186" s="24" t="s">
        <v>1852</v>
      </c>
      <c r="M186" s="34" t="s">
        <v>1853</v>
      </c>
      <c r="N186" s="24" t="n">
        <v>3</v>
      </c>
      <c r="O186" s="24" t="n">
        <v>5</v>
      </c>
      <c r="P186" s="24" t="n">
        <v>2</v>
      </c>
      <c r="Q186" s="24" t="str">
        <f aca="false">$L186&amp;"-"&amp;TEXT($N186,"00")&amp;"-"&amp;$O186&amp;"-"&amp;TEXT($P186,"00")</f>
        <v>C-03-5-02</v>
      </c>
      <c r="R186" s="34" t="str">
        <f aca="false">"ZONE "&amp;$L186&amp;" / BAY "&amp;TEXT($N186,"00")&amp;" / SHELF "&amp;$O186&amp;" / BIN "&amp;TEXT($P186,"00")</f>
        <v>ZONE C / BAY 03 / SHELF 5 / BIN 02</v>
      </c>
      <c r="S186" s="34" t="s">
        <v>1848</v>
      </c>
      <c r="T186" s="34" t="s">
        <v>1844</v>
      </c>
      <c r="U186" s="27" t="n">
        <v>185</v>
      </c>
      <c r="V186" s="30" t="n">
        <v>46229</v>
      </c>
      <c r="W186" s="34" t="str">
        <f aca="false">IF($H186&gt;0,"Yes - "&amp;$H186&amp;" in stock at Store 0146 (size "&amp;$G186&amp;"). Back room location "&amp;$Q186&amp;" ("&amp;$R186&amp;"), "&amp;$S186&amp;". Back room "&amp;$J186&amp;" / sales floor "&amp;$I186&amp;".","Not currently in stock at Store 0146 (size "&amp;$G186&amp;"). Home location is "&amp;$Q186&amp;" ("&amp;$R186&amp;") when replenished.")</f>
        <v>Yes - 5 in stock at Store 0146 (size 7). Back room location C-03-5-02 (ZONE C / BAY 03 / SHELF 5 / BIN 02), Top shelf - ladder required. Back room 3 / sales floor 2.</v>
      </c>
    </row>
    <row r="187" customFormat="false" ht="15" hidden="false" customHeight="false" outlineLevel="0" collapsed="false">
      <c r="A187" s="34" t="s">
        <v>1605</v>
      </c>
      <c r="B187" s="34" t="s">
        <v>1606</v>
      </c>
      <c r="C187" s="34" t="s">
        <v>330</v>
      </c>
      <c r="D187" s="34" t="s">
        <v>332</v>
      </c>
      <c r="E187" s="34" t="s">
        <v>333</v>
      </c>
      <c r="F187" s="34" t="s">
        <v>335</v>
      </c>
      <c r="G187" s="24" t="s">
        <v>291</v>
      </c>
      <c r="H187" s="27" t="n">
        <f aca="false">IFERROR(INDEX('Inventory Master'!$T$2:$T$525,MATCH($A187,'Inventory Master'!$A$2:$A$525,0)),0)</f>
        <v>2</v>
      </c>
      <c r="I187" s="27" t="n">
        <v>1</v>
      </c>
      <c r="J187" s="27" t="n">
        <f aca="false">MAX(0,$H187-$I187)</f>
        <v>1</v>
      </c>
      <c r="K187" s="34" t="str">
        <f aca="false">IF($H187&gt;0,"In Stock","Out of Stock")</f>
        <v>In Stock</v>
      </c>
      <c r="L187" s="24" t="s">
        <v>1852</v>
      </c>
      <c r="M187" s="34" t="s">
        <v>1853</v>
      </c>
      <c r="N187" s="24" t="n">
        <v>3</v>
      </c>
      <c r="O187" s="24" t="n">
        <v>5</v>
      </c>
      <c r="P187" s="24" t="n">
        <v>3</v>
      </c>
      <c r="Q187" s="24" t="str">
        <f aca="false">$L187&amp;"-"&amp;TEXT($N187,"00")&amp;"-"&amp;$O187&amp;"-"&amp;TEXT($P187,"00")</f>
        <v>C-03-5-03</v>
      </c>
      <c r="R187" s="34" t="str">
        <f aca="false">"ZONE "&amp;$L187&amp;" / BAY "&amp;TEXT($N187,"00")&amp;" / SHELF "&amp;$O187&amp;" / BIN "&amp;TEXT($P187,"00")</f>
        <v>ZONE C / BAY 03 / SHELF 5 / BIN 03</v>
      </c>
      <c r="S187" s="34" t="s">
        <v>1848</v>
      </c>
      <c r="T187" s="34" t="s">
        <v>1844</v>
      </c>
      <c r="U187" s="27" t="n">
        <v>186</v>
      </c>
      <c r="V187" s="30" t="n">
        <v>46181</v>
      </c>
      <c r="W187" s="34" t="str">
        <f aca="false">IF($H187&gt;0,"Yes - "&amp;$H187&amp;" in stock at Store 0146 (size "&amp;$G187&amp;"). Back room location "&amp;$Q187&amp;" ("&amp;$R187&amp;"), "&amp;$S187&amp;". Back room "&amp;$J187&amp;" / sales floor "&amp;$I187&amp;".","Not currently in stock at Store 0146 (size "&amp;$G187&amp;"). Home location is "&amp;$Q187&amp;" ("&amp;$R187&amp;") when replenished.")</f>
        <v>Yes - 2 in stock at Store 0146 (size 7.5). Back room location C-03-5-03 (ZONE C / BAY 03 / SHELF 5 / BIN 03), Top shelf - ladder required. Back room 1 / sales floor 1.</v>
      </c>
    </row>
    <row r="188" customFormat="false" ht="15" hidden="false" customHeight="false" outlineLevel="0" collapsed="false">
      <c r="A188" s="34" t="s">
        <v>1150</v>
      </c>
      <c r="B188" s="34" t="s">
        <v>1151</v>
      </c>
      <c r="C188" s="34" t="s">
        <v>330</v>
      </c>
      <c r="D188" s="34" t="s">
        <v>332</v>
      </c>
      <c r="E188" s="34" t="s">
        <v>333</v>
      </c>
      <c r="F188" s="34" t="s">
        <v>335</v>
      </c>
      <c r="G188" s="24" t="s">
        <v>356</v>
      </c>
      <c r="H188" s="27" t="n">
        <f aca="false">IFERROR(INDEX('Inventory Master'!$T$2:$T$525,MATCH($A188,'Inventory Master'!$A$2:$A$525,0)),0)</f>
        <v>1</v>
      </c>
      <c r="I188" s="27" t="n">
        <v>1</v>
      </c>
      <c r="J188" s="27" t="n">
        <f aca="false">MAX(0,$H188-$I188)</f>
        <v>0</v>
      </c>
      <c r="K188" s="34" t="str">
        <f aca="false">IF($H188&gt;0,"In Stock","Out of Stock")</f>
        <v>In Stock</v>
      </c>
      <c r="L188" s="24" t="s">
        <v>1852</v>
      </c>
      <c r="M188" s="34" t="s">
        <v>1853</v>
      </c>
      <c r="N188" s="24" t="n">
        <v>3</v>
      </c>
      <c r="O188" s="24" t="n">
        <v>5</v>
      </c>
      <c r="P188" s="24" t="n">
        <v>4</v>
      </c>
      <c r="Q188" s="24" t="str">
        <f aca="false">$L188&amp;"-"&amp;TEXT($N188,"00")&amp;"-"&amp;$O188&amp;"-"&amp;TEXT($P188,"00")</f>
        <v>C-03-5-04</v>
      </c>
      <c r="R188" s="34" t="str">
        <f aca="false">"ZONE "&amp;$L188&amp;" / BAY "&amp;TEXT($N188,"00")&amp;" / SHELF "&amp;$O188&amp;" / BIN "&amp;TEXT($P188,"00")</f>
        <v>ZONE C / BAY 03 / SHELF 5 / BIN 04</v>
      </c>
      <c r="S188" s="34" t="s">
        <v>1848</v>
      </c>
      <c r="T188" s="34" t="s">
        <v>1844</v>
      </c>
      <c r="U188" s="27" t="n">
        <v>187</v>
      </c>
      <c r="V188" s="30" t="n">
        <v>46168</v>
      </c>
      <c r="W188" s="34" t="str">
        <f aca="false">IF($H188&gt;0,"Yes - "&amp;$H188&amp;" in stock at Store 0146 (size "&amp;$G188&amp;"). Back room location "&amp;$Q188&amp;" ("&amp;$R188&amp;"), "&amp;$S188&amp;". Back room "&amp;$J188&amp;" / sales floor "&amp;$I188&amp;".","Not currently in stock at Store 0146 (size "&amp;$G188&amp;"). Home location is "&amp;$Q188&amp;" ("&amp;$R188&amp;") when replenished.")</f>
        <v>Yes - 1 in stock at Store 0146 (size 8). Back room location C-03-5-04 (ZONE C / BAY 03 / SHELF 5 / BIN 04), Top shelf - ladder required. Back room 0 / sales floor 1.</v>
      </c>
    </row>
    <row r="189" customFormat="false" ht="15" hidden="false" customHeight="false" outlineLevel="0" collapsed="false">
      <c r="A189" s="34" t="s">
        <v>838</v>
      </c>
      <c r="B189" s="34" t="s">
        <v>839</v>
      </c>
      <c r="C189" s="34" t="s">
        <v>330</v>
      </c>
      <c r="D189" s="34" t="s">
        <v>332</v>
      </c>
      <c r="E189" s="34" t="s">
        <v>333</v>
      </c>
      <c r="F189" s="34" t="s">
        <v>335</v>
      </c>
      <c r="G189" s="24" t="s">
        <v>188</v>
      </c>
      <c r="H189" s="27" t="n">
        <f aca="false">IFERROR(INDEX('Inventory Master'!$T$2:$T$525,MATCH($A189,'Inventory Master'!$A$2:$A$525,0)),0)</f>
        <v>3</v>
      </c>
      <c r="I189" s="27" t="n">
        <v>1</v>
      </c>
      <c r="J189" s="27" t="n">
        <f aca="false">MAX(0,$H189-$I189)</f>
        <v>2</v>
      </c>
      <c r="K189" s="34" t="str">
        <f aca="false">IF($H189&gt;0,"In Stock","Out of Stock")</f>
        <v>In Stock</v>
      </c>
      <c r="L189" s="24" t="s">
        <v>1852</v>
      </c>
      <c r="M189" s="34" t="s">
        <v>1853</v>
      </c>
      <c r="N189" s="24" t="n">
        <v>3</v>
      </c>
      <c r="O189" s="24" t="n">
        <v>5</v>
      </c>
      <c r="P189" s="24" t="n">
        <v>5</v>
      </c>
      <c r="Q189" s="24" t="str">
        <f aca="false">$L189&amp;"-"&amp;TEXT($N189,"00")&amp;"-"&amp;$O189&amp;"-"&amp;TEXT($P189,"00")</f>
        <v>C-03-5-05</v>
      </c>
      <c r="R189" s="34" t="str">
        <f aca="false">"ZONE "&amp;$L189&amp;" / BAY "&amp;TEXT($N189,"00")&amp;" / SHELF "&amp;$O189&amp;" / BIN "&amp;TEXT($P189,"00")</f>
        <v>ZONE C / BAY 03 / SHELF 5 / BIN 05</v>
      </c>
      <c r="S189" s="34" t="s">
        <v>1848</v>
      </c>
      <c r="T189" s="34" t="s">
        <v>1844</v>
      </c>
      <c r="U189" s="27" t="n">
        <v>188</v>
      </c>
      <c r="V189" s="30" t="n">
        <v>46202</v>
      </c>
      <c r="W189" s="34" t="str">
        <f aca="false">IF($H189&gt;0,"Yes - "&amp;$H189&amp;" in stock at Store 0146 (size "&amp;$G189&amp;"). Back room location "&amp;$Q189&amp;" ("&amp;$R189&amp;"), "&amp;$S189&amp;". Back room "&amp;$J189&amp;" / sales floor "&amp;$I189&amp;".","Not currently in stock at Store 0146 (size "&amp;$G189&amp;"). Home location is "&amp;$Q189&amp;" ("&amp;$R189&amp;") when replenished.")</f>
        <v>Yes - 3 in stock at Store 0146 (size 8.5). Back room location C-03-5-05 (ZONE C / BAY 03 / SHELF 5 / BIN 05), Top shelf - ladder required. Back room 2 / sales floor 1.</v>
      </c>
    </row>
    <row r="190" customFormat="false" ht="15" hidden="false" customHeight="false" outlineLevel="0" collapsed="false">
      <c r="A190" s="34" t="s">
        <v>1801</v>
      </c>
      <c r="B190" s="34" t="s">
        <v>1802</v>
      </c>
      <c r="C190" s="34" t="s">
        <v>366</v>
      </c>
      <c r="D190" s="34" t="s">
        <v>252</v>
      </c>
      <c r="E190" s="34" t="s">
        <v>367</v>
      </c>
      <c r="F190" s="34" t="s">
        <v>369</v>
      </c>
      <c r="G190" s="24" t="s">
        <v>308</v>
      </c>
      <c r="H190" s="27" t="n">
        <f aca="false">IFERROR(INDEX('Inventory Master'!$T$2:$T$525,MATCH($A190,'Inventory Master'!$A$2:$A$525,0)),0)</f>
        <v>2</v>
      </c>
      <c r="I190" s="27" t="n">
        <v>0</v>
      </c>
      <c r="J190" s="27" t="n">
        <f aca="false">MAX(0,$H190-$I190)</f>
        <v>2</v>
      </c>
      <c r="K190" s="34" t="str">
        <f aca="false">IF($H190&gt;0,"In Stock","Out of Stock")</f>
        <v>In Stock</v>
      </c>
      <c r="L190" s="24" t="s">
        <v>1852</v>
      </c>
      <c r="M190" s="34" t="s">
        <v>1853</v>
      </c>
      <c r="N190" s="24" t="n">
        <v>4</v>
      </c>
      <c r="O190" s="24" t="n">
        <v>1</v>
      </c>
      <c r="P190" s="24" t="n">
        <v>1</v>
      </c>
      <c r="Q190" s="24" t="str">
        <f aca="false">$L190&amp;"-"&amp;TEXT($N190,"00")&amp;"-"&amp;$O190&amp;"-"&amp;TEXT($P190,"00")</f>
        <v>C-04-1-01</v>
      </c>
      <c r="R190" s="34" t="str">
        <f aca="false">"ZONE "&amp;$L190&amp;" / BAY "&amp;TEXT($N190,"00")&amp;" / SHELF "&amp;$O190&amp;" / BIN "&amp;TEXT($P190,"00")</f>
        <v>ZONE C / BAY 04 / SHELF 1 / BIN 01</v>
      </c>
      <c r="S190" s="34" t="s">
        <v>1843</v>
      </c>
      <c r="T190" s="34" t="s">
        <v>1844</v>
      </c>
      <c r="U190" s="27" t="n">
        <v>189</v>
      </c>
      <c r="V190" s="30" t="n">
        <v>46164</v>
      </c>
      <c r="W190" s="34" t="str">
        <f aca="false">IF($H190&gt;0,"Yes - "&amp;$H190&amp;" in stock at Store 0146 (size "&amp;$G190&amp;"). Back room location "&amp;$Q190&amp;" ("&amp;$R190&amp;"), "&amp;$S190&amp;". Back room "&amp;$J190&amp;" / sales floor "&amp;$I190&amp;".","Not currently in stock at Store 0146 (size "&amp;$G190&amp;"). Home location is "&amp;$Q190&amp;" ("&amp;$R190&amp;") when replenished.")</f>
        <v>Yes - 2 in stock at Store 0146 (size 6.5). Back room location C-04-1-01 (ZONE C / BAY 04 / SHELF 1 / BIN 01), Floor level - no reach. Back room 2 / sales floor 0.</v>
      </c>
    </row>
    <row r="191" customFormat="false" ht="15" hidden="false" customHeight="false" outlineLevel="0" collapsed="false">
      <c r="A191" s="34" t="s">
        <v>364</v>
      </c>
      <c r="B191" s="34" t="s">
        <v>365</v>
      </c>
      <c r="C191" s="34" t="s">
        <v>366</v>
      </c>
      <c r="D191" s="34" t="s">
        <v>252</v>
      </c>
      <c r="E191" s="34" t="s">
        <v>367</v>
      </c>
      <c r="F191" s="34" t="s">
        <v>369</v>
      </c>
      <c r="G191" s="24" t="s">
        <v>338</v>
      </c>
      <c r="H191" s="27" t="n">
        <f aca="false">IFERROR(INDEX('Inventory Master'!$T$2:$T$525,MATCH($A191,'Inventory Master'!$A$2:$A$525,0)),0)</f>
        <v>0</v>
      </c>
      <c r="I191" s="27" t="n">
        <v>0</v>
      </c>
      <c r="J191" s="27" t="n">
        <f aca="false">MAX(0,$H191-$I191)</f>
        <v>0</v>
      </c>
      <c r="K191" s="34" t="str">
        <f aca="false">IF($H191&gt;0,"In Stock","Out of Stock")</f>
        <v>Out of Stock</v>
      </c>
      <c r="L191" s="24" t="s">
        <v>1852</v>
      </c>
      <c r="M191" s="34" t="s">
        <v>1853</v>
      </c>
      <c r="N191" s="24" t="n">
        <v>4</v>
      </c>
      <c r="O191" s="24" t="n">
        <v>1</v>
      </c>
      <c r="P191" s="24" t="n">
        <v>2</v>
      </c>
      <c r="Q191" s="24" t="str">
        <f aca="false">$L191&amp;"-"&amp;TEXT($N191,"00")&amp;"-"&amp;$O191&amp;"-"&amp;TEXT($P191,"00")</f>
        <v>C-04-1-02</v>
      </c>
      <c r="R191" s="34" t="str">
        <f aca="false">"ZONE "&amp;$L191&amp;" / BAY "&amp;TEXT($N191,"00")&amp;" / SHELF "&amp;$O191&amp;" / BIN "&amp;TEXT($P191,"00")</f>
        <v>ZONE C / BAY 04 / SHELF 1 / BIN 02</v>
      </c>
      <c r="S191" s="34" t="s">
        <v>1843</v>
      </c>
      <c r="T191" s="34" t="s">
        <v>1844</v>
      </c>
      <c r="U191" s="27" t="n">
        <v>190</v>
      </c>
      <c r="V191" s="30" t="n">
        <v>46214</v>
      </c>
      <c r="W191" s="34" t="str">
        <f aca="false">IF($H191&gt;0,"Yes - "&amp;$H191&amp;" in stock at Store 0146 (size "&amp;$G191&amp;"). Back room location "&amp;$Q191&amp;" ("&amp;$R191&amp;"), "&amp;$S191&amp;". Back room "&amp;$J191&amp;" / sales floor "&amp;$I191&amp;".","Not currently in stock at Store 0146 (size "&amp;$G191&amp;"). Home location is "&amp;$Q191&amp;" ("&amp;$R191&amp;") when replenished.")</f>
        <v>Not currently in stock at Store 0146 (size 7). Home location is C-04-1-02 (ZONE C / BAY 04 / SHELF 1 / BIN 02) when replenished.</v>
      </c>
    </row>
    <row r="192" customFormat="false" ht="15" hidden="false" customHeight="false" outlineLevel="0" collapsed="false">
      <c r="A192" s="34" t="s">
        <v>1061</v>
      </c>
      <c r="B192" s="34" t="s">
        <v>1062</v>
      </c>
      <c r="C192" s="34" t="s">
        <v>366</v>
      </c>
      <c r="D192" s="34" t="s">
        <v>252</v>
      </c>
      <c r="E192" s="34" t="s">
        <v>367</v>
      </c>
      <c r="F192" s="34" t="s">
        <v>369</v>
      </c>
      <c r="G192" s="24" t="s">
        <v>291</v>
      </c>
      <c r="H192" s="27" t="n">
        <f aca="false">IFERROR(INDEX('Inventory Master'!$T$2:$T$525,MATCH($A192,'Inventory Master'!$A$2:$A$525,0)),0)</f>
        <v>4</v>
      </c>
      <c r="I192" s="27" t="n">
        <v>1</v>
      </c>
      <c r="J192" s="27" t="n">
        <f aca="false">MAX(0,$H192-$I192)</f>
        <v>3</v>
      </c>
      <c r="K192" s="34" t="str">
        <f aca="false">IF($H192&gt;0,"In Stock","Out of Stock")</f>
        <v>In Stock</v>
      </c>
      <c r="L192" s="24" t="s">
        <v>1852</v>
      </c>
      <c r="M192" s="34" t="s">
        <v>1853</v>
      </c>
      <c r="N192" s="24" t="n">
        <v>4</v>
      </c>
      <c r="O192" s="24" t="n">
        <v>1</v>
      </c>
      <c r="P192" s="24" t="n">
        <v>3</v>
      </c>
      <c r="Q192" s="24" t="str">
        <f aca="false">$L192&amp;"-"&amp;TEXT($N192,"00")&amp;"-"&amp;$O192&amp;"-"&amp;TEXT($P192,"00")</f>
        <v>C-04-1-03</v>
      </c>
      <c r="R192" s="34" t="str">
        <f aca="false">"ZONE "&amp;$L192&amp;" / BAY "&amp;TEXT($N192,"00")&amp;" / SHELF "&amp;$O192&amp;" / BIN "&amp;TEXT($P192,"00")</f>
        <v>ZONE C / BAY 04 / SHELF 1 / BIN 03</v>
      </c>
      <c r="S192" s="34" t="s">
        <v>1843</v>
      </c>
      <c r="T192" s="34" t="s">
        <v>1844</v>
      </c>
      <c r="U192" s="27" t="n">
        <v>191</v>
      </c>
      <c r="V192" s="30" t="n">
        <v>46207</v>
      </c>
      <c r="W192" s="34" t="str">
        <f aca="false">IF($H192&gt;0,"Yes - "&amp;$H192&amp;" in stock at Store 0146 (size "&amp;$G192&amp;"). Back room location "&amp;$Q192&amp;" ("&amp;$R192&amp;"), "&amp;$S192&amp;". Back room "&amp;$J192&amp;" / sales floor "&amp;$I192&amp;".","Not currently in stock at Store 0146 (size "&amp;$G192&amp;"). Home location is "&amp;$Q192&amp;" ("&amp;$R192&amp;") when replenished.")</f>
        <v>Yes - 4 in stock at Store 0146 (size 7.5). Back room location C-04-1-03 (ZONE C / BAY 04 / SHELF 1 / BIN 03), Floor level - no reach. Back room 3 / sales floor 1.</v>
      </c>
    </row>
    <row r="193" customFormat="false" ht="15" hidden="false" customHeight="false" outlineLevel="0" collapsed="false">
      <c r="A193" s="34" t="s">
        <v>1753</v>
      </c>
      <c r="B193" s="34" t="s">
        <v>1754</v>
      </c>
      <c r="C193" s="34" t="s">
        <v>366</v>
      </c>
      <c r="D193" s="34" t="s">
        <v>252</v>
      </c>
      <c r="E193" s="34" t="s">
        <v>367</v>
      </c>
      <c r="F193" s="34" t="s">
        <v>369</v>
      </c>
      <c r="G193" s="24" t="s">
        <v>356</v>
      </c>
      <c r="H193" s="27" t="n">
        <f aca="false">IFERROR(INDEX('Inventory Master'!$T$2:$T$525,MATCH($A193,'Inventory Master'!$A$2:$A$525,0)),0)</f>
        <v>1</v>
      </c>
      <c r="I193" s="27" t="n">
        <v>1</v>
      </c>
      <c r="J193" s="27" t="n">
        <f aca="false">MAX(0,$H193-$I193)</f>
        <v>0</v>
      </c>
      <c r="K193" s="34" t="str">
        <f aca="false">IF($H193&gt;0,"In Stock","Out of Stock")</f>
        <v>In Stock</v>
      </c>
      <c r="L193" s="24" t="s">
        <v>1852</v>
      </c>
      <c r="M193" s="34" t="s">
        <v>1853</v>
      </c>
      <c r="N193" s="24" t="n">
        <v>4</v>
      </c>
      <c r="O193" s="24" t="n">
        <v>1</v>
      </c>
      <c r="P193" s="24" t="n">
        <v>4</v>
      </c>
      <c r="Q193" s="24" t="str">
        <f aca="false">$L193&amp;"-"&amp;TEXT($N193,"00")&amp;"-"&amp;$O193&amp;"-"&amp;TEXT($P193,"00")</f>
        <v>C-04-1-04</v>
      </c>
      <c r="R193" s="34" t="str">
        <f aca="false">"ZONE "&amp;$L193&amp;" / BAY "&amp;TEXT($N193,"00")&amp;" / SHELF "&amp;$O193&amp;" / BIN "&amp;TEXT($P193,"00")</f>
        <v>ZONE C / BAY 04 / SHELF 1 / BIN 04</v>
      </c>
      <c r="S193" s="34" t="s">
        <v>1843</v>
      </c>
      <c r="T193" s="34" t="s">
        <v>1844</v>
      </c>
      <c r="U193" s="27" t="n">
        <v>192</v>
      </c>
      <c r="V193" s="30" t="n">
        <v>46209</v>
      </c>
      <c r="W193" s="34" t="str">
        <f aca="false">IF($H193&gt;0,"Yes - "&amp;$H193&amp;" in stock at Store 0146 (size "&amp;$G193&amp;"). Back room location "&amp;$Q193&amp;" ("&amp;$R193&amp;"), "&amp;$S193&amp;". Back room "&amp;$J193&amp;" / sales floor "&amp;$I193&amp;".","Not currently in stock at Store 0146 (size "&amp;$G193&amp;"). Home location is "&amp;$Q193&amp;" ("&amp;$R193&amp;") when replenished.")</f>
        <v>Yes - 1 in stock at Store 0146 (size 8). Back room location C-04-1-04 (ZONE C / BAY 04 / SHELF 1 / BIN 04), Floor level - no reach. Back room 0 / sales floor 1.</v>
      </c>
    </row>
    <row r="194" customFormat="false" ht="15" hidden="false" customHeight="false" outlineLevel="0" collapsed="false">
      <c r="A194" s="34" t="s">
        <v>1574</v>
      </c>
      <c r="B194" s="34" t="s">
        <v>1575</v>
      </c>
      <c r="C194" s="34" t="s">
        <v>366</v>
      </c>
      <c r="D194" s="34" t="s">
        <v>252</v>
      </c>
      <c r="E194" s="34" t="s">
        <v>367</v>
      </c>
      <c r="F194" s="34" t="s">
        <v>369</v>
      </c>
      <c r="G194" s="24" t="s">
        <v>188</v>
      </c>
      <c r="H194" s="27" t="n">
        <f aca="false">IFERROR(INDEX('Inventory Master'!$T$2:$T$525,MATCH($A194,'Inventory Master'!$A$2:$A$525,0)),0)</f>
        <v>3</v>
      </c>
      <c r="I194" s="27" t="n">
        <v>1</v>
      </c>
      <c r="J194" s="27" t="n">
        <f aca="false">MAX(0,$H194-$I194)</f>
        <v>2</v>
      </c>
      <c r="K194" s="34" t="str">
        <f aca="false">IF($H194&gt;0,"In Stock","Out of Stock")</f>
        <v>In Stock</v>
      </c>
      <c r="L194" s="24" t="s">
        <v>1852</v>
      </c>
      <c r="M194" s="34" t="s">
        <v>1853</v>
      </c>
      <c r="N194" s="24" t="n">
        <v>4</v>
      </c>
      <c r="O194" s="24" t="n">
        <v>1</v>
      </c>
      <c r="P194" s="24" t="n">
        <v>5</v>
      </c>
      <c r="Q194" s="24" t="str">
        <f aca="false">$L194&amp;"-"&amp;TEXT($N194,"00")&amp;"-"&amp;$O194&amp;"-"&amp;TEXT($P194,"00")</f>
        <v>C-04-1-05</v>
      </c>
      <c r="R194" s="34" t="str">
        <f aca="false">"ZONE "&amp;$L194&amp;" / BAY "&amp;TEXT($N194,"00")&amp;" / SHELF "&amp;$O194&amp;" / BIN "&amp;TEXT($P194,"00")</f>
        <v>ZONE C / BAY 04 / SHELF 1 / BIN 05</v>
      </c>
      <c r="S194" s="34" t="s">
        <v>1843</v>
      </c>
      <c r="T194" s="34" t="s">
        <v>1844</v>
      </c>
      <c r="U194" s="27" t="n">
        <v>193</v>
      </c>
      <c r="V194" s="30" t="n">
        <v>46139</v>
      </c>
      <c r="W194" s="34" t="str">
        <f aca="false">IF($H194&gt;0,"Yes - "&amp;$H194&amp;" in stock at Store 0146 (size "&amp;$G194&amp;"). Back room location "&amp;$Q194&amp;" ("&amp;$R194&amp;"), "&amp;$S194&amp;". Back room "&amp;$J194&amp;" / sales floor "&amp;$I194&amp;".","Not currently in stock at Store 0146 (size "&amp;$G194&amp;"). Home location is "&amp;$Q194&amp;" ("&amp;$R194&amp;") when replenished.")</f>
        <v>Yes - 3 in stock at Store 0146 (size 8.5). Back room location C-04-1-05 (ZONE C / BAY 04 / SHELF 1 / BIN 05), Floor level - no reach. Back room 2 / sales floor 1.</v>
      </c>
    </row>
    <row r="195" customFormat="false" ht="15" hidden="false" customHeight="false" outlineLevel="0" collapsed="false">
      <c r="A195" s="34" t="s">
        <v>1532</v>
      </c>
      <c r="B195" s="34" t="s">
        <v>1533</v>
      </c>
      <c r="C195" s="34" t="s">
        <v>366</v>
      </c>
      <c r="D195" s="34" t="s">
        <v>252</v>
      </c>
      <c r="E195" s="34" t="s">
        <v>367</v>
      </c>
      <c r="F195" s="34" t="s">
        <v>369</v>
      </c>
      <c r="G195" s="24" t="s">
        <v>164</v>
      </c>
      <c r="H195" s="27" t="n">
        <f aca="false">IFERROR(INDEX('Inventory Master'!$T$2:$T$525,MATCH($A195,'Inventory Master'!$A$2:$A$525,0)),0)</f>
        <v>4</v>
      </c>
      <c r="I195" s="27" t="n">
        <v>2</v>
      </c>
      <c r="J195" s="27" t="n">
        <f aca="false">MAX(0,$H195-$I195)</f>
        <v>2</v>
      </c>
      <c r="K195" s="34" t="str">
        <f aca="false">IF($H195&gt;0,"In Stock","Out of Stock")</f>
        <v>In Stock</v>
      </c>
      <c r="L195" s="24" t="s">
        <v>1852</v>
      </c>
      <c r="M195" s="34" t="s">
        <v>1853</v>
      </c>
      <c r="N195" s="24" t="n">
        <v>4</v>
      </c>
      <c r="O195" s="24" t="n">
        <v>1</v>
      </c>
      <c r="P195" s="24" t="n">
        <v>6</v>
      </c>
      <c r="Q195" s="24" t="str">
        <f aca="false">$L195&amp;"-"&amp;TEXT($N195,"00")&amp;"-"&amp;$O195&amp;"-"&amp;TEXT($P195,"00")</f>
        <v>C-04-1-06</v>
      </c>
      <c r="R195" s="34" t="str">
        <f aca="false">"ZONE "&amp;$L195&amp;" / BAY "&amp;TEXT($N195,"00")&amp;" / SHELF "&amp;$O195&amp;" / BIN "&amp;TEXT($P195,"00")</f>
        <v>ZONE C / BAY 04 / SHELF 1 / BIN 06</v>
      </c>
      <c r="S195" s="34" t="s">
        <v>1843</v>
      </c>
      <c r="T195" s="34" t="s">
        <v>1844</v>
      </c>
      <c r="U195" s="27" t="n">
        <v>194</v>
      </c>
      <c r="V195" s="30" t="n">
        <v>46162</v>
      </c>
      <c r="W195" s="34" t="str">
        <f aca="false">IF($H195&gt;0,"Yes - "&amp;$H195&amp;" in stock at Store 0146 (size "&amp;$G195&amp;"). Back room location "&amp;$Q195&amp;" ("&amp;$R195&amp;"), "&amp;$S195&amp;". Back room "&amp;$J195&amp;" / sales floor "&amp;$I195&amp;".","Not currently in stock at Store 0146 (size "&amp;$G195&amp;"). Home location is "&amp;$Q195&amp;" ("&amp;$R195&amp;") when replenished.")</f>
        <v>Yes - 4 in stock at Store 0146 (size 9). Back room location C-04-1-06 (ZONE C / BAY 04 / SHELF 1 / BIN 06), Floor level - no reach. Back room 2 / sales floor 2.</v>
      </c>
    </row>
    <row r="196" customFormat="false" ht="15" hidden="false" customHeight="false" outlineLevel="0" collapsed="false">
      <c r="A196" s="34" t="s">
        <v>756</v>
      </c>
      <c r="B196" s="34" t="s">
        <v>757</v>
      </c>
      <c r="C196" s="34" t="s">
        <v>758</v>
      </c>
      <c r="D196" s="34" t="s">
        <v>252</v>
      </c>
      <c r="E196" s="34" t="s">
        <v>759</v>
      </c>
      <c r="F196" s="34" t="s">
        <v>761</v>
      </c>
      <c r="G196" s="24" t="s">
        <v>538</v>
      </c>
      <c r="H196" s="27" t="n">
        <f aca="false">IFERROR(INDEX('Inventory Master'!$T$2:$T$525,MATCH($A196,'Inventory Master'!$A$2:$A$525,0)),0)</f>
        <v>2</v>
      </c>
      <c r="I196" s="27" t="n">
        <v>0</v>
      </c>
      <c r="J196" s="27" t="n">
        <f aca="false">MAX(0,$H196-$I196)</f>
        <v>2</v>
      </c>
      <c r="K196" s="34" t="str">
        <f aca="false">IF($H196&gt;0,"In Stock","Out of Stock")</f>
        <v>In Stock</v>
      </c>
      <c r="L196" s="24" t="s">
        <v>1852</v>
      </c>
      <c r="M196" s="34" t="s">
        <v>1853</v>
      </c>
      <c r="N196" s="24" t="n">
        <v>4</v>
      </c>
      <c r="O196" s="24" t="n">
        <v>2</v>
      </c>
      <c r="P196" s="24" t="n">
        <v>1</v>
      </c>
      <c r="Q196" s="24" t="str">
        <f aca="false">$L196&amp;"-"&amp;TEXT($N196,"00")&amp;"-"&amp;$O196&amp;"-"&amp;TEXT($P196,"00")</f>
        <v>C-04-2-01</v>
      </c>
      <c r="R196" s="34" t="str">
        <f aca="false">"ZONE "&amp;$L196&amp;" / BAY "&amp;TEXT($N196,"00")&amp;" / SHELF "&amp;$O196&amp;" / BIN "&amp;TEXT($P196,"00")</f>
        <v>ZONE C / BAY 04 / SHELF 2 / BIN 01</v>
      </c>
      <c r="S196" s="34" t="s">
        <v>1845</v>
      </c>
      <c r="T196" s="34" t="s">
        <v>1844</v>
      </c>
      <c r="U196" s="27" t="n">
        <v>195</v>
      </c>
      <c r="V196" s="30" t="n">
        <v>46153</v>
      </c>
      <c r="W196" s="34" t="str">
        <f aca="false">IF($H196&gt;0,"Yes - "&amp;$H196&amp;" in stock at Store 0146 (size "&amp;$G196&amp;"). Back room location "&amp;$Q196&amp;" ("&amp;$R196&amp;"), "&amp;$S196&amp;". Back room "&amp;$J196&amp;" / sales floor "&amp;$I196&amp;".","Not currently in stock at Store 0146 (size "&amp;$G196&amp;"). Home location is "&amp;$Q196&amp;" ("&amp;$R196&amp;") when replenished.")</f>
        <v>Yes - 2 in stock at Store 0146 (size 6). Back room location C-04-2-01 (ZONE C / BAY 04 / SHELF 2 / BIN 01), Waist height. Back room 2 / sales floor 0.</v>
      </c>
    </row>
    <row r="197" customFormat="false" ht="15" hidden="false" customHeight="false" outlineLevel="0" collapsed="false">
      <c r="A197" s="34" t="s">
        <v>1793</v>
      </c>
      <c r="B197" s="34" t="s">
        <v>1794</v>
      </c>
      <c r="C197" s="34" t="s">
        <v>758</v>
      </c>
      <c r="D197" s="34" t="s">
        <v>252</v>
      </c>
      <c r="E197" s="34" t="s">
        <v>759</v>
      </c>
      <c r="F197" s="34" t="s">
        <v>761</v>
      </c>
      <c r="G197" s="24" t="s">
        <v>308</v>
      </c>
      <c r="H197" s="27" t="n">
        <f aca="false">IFERROR(INDEX('Inventory Master'!$T$2:$T$525,MATCH($A197,'Inventory Master'!$A$2:$A$525,0)),0)</f>
        <v>3</v>
      </c>
      <c r="I197" s="27" t="n">
        <v>2</v>
      </c>
      <c r="J197" s="27" t="n">
        <f aca="false">MAX(0,$H197-$I197)</f>
        <v>1</v>
      </c>
      <c r="K197" s="34" t="str">
        <f aca="false">IF($H197&gt;0,"In Stock","Out of Stock")</f>
        <v>In Stock</v>
      </c>
      <c r="L197" s="24" t="s">
        <v>1852</v>
      </c>
      <c r="M197" s="34" t="s">
        <v>1853</v>
      </c>
      <c r="N197" s="24" t="n">
        <v>4</v>
      </c>
      <c r="O197" s="24" t="n">
        <v>2</v>
      </c>
      <c r="P197" s="24" t="n">
        <v>2</v>
      </c>
      <c r="Q197" s="24" t="str">
        <f aca="false">$L197&amp;"-"&amp;TEXT($N197,"00")&amp;"-"&amp;$O197&amp;"-"&amp;TEXT($P197,"00")</f>
        <v>C-04-2-02</v>
      </c>
      <c r="R197" s="34" t="str">
        <f aca="false">"ZONE "&amp;$L197&amp;" / BAY "&amp;TEXT($N197,"00")&amp;" / SHELF "&amp;$O197&amp;" / BIN "&amp;TEXT($P197,"00")</f>
        <v>ZONE C / BAY 04 / SHELF 2 / BIN 02</v>
      </c>
      <c r="S197" s="34" t="s">
        <v>1845</v>
      </c>
      <c r="T197" s="34" t="s">
        <v>1844</v>
      </c>
      <c r="U197" s="27" t="n">
        <v>196</v>
      </c>
      <c r="V197" s="30" t="n">
        <v>46180</v>
      </c>
      <c r="W197" s="34" t="str">
        <f aca="false">IF($H197&gt;0,"Yes - "&amp;$H197&amp;" in stock at Store 0146 (size "&amp;$G197&amp;"). Back room location "&amp;$Q197&amp;" ("&amp;$R197&amp;"), "&amp;$S197&amp;". Back room "&amp;$J197&amp;" / sales floor "&amp;$I197&amp;".","Not currently in stock at Store 0146 (size "&amp;$G197&amp;"). Home location is "&amp;$Q197&amp;" ("&amp;$R197&amp;") when replenished.")</f>
        <v>Yes - 3 in stock at Store 0146 (size 6.5). Back room location C-04-2-02 (ZONE C / BAY 04 / SHELF 2 / BIN 02), Waist height. Back room 1 / sales floor 2.</v>
      </c>
    </row>
    <row r="198" customFormat="false" ht="15" hidden="false" customHeight="false" outlineLevel="0" collapsed="false">
      <c r="A198" s="34" t="s">
        <v>1524</v>
      </c>
      <c r="B198" s="34" t="s">
        <v>1525</v>
      </c>
      <c r="C198" s="34" t="s">
        <v>758</v>
      </c>
      <c r="D198" s="34" t="s">
        <v>252</v>
      </c>
      <c r="E198" s="34" t="s">
        <v>759</v>
      </c>
      <c r="F198" s="34" t="s">
        <v>761</v>
      </c>
      <c r="G198" s="24" t="s">
        <v>338</v>
      </c>
      <c r="H198" s="27" t="n">
        <f aca="false">IFERROR(INDEX('Inventory Master'!$T$2:$T$525,MATCH($A198,'Inventory Master'!$A$2:$A$525,0)),0)</f>
        <v>5</v>
      </c>
      <c r="I198" s="27" t="n">
        <v>1</v>
      </c>
      <c r="J198" s="27" t="n">
        <f aca="false">MAX(0,$H198-$I198)</f>
        <v>4</v>
      </c>
      <c r="K198" s="34" t="str">
        <f aca="false">IF($H198&gt;0,"In Stock","Out of Stock")</f>
        <v>In Stock</v>
      </c>
      <c r="L198" s="24" t="s">
        <v>1852</v>
      </c>
      <c r="M198" s="34" t="s">
        <v>1853</v>
      </c>
      <c r="N198" s="24" t="n">
        <v>4</v>
      </c>
      <c r="O198" s="24" t="n">
        <v>2</v>
      </c>
      <c r="P198" s="24" t="n">
        <v>3</v>
      </c>
      <c r="Q198" s="24" t="str">
        <f aca="false">$L198&amp;"-"&amp;TEXT($N198,"00")&amp;"-"&amp;$O198&amp;"-"&amp;TEXT($P198,"00")</f>
        <v>C-04-2-03</v>
      </c>
      <c r="R198" s="34" t="str">
        <f aca="false">"ZONE "&amp;$L198&amp;" / BAY "&amp;TEXT($N198,"00")&amp;" / SHELF "&amp;$O198&amp;" / BIN "&amp;TEXT($P198,"00")</f>
        <v>ZONE C / BAY 04 / SHELF 2 / BIN 03</v>
      </c>
      <c r="S198" s="34" t="s">
        <v>1845</v>
      </c>
      <c r="T198" s="34" t="s">
        <v>1844</v>
      </c>
      <c r="U198" s="27" t="n">
        <v>197</v>
      </c>
      <c r="V198" s="30" t="n">
        <v>46156</v>
      </c>
      <c r="W198" s="34" t="str">
        <f aca="false">IF($H198&gt;0,"Yes - "&amp;$H198&amp;" in stock at Store 0146 (size "&amp;$G198&amp;"). Back room location "&amp;$Q198&amp;" ("&amp;$R198&amp;"), "&amp;$S198&amp;". Back room "&amp;$J198&amp;" / sales floor "&amp;$I198&amp;".","Not currently in stock at Store 0146 (size "&amp;$G198&amp;"). Home location is "&amp;$Q198&amp;" ("&amp;$R198&amp;") when replenished.")</f>
        <v>Yes - 5 in stock at Store 0146 (size 7). Back room location C-04-2-03 (ZONE C / BAY 04 / SHELF 2 / BIN 03), Waist height. Back room 4 / sales floor 1.</v>
      </c>
    </row>
    <row r="199" customFormat="false" ht="15" hidden="false" customHeight="false" outlineLevel="0" collapsed="false">
      <c r="A199" s="34" t="s">
        <v>1807</v>
      </c>
      <c r="B199" s="34" t="s">
        <v>1808</v>
      </c>
      <c r="C199" s="34" t="s">
        <v>758</v>
      </c>
      <c r="D199" s="34" t="s">
        <v>252</v>
      </c>
      <c r="E199" s="34" t="s">
        <v>759</v>
      </c>
      <c r="F199" s="34" t="s">
        <v>761</v>
      </c>
      <c r="G199" s="24" t="s">
        <v>291</v>
      </c>
      <c r="H199" s="27" t="n">
        <f aca="false">IFERROR(INDEX('Inventory Master'!$T$2:$T$525,MATCH($A199,'Inventory Master'!$A$2:$A$525,0)),0)</f>
        <v>4</v>
      </c>
      <c r="I199" s="27" t="n">
        <v>1</v>
      </c>
      <c r="J199" s="27" t="n">
        <f aca="false">MAX(0,$H199-$I199)</f>
        <v>3</v>
      </c>
      <c r="K199" s="34" t="str">
        <f aca="false">IF($H199&gt;0,"In Stock","Out of Stock")</f>
        <v>In Stock</v>
      </c>
      <c r="L199" s="24" t="s">
        <v>1852</v>
      </c>
      <c r="M199" s="34" t="s">
        <v>1853</v>
      </c>
      <c r="N199" s="24" t="n">
        <v>4</v>
      </c>
      <c r="O199" s="24" t="n">
        <v>2</v>
      </c>
      <c r="P199" s="24" t="n">
        <v>4</v>
      </c>
      <c r="Q199" s="24" t="str">
        <f aca="false">$L199&amp;"-"&amp;TEXT($N199,"00")&amp;"-"&amp;$O199&amp;"-"&amp;TEXT($P199,"00")</f>
        <v>C-04-2-04</v>
      </c>
      <c r="R199" s="34" t="str">
        <f aca="false">"ZONE "&amp;$L199&amp;" / BAY "&amp;TEXT($N199,"00")&amp;" / SHELF "&amp;$O199&amp;" / BIN "&amp;TEXT($P199,"00")</f>
        <v>ZONE C / BAY 04 / SHELF 2 / BIN 04</v>
      </c>
      <c r="S199" s="34" t="s">
        <v>1845</v>
      </c>
      <c r="T199" s="34" t="s">
        <v>1844</v>
      </c>
      <c r="U199" s="27" t="n">
        <v>198</v>
      </c>
      <c r="V199" s="30" t="n">
        <v>46205</v>
      </c>
      <c r="W199" s="34" t="str">
        <f aca="false">IF($H199&gt;0,"Yes - "&amp;$H199&amp;" in stock at Store 0146 (size "&amp;$G199&amp;"). Back room location "&amp;$Q199&amp;" ("&amp;$R199&amp;"), "&amp;$S199&amp;". Back room "&amp;$J199&amp;" / sales floor "&amp;$I199&amp;".","Not currently in stock at Store 0146 (size "&amp;$G199&amp;"). Home location is "&amp;$Q199&amp;" ("&amp;$R199&amp;") when replenished.")</f>
        <v>Yes - 4 in stock at Store 0146 (size 7.5). Back room location C-04-2-04 (ZONE C / BAY 04 / SHELF 2 / BIN 04), Waist height. Back room 3 / sales floor 1.</v>
      </c>
    </row>
    <row r="200" customFormat="false" ht="15" hidden="false" customHeight="false" outlineLevel="0" collapsed="false">
      <c r="A200" s="34" t="s">
        <v>1363</v>
      </c>
      <c r="B200" s="34" t="s">
        <v>1364</v>
      </c>
      <c r="C200" s="34" t="s">
        <v>758</v>
      </c>
      <c r="D200" s="34" t="s">
        <v>252</v>
      </c>
      <c r="E200" s="34" t="s">
        <v>759</v>
      </c>
      <c r="F200" s="34" t="s">
        <v>761</v>
      </c>
      <c r="G200" s="24" t="s">
        <v>356</v>
      </c>
      <c r="H200" s="27" t="n">
        <f aca="false">IFERROR(INDEX('Inventory Master'!$T$2:$T$525,MATCH($A200,'Inventory Master'!$A$2:$A$525,0)),0)</f>
        <v>0</v>
      </c>
      <c r="I200" s="27" t="n">
        <v>0</v>
      </c>
      <c r="J200" s="27" t="n">
        <f aca="false">MAX(0,$H200-$I200)</f>
        <v>0</v>
      </c>
      <c r="K200" s="34" t="str">
        <f aca="false">IF($H200&gt;0,"In Stock","Out of Stock")</f>
        <v>Out of Stock</v>
      </c>
      <c r="L200" s="24" t="s">
        <v>1852</v>
      </c>
      <c r="M200" s="34" t="s">
        <v>1853</v>
      </c>
      <c r="N200" s="24" t="n">
        <v>4</v>
      </c>
      <c r="O200" s="24" t="n">
        <v>2</v>
      </c>
      <c r="P200" s="24" t="n">
        <v>5</v>
      </c>
      <c r="Q200" s="24" t="str">
        <f aca="false">$L200&amp;"-"&amp;TEXT($N200,"00")&amp;"-"&amp;$O200&amp;"-"&amp;TEXT($P200,"00")</f>
        <v>C-04-2-05</v>
      </c>
      <c r="R200" s="34" t="str">
        <f aca="false">"ZONE "&amp;$L200&amp;" / BAY "&amp;TEXT($N200,"00")&amp;" / SHELF "&amp;$O200&amp;" / BIN "&amp;TEXT($P200,"00")</f>
        <v>ZONE C / BAY 04 / SHELF 2 / BIN 05</v>
      </c>
      <c r="S200" s="34" t="s">
        <v>1845</v>
      </c>
      <c r="T200" s="34" t="s">
        <v>1844</v>
      </c>
      <c r="U200" s="27" t="n">
        <v>199</v>
      </c>
      <c r="V200" s="30" t="n">
        <v>46168</v>
      </c>
      <c r="W200" s="34" t="str">
        <f aca="false">IF($H200&gt;0,"Yes - "&amp;$H200&amp;" in stock at Store 0146 (size "&amp;$G200&amp;"). Back room location "&amp;$Q200&amp;" ("&amp;$R200&amp;"), "&amp;$S200&amp;". Back room "&amp;$J200&amp;" / sales floor "&amp;$I200&amp;".","Not currently in stock at Store 0146 (size "&amp;$G200&amp;"). Home location is "&amp;$Q200&amp;" ("&amp;$R200&amp;") when replenished.")</f>
        <v>Not currently in stock at Store 0146 (size 8). Home location is C-04-2-05 (ZONE C / BAY 04 / SHELF 2 / BIN 05) when replenished.</v>
      </c>
    </row>
    <row r="201" customFormat="false" ht="15" hidden="false" customHeight="false" outlineLevel="0" collapsed="false">
      <c r="A201" s="34" t="s">
        <v>1518</v>
      </c>
      <c r="B201" s="34" t="s">
        <v>1519</v>
      </c>
      <c r="C201" s="34" t="s">
        <v>758</v>
      </c>
      <c r="D201" s="34" t="s">
        <v>252</v>
      </c>
      <c r="E201" s="34" t="s">
        <v>759</v>
      </c>
      <c r="F201" s="34" t="s">
        <v>761</v>
      </c>
      <c r="G201" s="24" t="s">
        <v>188</v>
      </c>
      <c r="H201" s="27" t="n">
        <f aca="false">IFERROR(INDEX('Inventory Master'!$T$2:$T$525,MATCH($A201,'Inventory Master'!$A$2:$A$525,0)),0)</f>
        <v>3</v>
      </c>
      <c r="I201" s="27" t="n">
        <v>1</v>
      </c>
      <c r="J201" s="27" t="n">
        <f aca="false">MAX(0,$H201-$I201)</f>
        <v>2</v>
      </c>
      <c r="K201" s="34" t="str">
        <f aca="false">IF($H201&gt;0,"In Stock","Out of Stock")</f>
        <v>In Stock</v>
      </c>
      <c r="L201" s="24" t="s">
        <v>1852</v>
      </c>
      <c r="M201" s="34" t="s">
        <v>1853</v>
      </c>
      <c r="N201" s="24" t="n">
        <v>4</v>
      </c>
      <c r="O201" s="24" t="n">
        <v>2</v>
      </c>
      <c r="P201" s="24" t="n">
        <v>6</v>
      </c>
      <c r="Q201" s="24" t="str">
        <f aca="false">$L201&amp;"-"&amp;TEXT($N201,"00")&amp;"-"&amp;$O201&amp;"-"&amp;TEXT($P201,"00")</f>
        <v>C-04-2-06</v>
      </c>
      <c r="R201" s="34" t="str">
        <f aca="false">"ZONE "&amp;$L201&amp;" / BAY "&amp;TEXT($N201,"00")&amp;" / SHELF "&amp;$O201&amp;" / BIN "&amp;TEXT($P201,"00")</f>
        <v>ZONE C / BAY 04 / SHELF 2 / BIN 06</v>
      </c>
      <c r="S201" s="34" t="s">
        <v>1845</v>
      </c>
      <c r="T201" s="34" t="s">
        <v>1844</v>
      </c>
      <c r="U201" s="27" t="n">
        <v>200</v>
      </c>
      <c r="V201" s="30" t="n">
        <v>46179</v>
      </c>
      <c r="W201" s="34" t="str">
        <f aca="false">IF($H201&gt;0,"Yes - "&amp;$H201&amp;" in stock at Store 0146 (size "&amp;$G201&amp;"). Back room location "&amp;$Q201&amp;" ("&amp;$R201&amp;"), "&amp;$S201&amp;". Back room "&amp;$J201&amp;" / sales floor "&amp;$I201&amp;".","Not currently in stock at Store 0146 (size "&amp;$G201&amp;"). Home location is "&amp;$Q201&amp;" ("&amp;$R201&amp;") when replenished.")</f>
        <v>Yes - 3 in stock at Store 0146 (size 8.5). Back room location C-04-2-06 (ZONE C / BAY 04 / SHELF 2 / BIN 06), Waist height. Back room 2 / sales floor 1.</v>
      </c>
    </row>
    <row r="202" customFormat="false" ht="15" hidden="false" customHeight="false" outlineLevel="0" collapsed="false">
      <c r="A202" s="34" t="s">
        <v>546</v>
      </c>
      <c r="B202" s="34" t="s">
        <v>547</v>
      </c>
      <c r="C202" s="34" t="s">
        <v>548</v>
      </c>
      <c r="D202" s="34" t="s">
        <v>428</v>
      </c>
      <c r="E202" s="34" t="s">
        <v>549</v>
      </c>
      <c r="F202" s="34" t="s">
        <v>551</v>
      </c>
      <c r="G202" s="24" t="s">
        <v>291</v>
      </c>
      <c r="H202" s="27" t="n">
        <f aca="false">IFERROR(INDEX('Inventory Master'!$T$2:$T$525,MATCH($A202,'Inventory Master'!$A$2:$A$525,0)),0)</f>
        <v>3</v>
      </c>
      <c r="I202" s="27" t="n">
        <v>1</v>
      </c>
      <c r="J202" s="27" t="n">
        <f aca="false">MAX(0,$H202-$I202)</f>
        <v>2</v>
      </c>
      <c r="K202" s="34" t="str">
        <f aca="false">IF($H202&gt;0,"In Stock","Out of Stock")</f>
        <v>In Stock</v>
      </c>
      <c r="L202" s="24" t="s">
        <v>1852</v>
      </c>
      <c r="M202" s="34" t="s">
        <v>1853</v>
      </c>
      <c r="N202" s="24" t="n">
        <v>4</v>
      </c>
      <c r="O202" s="24" t="n">
        <v>3</v>
      </c>
      <c r="P202" s="24" t="n">
        <v>1</v>
      </c>
      <c r="Q202" s="24" t="str">
        <f aca="false">$L202&amp;"-"&amp;TEXT($N202,"00")&amp;"-"&amp;$O202&amp;"-"&amp;TEXT($P202,"00")</f>
        <v>C-04-3-01</v>
      </c>
      <c r="R202" s="34" t="str">
        <f aca="false">"ZONE "&amp;$L202&amp;" / BAY "&amp;TEXT($N202,"00")&amp;" / SHELF "&amp;$O202&amp;" / BIN "&amp;TEXT($P202,"00")</f>
        <v>ZONE C / BAY 04 / SHELF 3 / BIN 01</v>
      </c>
      <c r="S202" s="34" t="s">
        <v>1846</v>
      </c>
      <c r="T202" s="34" t="s">
        <v>1844</v>
      </c>
      <c r="U202" s="27" t="n">
        <v>201</v>
      </c>
      <c r="V202" s="30" t="n">
        <v>46137</v>
      </c>
      <c r="W202" s="34" t="str">
        <f aca="false">IF($H202&gt;0,"Yes - "&amp;$H202&amp;" in stock at Store 0146 (size "&amp;$G202&amp;"). Back room location "&amp;$Q202&amp;" ("&amp;$R202&amp;"), "&amp;$S202&amp;". Back room "&amp;$J202&amp;" / sales floor "&amp;$I202&amp;".","Not currently in stock at Store 0146 (size "&amp;$G202&amp;"). Home location is "&amp;$Q202&amp;" ("&amp;$R202&amp;") when replenished.")</f>
        <v>Yes - 3 in stock at Store 0146 (size 7.5). Back room location C-04-3-01 (ZONE C / BAY 04 / SHELF 3 / BIN 01), Eye level. Back room 2 / sales floor 1.</v>
      </c>
    </row>
    <row r="203" customFormat="false" ht="15" hidden="false" customHeight="false" outlineLevel="0" collapsed="false">
      <c r="A203" s="34" t="s">
        <v>942</v>
      </c>
      <c r="B203" s="34" t="s">
        <v>943</v>
      </c>
      <c r="C203" s="34" t="s">
        <v>548</v>
      </c>
      <c r="D203" s="34" t="s">
        <v>428</v>
      </c>
      <c r="E203" s="34" t="s">
        <v>549</v>
      </c>
      <c r="F203" s="34" t="s">
        <v>551</v>
      </c>
      <c r="G203" s="24" t="s">
        <v>356</v>
      </c>
      <c r="H203" s="27" t="n">
        <f aca="false">IFERROR(INDEX('Inventory Master'!$T$2:$T$525,MATCH($A203,'Inventory Master'!$A$2:$A$525,0)),0)</f>
        <v>4</v>
      </c>
      <c r="I203" s="27" t="n">
        <v>1</v>
      </c>
      <c r="J203" s="27" t="n">
        <f aca="false">MAX(0,$H203-$I203)</f>
        <v>3</v>
      </c>
      <c r="K203" s="34" t="str">
        <f aca="false">IF($H203&gt;0,"In Stock","Out of Stock")</f>
        <v>In Stock</v>
      </c>
      <c r="L203" s="24" t="s">
        <v>1852</v>
      </c>
      <c r="M203" s="34" t="s">
        <v>1853</v>
      </c>
      <c r="N203" s="24" t="n">
        <v>4</v>
      </c>
      <c r="O203" s="24" t="n">
        <v>3</v>
      </c>
      <c r="P203" s="24" t="n">
        <v>2</v>
      </c>
      <c r="Q203" s="24" t="str">
        <f aca="false">$L203&amp;"-"&amp;TEXT($N203,"00")&amp;"-"&amp;$O203&amp;"-"&amp;TEXT($P203,"00")</f>
        <v>C-04-3-02</v>
      </c>
      <c r="R203" s="34" t="str">
        <f aca="false">"ZONE "&amp;$L203&amp;" / BAY "&amp;TEXT($N203,"00")&amp;" / SHELF "&amp;$O203&amp;" / BIN "&amp;TEXT($P203,"00")</f>
        <v>ZONE C / BAY 04 / SHELF 3 / BIN 02</v>
      </c>
      <c r="S203" s="34" t="s">
        <v>1846</v>
      </c>
      <c r="T203" s="34" t="s">
        <v>1844</v>
      </c>
      <c r="U203" s="27" t="n">
        <v>202</v>
      </c>
      <c r="V203" s="30" t="n">
        <v>46170</v>
      </c>
      <c r="W203" s="34" t="str">
        <f aca="false">IF($H203&gt;0,"Yes - "&amp;$H203&amp;" in stock at Store 0146 (size "&amp;$G203&amp;"). Back room location "&amp;$Q203&amp;" ("&amp;$R203&amp;"), "&amp;$S203&amp;". Back room "&amp;$J203&amp;" / sales floor "&amp;$I203&amp;".","Not currently in stock at Store 0146 (size "&amp;$G203&amp;"). Home location is "&amp;$Q203&amp;" ("&amp;$R203&amp;") when replenished.")</f>
        <v>Yes - 4 in stock at Store 0146 (size 8). Back room location C-04-3-02 (ZONE C / BAY 04 / SHELF 3 / BIN 02), Eye level. Back room 3 / sales floor 1.</v>
      </c>
    </row>
    <row r="204" customFormat="false" ht="15" hidden="false" customHeight="false" outlineLevel="0" collapsed="false">
      <c r="A204" s="34" t="s">
        <v>1476</v>
      </c>
      <c r="B204" s="34" t="s">
        <v>1477</v>
      </c>
      <c r="C204" s="34" t="s">
        <v>548</v>
      </c>
      <c r="D204" s="34" t="s">
        <v>428</v>
      </c>
      <c r="E204" s="34" t="s">
        <v>549</v>
      </c>
      <c r="F204" s="34" t="s">
        <v>551</v>
      </c>
      <c r="G204" s="24" t="s">
        <v>188</v>
      </c>
      <c r="H204" s="27" t="n">
        <f aca="false">IFERROR(INDEX('Inventory Master'!$T$2:$T$525,MATCH($A204,'Inventory Master'!$A$2:$A$525,0)),0)</f>
        <v>4</v>
      </c>
      <c r="I204" s="27" t="n">
        <v>1</v>
      </c>
      <c r="J204" s="27" t="n">
        <f aca="false">MAX(0,$H204-$I204)</f>
        <v>3</v>
      </c>
      <c r="K204" s="34" t="str">
        <f aca="false">IF($H204&gt;0,"In Stock","Out of Stock")</f>
        <v>In Stock</v>
      </c>
      <c r="L204" s="24" t="s">
        <v>1852</v>
      </c>
      <c r="M204" s="34" t="s">
        <v>1853</v>
      </c>
      <c r="N204" s="24" t="n">
        <v>4</v>
      </c>
      <c r="O204" s="24" t="n">
        <v>3</v>
      </c>
      <c r="P204" s="24" t="n">
        <v>3</v>
      </c>
      <c r="Q204" s="24" t="str">
        <f aca="false">$L204&amp;"-"&amp;TEXT($N204,"00")&amp;"-"&amp;$O204&amp;"-"&amp;TEXT($P204,"00")</f>
        <v>C-04-3-03</v>
      </c>
      <c r="R204" s="34" t="str">
        <f aca="false">"ZONE "&amp;$L204&amp;" / BAY "&amp;TEXT($N204,"00")&amp;" / SHELF "&amp;$O204&amp;" / BIN "&amp;TEXT($P204,"00")</f>
        <v>ZONE C / BAY 04 / SHELF 3 / BIN 03</v>
      </c>
      <c r="S204" s="34" t="s">
        <v>1846</v>
      </c>
      <c r="T204" s="34" t="s">
        <v>1844</v>
      </c>
      <c r="U204" s="27" t="n">
        <v>203</v>
      </c>
      <c r="V204" s="30" t="n">
        <v>46136</v>
      </c>
      <c r="W204" s="34" t="str">
        <f aca="false">IF($H204&gt;0,"Yes - "&amp;$H204&amp;" in stock at Store 0146 (size "&amp;$G204&amp;"). Back room location "&amp;$Q204&amp;" ("&amp;$R204&amp;"), "&amp;$S204&amp;". Back room "&amp;$J204&amp;" / sales floor "&amp;$I204&amp;".","Not currently in stock at Store 0146 (size "&amp;$G204&amp;"). Home location is "&amp;$Q204&amp;" ("&amp;$R204&amp;") when replenished.")</f>
        <v>Yes - 4 in stock at Store 0146 (size 8.5). Back room location C-04-3-03 (ZONE C / BAY 04 / SHELF 3 / BIN 03), Eye level. Back room 3 / sales floor 1.</v>
      </c>
    </row>
    <row r="205" customFormat="false" ht="15" hidden="false" customHeight="false" outlineLevel="0" collapsed="false">
      <c r="A205" s="34" t="s">
        <v>887</v>
      </c>
      <c r="B205" s="34" t="s">
        <v>888</v>
      </c>
      <c r="C205" s="34" t="s">
        <v>548</v>
      </c>
      <c r="D205" s="34" t="s">
        <v>428</v>
      </c>
      <c r="E205" s="34" t="s">
        <v>549</v>
      </c>
      <c r="F205" s="34" t="s">
        <v>551</v>
      </c>
      <c r="G205" s="24" t="s">
        <v>164</v>
      </c>
      <c r="H205" s="27" t="n">
        <f aca="false">IFERROR(INDEX('Inventory Master'!$T$2:$T$525,MATCH($A205,'Inventory Master'!$A$2:$A$525,0)),0)</f>
        <v>2</v>
      </c>
      <c r="I205" s="27" t="n">
        <v>1</v>
      </c>
      <c r="J205" s="27" t="n">
        <f aca="false">MAX(0,$H205-$I205)</f>
        <v>1</v>
      </c>
      <c r="K205" s="34" t="str">
        <f aca="false">IF($H205&gt;0,"In Stock","Out of Stock")</f>
        <v>In Stock</v>
      </c>
      <c r="L205" s="24" t="s">
        <v>1852</v>
      </c>
      <c r="M205" s="34" t="s">
        <v>1853</v>
      </c>
      <c r="N205" s="24" t="n">
        <v>4</v>
      </c>
      <c r="O205" s="24" t="n">
        <v>3</v>
      </c>
      <c r="P205" s="24" t="n">
        <v>4</v>
      </c>
      <c r="Q205" s="24" t="str">
        <f aca="false">$L205&amp;"-"&amp;TEXT($N205,"00")&amp;"-"&amp;$O205&amp;"-"&amp;TEXT($P205,"00")</f>
        <v>C-04-3-04</v>
      </c>
      <c r="R205" s="34" t="str">
        <f aca="false">"ZONE "&amp;$L205&amp;" / BAY "&amp;TEXT($N205,"00")&amp;" / SHELF "&amp;$O205&amp;" / BIN "&amp;TEXT($P205,"00")</f>
        <v>ZONE C / BAY 04 / SHELF 3 / BIN 04</v>
      </c>
      <c r="S205" s="34" t="s">
        <v>1846</v>
      </c>
      <c r="T205" s="34" t="s">
        <v>1844</v>
      </c>
      <c r="U205" s="27" t="n">
        <v>204</v>
      </c>
      <c r="V205" s="30" t="n">
        <v>46219</v>
      </c>
      <c r="W205" s="34" t="str">
        <f aca="false">IF($H205&gt;0,"Yes - "&amp;$H205&amp;" in stock at Store 0146 (size "&amp;$G205&amp;"). Back room location "&amp;$Q205&amp;" ("&amp;$R205&amp;"), "&amp;$S205&amp;". Back room "&amp;$J205&amp;" / sales floor "&amp;$I205&amp;".","Not currently in stock at Store 0146 (size "&amp;$G205&amp;"). Home location is "&amp;$Q205&amp;" ("&amp;$R205&amp;") when replenished.")</f>
        <v>Yes - 2 in stock at Store 0146 (size 9). Back room location C-04-3-04 (ZONE C / BAY 04 / SHELF 3 / BIN 04), Eye level. Back room 1 / sales floor 1.</v>
      </c>
    </row>
    <row r="206" customFormat="false" ht="15" hidden="false" customHeight="false" outlineLevel="0" collapsed="false">
      <c r="A206" s="34" t="s">
        <v>840</v>
      </c>
      <c r="B206" s="34" t="s">
        <v>841</v>
      </c>
      <c r="C206" s="34" t="s">
        <v>548</v>
      </c>
      <c r="D206" s="34" t="s">
        <v>428</v>
      </c>
      <c r="E206" s="34" t="s">
        <v>549</v>
      </c>
      <c r="F206" s="34" t="s">
        <v>551</v>
      </c>
      <c r="G206" s="24" t="s">
        <v>177</v>
      </c>
      <c r="H206" s="27" t="n">
        <f aca="false">IFERROR(INDEX('Inventory Master'!$T$2:$T$525,MATCH($A206,'Inventory Master'!$A$2:$A$525,0)),0)</f>
        <v>3</v>
      </c>
      <c r="I206" s="27" t="n">
        <v>1</v>
      </c>
      <c r="J206" s="27" t="n">
        <f aca="false">MAX(0,$H206-$I206)</f>
        <v>2</v>
      </c>
      <c r="K206" s="34" t="str">
        <f aca="false">IF($H206&gt;0,"In Stock","Out of Stock")</f>
        <v>In Stock</v>
      </c>
      <c r="L206" s="24" t="s">
        <v>1852</v>
      </c>
      <c r="M206" s="34" t="s">
        <v>1853</v>
      </c>
      <c r="N206" s="24" t="n">
        <v>4</v>
      </c>
      <c r="O206" s="24" t="n">
        <v>3</v>
      </c>
      <c r="P206" s="24" t="n">
        <v>5</v>
      </c>
      <c r="Q206" s="24" t="str">
        <f aca="false">$L206&amp;"-"&amp;TEXT($N206,"00")&amp;"-"&amp;$O206&amp;"-"&amp;TEXT($P206,"00")</f>
        <v>C-04-3-05</v>
      </c>
      <c r="R206" s="34" t="str">
        <f aca="false">"ZONE "&amp;$L206&amp;" / BAY "&amp;TEXT($N206,"00")&amp;" / SHELF "&amp;$O206&amp;" / BIN "&amp;TEXT($P206,"00")</f>
        <v>ZONE C / BAY 04 / SHELF 3 / BIN 05</v>
      </c>
      <c r="S206" s="34" t="s">
        <v>1846</v>
      </c>
      <c r="T206" s="34" t="s">
        <v>1844</v>
      </c>
      <c r="U206" s="27" t="n">
        <v>205</v>
      </c>
      <c r="V206" s="30" t="n">
        <v>46208</v>
      </c>
      <c r="W206" s="34" t="str">
        <f aca="false">IF($H206&gt;0,"Yes - "&amp;$H206&amp;" in stock at Store 0146 (size "&amp;$G206&amp;"). Back room location "&amp;$Q206&amp;" ("&amp;$R206&amp;"), "&amp;$S206&amp;". Back room "&amp;$J206&amp;" / sales floor "&amp;$I206&amp;".","Not currently in stock at Store 0146 (size "&amp;$G206&amp;"). Home location is "&amp;$Q206&amp;" ("&amp;$R206&amp;") when replenished.")</f>
        <v>Yes - 3 in stock at Store 0146 (size 9.5). Back room location C-04-3-05 (ZONE C / BAY 04 / SHELF 3 / BIN 05), Eye level. Back room 2 / sales floor 1.</v>
      </c>
    </row>
    <row r="207" customFormat="false" ht="15" hidden="false" customHeight="false" outlineLevel="0" collapsed="false">
      <c r="A207" s="34" t="s">
        <v>872</v>
      </c>
      <c r="B207" s="34" t="s">
        <v>873</v>
      </c>
      <c r="C207" s="34" t="s">
        <v>713</v>
      </c>
      <c r="D207" s="34" t="s">
        <v>714</v>
      </c>
      <c r="E207" s="34" t="s">
        <v>715</v>
      </c>
      <c r="F207" s="34" t="s">
        <v>717</v>
      </c>
      <c r="G207" s="24" t="s">
        <v>338</v>
      </c>
      <c r="H207" s="27" t="n">
        <f aca="false">IFERROR(INDEX('Inventory Master'!$T$2:$T$525,MATCH($A207,'Inventory Master'!$A$2:$A$525,0)),0)</f>
        <v>0</v>
      </c>
      <c r="I207" s="27" t="n">
        <v>0</v>
      </c>
      <c r="J207" s="27" t="n">
        <f aca="false">MAX(0,$H207-$I207)</f>
        <v>0</v>
      </c>
      <c r="K207" s="34" t="str">
        <f aca="false">IF($H207&gt;0,"In Stock","Out of Stock")</f>
        <v>Out of Stock</v>
      </c>
      <c r="L207" s="24" t="s">
        <v>1852</v>
      </c>
      <c r="M207" s="34" t="s">
        <v>1853</v>
      </c>
      <c r="N207" s="24" t="n">
        <v>4</v>
      </c>
      <c r="O207" s="24" t="n">
        <v>4</v>
      </c>
      <c r="P207" s="24" t="n">
        <v>1</v>
      </c>
      <c r="Q207" s="24" t="str">
        <f aca="false">$L207&amp;"-"&amp;TEXT($N207,"00")&amp;"-"&amp;$O207&amp;"-"&amp;TEXT($P207,"00")</f>
        <v>C-04-4-01</v>
      </c>
      <c r="R207" s="34" t="str">
        <f aca="false">"ZONE "&amp;$L207&amp;" / BAY "&amp;TEXT($N207,"00")&amp;" / SHELF "&amp;$O207&amp;" / BIN "&amp;TEXT($P207,"00")</f>
        <v>ZONE C / BAY 04 / SHELF 4 / BIN 01</v>
      </c>
      <c r="S207" s="34" t="s">
        <v>1847</v>
      </c>
      <c r="T207" s="34" t="s">
        <v>1844</v>
      </c>
      <c r="U207" s="27" t="n">
        <v>206</v>
      </c>
      <c r="V207" s="30" t="n">
        <v>46209</v>
      </c>
      <c r="W207" s="34" t="str">
        <f aca="false">IF($H207&gt;0,"Yes - "&amp;$H207&amp;" in stock at Store 0146 (size "&amp;$G207&amp;"). Back room location "&amp;$Q207&amp;" ("&amp;$R207&amp;"), "&amp;$S207&amp;". Back room "&amp;$J207&amp;" / sales floor "&amp;$I207&amp;".","Not currently in stock at Store 0146 (size "&amp;$G207&amp;"). Home location is "&amp;$Q207&amp;" ("&amp;$R207&amp;") when replenished.")</f>
        <v>Not currently in stock at Store 0146 (size 7). Home location is C-04-4-01 (ZONE C / BAY 04 / SHELF 4 / BIN 01) when replenished.</v>
      </c>
    </row>
    <row r="208" customFormat="false" ht="15" hidden="false" customHeight="false" outlineLevel="0" collapsed="false">
      <c r="A208" s="34" t="s">
        <v>1424</v>
      </c>
      <c r="B208" s="34" t="s">
        <v>1425</v>
      </c>
      <c r="C208" s="34" t="s">
        <v>713</v>
      </c>
      <c r="D208" s="34" t="s">
        <v>714</v>
      </c>
      <c r="E208" s="34" t="s">
        <v>715</v>
      </c>
      <c r="F208" s="34" t="s">
        <v>717</v>
      </c>
      <c r="G208" s="24" t="s">
        <v>291</v>
      </c>
      <c r="H208" s="27" t="n">
        <f aca="false">IFERROR(INDEX('Inventory Master'!$T$2:$T$525,MATCH($A208,'Inventory Master'!$A$2:$A$525,0)),0)</f>
        <v>1</v>
      </c>
      <c r="I208" s="27" t="n">
        <v>1</v>
      </c>
      <c r="J208" s="27" t="n">
        <f aca="false">MAX(0,$H208-$I208)</f>
        <v>0</v>
      </c>
      <c r="K208" s="34" t="str">
        <f aca="false">IF($H208&gt;0,"In Stock","Out of Stock")</f>
        <v>In Stock</v>
      </c>
      <c r="L208" s="24" t="s">
        <v>1852</v>
      </c>
      <c r="M208" s="34" t="s">
        <v>1853</v>
      </c>
      <c r="N208" s="24" t="n">
        <v>4</v>
      </c>
      <c r="O208" s="24" t="n">
        <v>4</v>
      </c>
      <c r="P208" s="24" t="n">
        <v>2</v>
      </c>
      <c r="Q208" s="24" t="str">
        <f aca="false">$L208&amp;"-"&amp;TEXT($N208,"00")&amp;"-"&amp;$O208&amp;"-"&amp;TEXT($P208,"00")</f>
        <v>C-04-4-02</v>
      </c>
      <c r="R208" s="34" t="str">
        <f aca="false">"ZONE "&amp;$L208&amp;" / BAY "&amp;TEXT($N208,"00")&amp;" / SHELF "&amp;$O208&amp;" / BIN "&amp;TEXT($P208,"00")</f>
        <v>ZONE C / BAY 04 / SHELF 4 / BIN 02</v>
      </c>
      <c r="S208" s="34" t="s">
        <v>1847</v>
      </c>
      <c r="T208" s="34" t="s">
        <v>1844</v>
      </c>
      <c r="U208" s="27" t="n">
        <v>207</v>
      </c>
      <c r="V208" s="30" t="n">
        <v>46196</v>
      </c>
      <c r="W208" s="34" t="str">
        <f aca="false">IF($H208&gt;0,"Yes - "&amp;$H208&amp;" in stock at Store 0146 (size "&amp;$G208&amp;"). Back room location "&amp;$Q208&amp;" ("&amp;$R208&amp;"), "&amp;$S208&amp;". Back room "&amp;$J208&amp;" / sales floor "&amp;$I208&amp;".","Not currently in stock at Store 0146 (size "&amp;$G208&amp;"). Home location is "&amp;$Q208&amp;" ("&amp;$R208&amp;") when replenished.")</f>
        <v>Yes - 1 in stock at Store 0146 (size 7.5). Back room location C-04-4-02 (ZONE C / BAY 04 / SHELF 4 / BIN 02), Overhead - step stool. Back room 0 / sales floor 1.</v>
      </c>
    </row>
    <row r="209" customFormat="false" ht="15" hidden="false" customHeight="false" outlineLevel="0" collapsed="false">
      <c r="A209" s="34" t="s">
        <v>711</v>
      </c>
      <c r="B209" s="34" t="s">
        <v>712</v>
      </c>
      <c r="C209" s="34" t="s">
        <v>713</v>
      </c>
      <c r="D209" s="34" t="s">
        <v>714</v>
      </c>
      <c r="E209" s="34" t="s">
        <v>715</v>
      </c>
      <c r="F209" s="34" t="s">
        <v>717</v>
      </c>
      <c r="G209" s="24" t="s">
        <v>356</v>
      </c>
      <c r="H209" s="27" t="n">
        <f aca="false">IFERROR(INDEX('Inventory Master'!$T$2:$T$525,MATCH($A209,'Inventory Master'!$A$2:$A$525,0)),0)</f>
        <v>5</v>
      </c>
      <c r="I209" s="27" t="n">
        <v>1</v>
      </c>
      <c r="J209" s="27" t="n">
        <f aca="false">MAX(0,$H209-$I209)</f>
        <v>4</v>
      </c>
      <c r="K209" s="34" t="str">
        <f aca="false">IF($H209&gt;0,"In Stock","Out of Stock")</f>
        <v>In Stock</v>
      </c>
      <c r="L209" s="24" t="s">
        <v>1852</v>
      </c>
      <c r="M209" s="34" t="s">
        <v>1853</v>
      </c>
      <c r="N209" s="24" t="n">
        <v>4</v>
      </c>
      <c r="O209" s="24" t="n">
        <v>4</v>
      </c>
      <c r="P209" s="24" t="n">
        <v>3</v>
      </c>
      <c r="Q209" s="24" t="str">
        <f aca="false">$L209&amp;"-"&amp;TEXT($N209,"00")&amp;"-"&amp;$O209&amp;"-"&amp;TEXT($P209,"00")</f>
        <v>C-04-4-03</v>
      </c>
      <c r="R209" s="34" t="str">
        <f aca="false">"ZONE "&amp;$L209&amp;" / BAY "&amp;TEXT($N209,"00")&amp;" / SHELF "&amp;$O209&amp;" / BIN "&amp;TEXT($P209,"00")</f>
        <v>ZONE C / BAY 04 / SHELF 4 / BIN 03</v>
      </c>
      <c r="S209" s="34" t="s">
        <v>1847</v>
      </c>
      <c r="T209" s="34" t="s">
        <v>1844</v>
      </c>
      <c r="U209" s="27" t="n">
        <v>208</v>
      </c>
      <c r="V209" s="30" t="n">
        <v>46211</v>
      </c>
      <c r="W209" s="34" t="str">
        <f aca="false">IF($H209&gt;0,"Yes - "&amp;$H209&amp;" in stock at Store 0146 (size "&amp;$G209&amp;"). Back room location "&amp;$Q209&amp;" ("&amp;$R209&amp;"), "&amp;$S209&amp;". Back room "&amp;$J209&amp;" / sales floor "&amp;$I209&amp;".","Not currently in stock at Store 0146 (size "&amp;$G209&amp;"). Home location is "&amp;$Q209&amp;" ("&amp;$R209&amp;") when replenished.")</f>
        <v>Yes - 5 in stock at Store 0146 (size 8). Back room location C-04-4-03 (ZONE C / BAY 04 / SHELF 4 / BIN 03), Overhead - step stool. Back room 4 / sales floor 1.</v>
      </c>
    </row>
    <row r="210" customFormat="false" ht="15" hidden="false" customHeight="false" outlineLevel="0" collapsed="false">
      <c r="A210" s="34" t="s">
        <v>1576</v>
      </c>
      <c r="B210" s="34" t="s">
        <v>1577</v>
      </c>
      <c r="C210" s="34" t="s">
        <v>180</v>
      </c>
      <c r="D210" s="34" t="s">
        <v>182</v>
      </c>
      <c r="E210" s="34" t="s">
        <v>183</v>
      </c>
      <c r="F210" s="34" t="s">
        <v>185</v>
      </c>
      <c r="G210" s="24" t="s">
        <v>338</v>
      </c>
      <c r="H210" s="27" t="n">
        <f aca="false">IFERROR(INDEX('Inventory Master'!$T$2:$T$525,MATCH($A210,'Inventory Master'!$A$2:$A$525,0)),0)</f>
        <v>2</v>
      </c>
      <c r="I210" s="27" t="n">
        <v>1</v>
      </c>
      <c r="J210" s="27" t="n">
        <f aca="false">MAX(0,$H210-$I210)</f>
        <v>1</v>
      </c>
      <c r="K210" s="34" t="str">
        <f aca="false">IF($H210&gt;0,"In Stock","Out of Stock")</f>
        <v>In Stock</v>
      </c>
      <c r="L210" s="24" t="s">
        <v>1852</v>
      </c>
      <c r="M210" s="34" t="s">
        <v>1853</v>
      </c>
      <c r="N210" s="24" t="n">
        <v>4</v>
      </c>
      <c r="O210" s="24" t="n">
        <v>5</v>
      </c>
      <c r="P210" s="24" t="n">
        <v>1</v>
      </c>
      <c r="Q210" s="24" t="str">
        <f aca="false">$L210&amp;"-"&amp;TEXT($N210,"00")&amp;"-"&amp;$O210&amp;"-"&amp;TEXT($P210,"00")</f>
        <v>C-04-5-01</v>
      </c>
      <c r="R210" s="34" t="str">
        <f aca="false">"ZONE "&amp;$L210&amp;" / BAY "&amp;TEXT($N210,"00")&amp;" / SHELF "&amp;$O210&amp;" / BIN "&amp;TEXT($P210,"00")</f>
        <v>ZONE C / BAY 04 / SHELF 5 / BIN 01</v>
      </c>
      <c r="S210" s="34" t="s">
        <v>1848</v>
      </c>
      <c r="T210" s="34" t="s">
        <v>1844</v>
      </c>
      <c r="U210" s="27" t="n">
        <v>209</v>
      </c>
      <c r="V210" s="30" t="n">
        <v>46188</v>
      </c>
      <c r="W210" s="34" t="str">
        <f aca="false">IF($H210&gt;0,"Yes - "&amp;$H210&amp;" in stock at Store 0146 (size "&amp;$G210&amp;"). Back room location "&amp;$Q210&amp;" ("&amp;$R210&amp;"), "&amp;$S210&amp;". Back room "&amp;$J210&amp;" / sales floor "&amp;$I210&amp;".","Not currently in stock at Store 0146 (size "&amp;$G210&amp;"). Home location is "&amp;$Q210&amp;" ("&amp;$R210&amp;") when replenished.")</f>
        <v>Yes - 2 in stock at Store 0146 (size 7). Back room location C-04-5-01 (ZONE C / BAY 04 / SHELF 5 / BIN 01), Top shelf - ladder required. Back room 1 / sales floor 1.</v>
      </c>
    </row>
    <row r="211" customFormat="false" ht="15" hidden="false" customHeight="false" outlineLevel="0" collapsed="false">
      <c r="A211" s="34" t="s">
        <v>931</v>
      </c>
      <c r="B211" s="34" t="s">
        <v>932</v>
      </c>
      <c r="C211" s="34" t="s">
        <v>180</v>
      </c>
      <c r="D211" s="34" t="s">
        <v>182</v>
      </c>
      <c r="E211" s="34" t="s">
        <v>183</v>
      </c>
      <c r="F211" s="34" t="s">
        <v>185</v>
      </c>
      <c r="G211" s="24" t="s">
        <v>291</v>
      </c>
      <c r="H211" s="27" t="n">
        <f aca="false">IFERROR(INDEX('Inventory Master'!$T$2:$T$525,MATCH($A211,'Inventory Master'!$A$2:$A$525,0)),0)</f>
        <v>2</v>
      </c>
      <c r="I211" s="27" t="n">
        <v>1</v>
      </c>
      <c r="J211" s="27" t="n">
        <f aca="false">MAX(0,$H211-$I211)</f>
        <v>1</v>
      </c>
      <c r="K211" s="34" t="str">
        <f aca="false">IF($H211&gt;0,"In Stock","Out of Stock")</f>
        <v>In Stock</v>
      </c>
      <c r="L211" s="24" t="s">
        <v>1852</v>
      </c>
      <c r="M211" s="34" t="s">
        <v>1853</v>
      </c>
      <c r="N211" s="24" t="n">
        <v>4</v>
      </c>
      <c r="O211" s="24" t="n">
        <v>5</v>
      </c>
      <c r="P211" s="24" t="n">
        <v>2</v>
      </c>
      <c r="Q211" s="24" t="str">
        <f aca="false">$L211&amp;"-"&amp;TEXT($N211,"00")&amp;"-"&amp;$O211&amp;"-"&amp;TEXT($P211,"00")</f>
        <v>C-04-5-02</v>
      </c>
      <c r="R211" s="34" t="str">
        <f aca="false">"ZONE "&amp;$L211&amp;" / BAY "&amp;TEXT($N211,"00")&amp;" / SHELF "&amp;$O211&amp;" / BIN "&amp;TEXT($P211,"00")</f>
        <v>ZONE C / BAY 04 / SHELF 5 / BIN 02</v>
      </c>
      <c r="S211" s="34" t="s">
        <v>1848</v>
      </c>
      <c r="T211" s="34" t="s">
        <v>1844</v>
      </c>
      <c r="U211" s="27" t="n">
        <v>210</v>
      </c>
      <c r="V211" s="30" t="n">
        <v>46136</v>
      </c>
      <c r="W211" s="34" t="str">
        <f aca="false">IF($H211&gt;0,"Yes - "&amp;$H211&amp;" in stock at Store 0146 (size "&amp;$G211&amp;"). Back room location "&amp;$Q211&amp;" ("&amp;$R211&amp;"), "&amp;$S211&amp;". Back room "&amp;$J211&amp;" / sales floor "&amp;$I211&amp;".","Not currently in stock at Store 0146 (size "&amp;$G211&amp;"). Home location is "&amp;$Q211&amp;" ("&amp;$R211&amp;") when replenished.")</f>
        <v>Yes - 2 in stock at Store 0146 (size 7.5). Back room location C-04-5-02 (ZONE C / BAY 04 / SHELF 5 / BIN 02), Top shelf - ladder required. Back room 1 / sales floor 1.</v>
      </c>
    </row>
    <row r="212" customFormat="false" ht="15" hidden="false" customHeight="false" outlineLevel="0" collapsed="false">
      <c r="A212" s="34" t="s">
        <v>1564</v>
      </c>
      <c r="B212" s="34" t="s">
        <v>1565</v>
      </c>
      <c r="C212" s="34" t="s">
        <v>180</v>
      </c>
      <c r="D212" s="34" t="s">
        <v>182</v>
      </c>
      <c r="E212" s="34" t="s">
        <v>183</v>
      </c>
      <c r="F212" s="34" t="s">
        <v>185</v>
      </c>
      <c r="G212" s="24" t="s">
        <v>356</v>
      </c>
      <c r="H212" s="27" t="n">
        <f aca="false">IFERROR(INDEX('Inventory Master'!$T$2:$T$525,MATCH($A212,'Inventory Master'!$A$2:$A$525,0)),0)</f>
        <v>5</v>
      </c>
      <c r="I212" s="27" t="n">
        <v>0</v>
      </c>
      <c r="J212" s="27" t="n">
        <f aca="false">MAX(0,$H212-$I212)</f>
        <v>5</v>
      </c>
      <c r="K212" s="34" t="str">
        <f aca="false">IF($H212&gt;0,"In Stock","Out of Stock")</f>
        <v>In Stock</v>
      </c>
      <c r="L212" s="24" t="s">
        <v>1852</v>
      </c>
      <c r="M212" s="34" t="s">
        <v>1853</v>
      </c>
      <c r="N212" s="24" t="n">
        <v>4</v>
      </c>
      <c r="O212" s="24" t="n">
        <v>5</v>
      </c>
      <c r="P212" s="24" t="n">
        <v>3</v>
      </c>
      <c r="Q212" s="24" t="str">
        <f aca="false">$L212&amp;"-"&amp;TEXT($N212,"00")&amp;"-"&amp;$O212&amp;"-"&amp;TEXT($P212,"00")</f>
        <v>C-04-5-03</v>
      </c>
      <c r="R212" s="34" t="str">
        <f aca="false">"ZONE "&amp;$L212&amp;" / BAY "&amp;TEXT($N212,"00")&amp;" / SHELF "&amp;$O212&amp;" / BIN "&amp;TEXT($P212,"00")</f>
        <v>ZONE C / BAY 04 / SHELF 5 / BIN 03</v>
      </c>
      <c r="S212" s="34" t="s">
        <v>1848</v>
      </c>
      <c r="T212" s="34" t="s">
        <v>1844</v>
      </c>
      <c r="U212" s="27" t="n">
        <v>211</v>
      </c>
      <c r="V212" s="30" t="n">
        <v>46229</v>
      </c>
      <c r="W212" s="34" t="str">
        <f aca="false">IF($H212&gt;0,"Yes - "&amp;$H212&amp;" in stock at Store 0146 (size "&amp;$G212&amp;"). Back room location "&amp;$Q212&amp;" ("&amp;$R212&amp;"), "&amp;$S212&amp;". Back room "&amp;$J212&amp;" / sales floor "&amp;$I212&amp;".","Not currently in stock at Store 0146 (size "&amp;$G212&amp;"). Home location is "&amp;$Q212&amp;" ("&amp;$R212&amp;") when replenished.")</f>
        <v>Yes - 5 in stock at Store 0146 (size 8). Back room location C-04-5-03 (ZONE C / BAY 04 / SHELF 5 / BIN 03), Top shelf - ladder required. Back room 5 / sales floor 0.</v>
      </c>
    </row>
    <row r="213" customFormat="false" ht="15" hidden="false" customHeight="false" outlineLevel="0" collapsed="false">
      <c r="A213" s="34" t="s">
        <v>178</v>
      </c>
      <c r="B213" s="34" t="s">
        <v>179</v>
      </c>
      <c r="C213" s="34" t="s">
        <v>180</v>
      </c>
      <c r="D213" s="34" t="s">
        <v>182</v>
      </c>
      <c r="E213" s="34" t="s">
        <v>183</v>
      </c>
      <c r="F213" s="34" t="s">
        <v>185</v>
      </c>
      <c r="G213" s="24" t="s">
        <v>188</v>
      </c>
      <c r="H213" s="27" t="n">
        <f aca="false">IFERROR(INDEX('Inventory Master'!$T$2:$T$525,MATCH($A213,'Inventory Master'!$A$2:$A$525,0)),0)</f>
        <v>4</v>
      </c>
      <c r="I213" s="27" t="n">
        <v>1</v>
      </c>
      <c r="J213" s="27" t="n">
        <f aca="false">MAX(0,$H213-$I213)</f>
        <v>3</v>
      </c>
      <c r="K213" s="34" t="str">
        <f aca="false">IF($H213&gt;0,"In Stock","Out of Stock")</f>
        <v>In Stock</v>
      </c>
      <c r="L213" s="24" t="s">
        <v>1852</v>
      </c>
      <c r="M213" s="34" t="s">
        <v>1853</v>
      </c>
      <c r="N213" s="24" t="n">
        <v>4</v>
      </c>
      <c r="O213" s="24" t="n">
        <v>5</v>
      </c>
      <c r="P213" s="24" t="n">
        <v>4</v>
      </c>
      <c r="Q213" s="24" t="str">
        <f aca="false">$L213&amp;"-"&amp;TEXT($N213,"00")&amp;"-"&amp;$O213&amp;"-"&amp;TEXT($P213,"00")</f>
        <v>C-04-5-04</v>
      </c>
      <c r="R213" s="34" t="str">
        <f aca="false">"ZONE "&amp;$L213&amp;" / BAY "&amp;TEXT($N213,"00")&amp;" / SHELF "&amp;$O213&amp;" / BIN "&amp;TEXT($P213,"00")</f>
        <v>ZONE C / BAY 04 / SHELF 5 / BIN 04</v>
      </c>
      <c r="S213" s="34" t="s">
        <v>1848</v>
      </c>
      <c r="T213" s="34" t="s">
        <v>1844</v>
      </c>
      <c r="U213" s="27" t="n">
        <v>212</v>
      </c>
      <c r="V213" s="30" t="n">
        <v>46193</v>
      </c>
      <c r="W213" s="34" t="str">
        <f aca="false">IF($H213&gt;0,"Yes - "&amp;$H213&amp;" in stock at Store 0146 (size "&amp;$G213&amp;"). Back room location "&amp;$Q213&amp;" ("&amp;$R213&amp;"), "&amp;$S213&amp;". Back room "&amp;$J213&amp;" / sales floor "&amp;$I213&amp;".","Not currently in stock at Store 0146 (size "&amp;$G213&amp;"). Home location is "&amp;$Q213&amp;" ("&amp;$R213&amp;") when replenished.")</f>
        <v>Yes - 4 in stock at Store 0146 (size 8.5). Back room location C-04-5-04 (ZONE C / BAY 04 / SHELF 5 / BIN 04), Top shelf - ladder required. Back room 3 / sales floor 1.</v>
      </c>
    </row>
    <row r="214" customFormat="false" ht="15" hidden="false" customHeight="false" outlineLevel="0" collapsed="false">
      <c r="A214" s="34" t="s">
        <v>1723</v>
      </c>
      <c r="B214" s="34" t="s">
        <v>1724</v>
      </c>
      <c r="C214" s="34" t="s">
        <v>180</v>
      </c>
      <c r="D214" s="34" t="s">
        <v>182</v>
      </c>
      <c r="E214" s="34" t="s">
        <v>183</v>
      </c>
      <c r="F214" s="34" t="s">
        <v>185</v>
      </c>
      <c r="G214" s="24" t="s">
        <v>164</v>
      </c>
      <c r="H214" s="27" t="n">
        <f aca="false">IFERROR(INDEX('Inventory Master'!$T$2:$T$525,MATCH($A214,'Inventory Master'!$A$2:$A$525,0)),0)</f>
        <v>5</v>
      </c>
      <c r="I214" s="27" t="n">
        <v>1</v>
      </c>
      <c r="J214" s="27" t="n">
        <f aca="false">MAX(0,$H214-$I214)</f>
        <v>4</v>
      </c>
      <c r="K214" s="34" t="str">
        <f aca="false">IF($H214&gt;0,"In Stock","Out of Stock")</f>
        <v>In Stock</v>
      </c>
      <c r="L214" s="24" t="s">
        <v>1852</v>
      </c>
      <c r="M214" s="34" t="s">
        <v>1853</v>
      </c>
      <c r="N214" s="24" t="n">
        <v>4</v>
      </c>
      <c r="O214" s="24" t="n">
        <v>5</v>
      </c>
      <c r="P214" s="24" t="n">
        <v>5</v>
      </c>
      <c r="Q214" s="24" t="str">
        <f aca="false">$L214&amp;"-"&amp;TEXT($N214,"00")&amp;"-"&amp;$O214&amp;"-"&amp;TEXT($P214,"00")</f>
        <v>C-04-5-05</v>
      </c>
      <c r="R214" s="34" t="str">
        <f aca="false">"ZONE "&amp;$L214&amp;" / BAY "&amp;TEXT($N214,"00")&amp;" / SHELF "&amp;$O214&amp;" / BIN "&amp;TEXT($P214,"00")</f>
        <v>ZONE C / BAY 04 / SHELF 5 / BIN 05</v>
      </c>
      <c r="S214" s="34" t="s">
        <v>1848</v>
      </c>
      <c r="T214" s="34" t="s">
        <v>1844</v>
      </c>
      <c r="U214" s="27" t="n">
        <v>213</v>
      </c>
      <c r="V214" s="30" t="n">
        <v>46184</v>
      </c>
      <c r="W214" s="34" t="str">
        <f aca="false">IF($H214&gt;0,"Yes - "&amp;$H214&amp;" in stock at Store 0146 (size "&amp;$G214&amp;"). Back room location "&amp;$Q214&amp;" ("&amp;$R214&amp;"), "&amp;$S214&amp;". Back room "&amp;$J214&amp;" / sales floor "&amp;$I214&amp;".","Not currently in stock at Store 0146 (size "&amp;$G214&amp;"). Home location is "&amp;$Q214&amp;" ("&amp;$R214&amp;") when replenished.")</f>
        <v>Yes - 5 in stock at Store 0146 (size 9). Back room location C-04-5-05 (ZONE C / BAY 04 / SHELF 5 / BIN 05), Top shelf - ladder required. Back room 4 / sales floor 1.</v>
      </c>
    </row>
    <row r="215" customFormat="false" ht="15" hidden="false" customHeight="false" outlineLevel="0" collapsed="false">
      <c r="A215" s="34" t="s">
        <v>1468</v>
      </c>
      <c r="B215" s="34" t="s">
        <v>1469</v>
      </c>
      <c r="C215" s="34" t="s">
        <v>180</v>
      </c>
      <c r="D215" s="34" t="s">
        <v>182</v>
      </c>
      <c r="E215" s="34" t="s">
        <v>183</v>
      </c>
      <c r="F215" s="34" t="s">
        <v>185</v>
      </c>
      <c r="G215" s="24" t="s">
        <v>177</v>
      </c>
      <c r="H215" s="27" t="n">
        <f aca="false">IFERROR(INDEX('Inventory Master'!$T$2:$T$525,MATCH($A215,'Inventory Master'!$A$2:$A$525,0)),0)</f>
        <v>0</v>
      </c>
      <c r="I215" s="27" t="n">
        <v>0</v>
      </c>
      <c r="J215" s="27" t="n">
        <f aca="false">MAX(0,$H215-$I215)</f>
        <v>0</v>
      </c>
      <c r="K215" s="34" t="str">
        <f aca="false">IF($H215&gt;0,"In Stock","Out of Stock")</f>
        <v>Out of Stock</v>
      </c>
      <c r="L215" s="24" t="s">
        <v>1852</v>
      </c>
      <c r="M215" s="34" t="s">
        <v>1853</v>
      </c>
      <c r="N215" s="24" t="n">
        <v>4</v>
      </c>
      <c r="O215" s="24" t="n">
        <v>5</v>
      </c>
      <c r="P215" s="24" t="n">
        <v>6</v>
      </c>
      <c r="Q215" s="24" t="str">
        <f aca="false">$L215&amp;"-"&amp;TEXT($N215,"00")&amp;"-"&amp;$O215&amp;"-"&amp;TEXT($P215,"00")</f>
        <v>C-04-5-06</v>
      </c>
      <c r="R215" s="34" t="str">
        <f aca="false">"ZONE "&amp;$L215&amp;" / BAY "&amp;TEXT($N215,"00")&amp;" / SHELF "&amp;$O215&amp;" / BIN "&amp;TEXT($P215,"00")</f>
        <v>ZONE C / BAY 04 / SHELF 5 / BIN 06</v>
      </c>
      <c r="S215" s="34" t="s">
        <v>1848</v>
      </c>
      <c r="T215" s="34" t="s">
        <v>1844</v>
      </c>
      <c r="U215" s="27" t="n">
        <v>214</v>
      </c>
      <c r="V215" s="30" t="n">
        <v>46203</v>
      </c>
      <c r="W215" s="34" t="str">
        <f aca="false">IF($H215&gt;0,"Yes - "&amp;$H215&amp;" in stock at Store 0146 (size "&amp;$G215&amp;"). Back room location "&amp;$Q215&amp;" ("&amp;$R215&amp;"), "&amp;$S215&amp;". Back room "&amp;$J215&amp;" / sales floor "&amp;$I215&amp;".","Not currently in stock at Store 0146 (size "&amp;$G215&amp;"). Home location is "&amp;$Q215&amp;" ("&amp;$R215&amp;") when replenished.")</f>
        <v>Not currently in stock at Store 0146 (size 9.5). Home location is C-04-5-06 (ZONE C / BAY 04 / SHELF 5 / BIN 06) when replenished.</v>
      </c>
    </row>
    <row r="216" customFormat="false" ht="15" hidden="false" customHeight="false" outlineLevel="0" collapsed="false">
      <c r="A216" s="34" t="s">
        <v>1510</v>
      </c>
      <c r="B216" s="34" t="s">
        <v>1511</v>
      </c>
      <c r="C216" s="34" t="s">
        <v>964</v>
      </c>
      <c r="D216" s="34" t="s">
        <v>107</v>
      </c>
      <c r="E216" s="34" t="s">
        <v>965</v>
      </c>
      <c r="F216" s="34" t="s">
        <v>967</v>
      </c>
      <c r="G216" s="24" t="s">
        <v>356</v>
      </c>
      <c r="H216" s="27" t="n">
        <f aca="false">IFERROR(INDEX('Inventory Master'!$T$2:$T$525,MATCH($A216,'Inventory Master'!$A$2:$A$525,0)),0)</f>
        <v>2</v>
      </c>
      <c r="I216" s="27" t="n">
        <v>2</v>
      </c>
      <c r="J216" s="27" t="n">
        <f aca="false">MAX(0,$H216-$I216)</f>
        <v>0</v>
      </c>
      <c r="K216" s="34" t="str">
        <f aca="false">IF($H216&gt;0,"In Stock","Out of Stock")</f>
        <v>In Stock</v>
      </c>
      <c r="L216" s="24" t="s">
        <v>1852</v>
      </c>
      <c r="M216" s="34" t="s">
        <v>1853</v>
      </c>
      <c r="N216" s="24" t="n">
        <v>5</v>
      </c>
      <c r="O216" s="24" t="n">
        <v>1</v>
      </c>
      <c r="P216" s="24" t="n">
        <v>1</v>
      </c>
      <c r="Q216" s="24" t="str">
        <f aca="false">$L216&amp;"-"&amp;TEXT($N216,"00")&amp;"-"&amp;$O216&amp;"-"&amp;TEXT($P216,"00")</f>
        <v>C-05-1-01</v>
      </c>
      <c r="R216" s="34" t="str">
        <f aca="false">"ZONE "&amp;$L216&amp;" / BAY "&amp;TEXT($N216,"00")&amp;" / SHELF "&amp;$O216&amp;" / BIN "&amp;TEXT($P216,"00")</f>
        <v>ZONE C / BAY 05 / SHELF 1 / BIN 01</v>
      </c>
      <c r="S216" s="34" t="s">
        <v>1843</v>
      </c>
      <c r="T216" s="34" t="s">
        <v>1844</v>
      </c>
      <c r="U216" s="27" t="n">
        <v>215</v>
      </c>
      <c r="V216" s="30" t="n">
        <v>46169</v>
      </c>
      <c r="W216" s="34" t="str">
        <f aca="false">IF($H216&gt;0,"Yes - "&amp;$H216&amp;" in stock at Store 0146 (size "&amp;$G216&amp;"). Back room location "&amp;$Q216&amp;" ("&amp;$R216&amp;"), "&amp;$S216&amp;". Back room "&amp;$J216&amp;" / sales floor "&amp;$I216&amp;".","Not currently in stock at Store 0146 (size "&amp;$G216&amp;"). Home location is "&amp;$Q216&amp;" ("&amp;$R216&amp;") when replenished.")</f>
        <v>Yes - 2 in stock at Store 0146 (size 8). Back room location C-05-1-01 (ZONE C / BAY 05 / SHELF 1 / BIN 01), Floor level - no reach. Back room 0 / sales floor 2.</v>
      </c>
    </row>
    <row r="217" customFormat="false" ht="15" hidden="false" customHeight="false" outlineLevel="0" collapsed="false">
      <c r="A217" s="34" t="s">
        <v>962</v>
      </c>
      <c r="B217" s="34" t="s">
        <v>963</v>
      </c>
      <c r="C217" s="34" t="s">
        <v>964</v>
      </c>
      <c r="D217" s="34" t="s">
        <v>107</v>
      </c>
      <c r="E217" s="34" t="s">
        <v>965</v>
      </c>
      <c r="F217" s="34" t="s">
        <v>967</v>
      </c>
      <c r="G217" s="24" t="s">
        <v>188</v>
      </c>
      <c r="H217" s="27" t="n">
        <f aca="false">IFERROR(INDEX('Inventory Master'!$T$2:$T$525,MATCH($A217,'Inventory Master'!$A$2:$A$525,0)),0)</f>
        <v>1</v>
      </c>
      <c r="I217" s="27" t="n">
        <v>1</v>
      </c>
      <c r="J217" s="27" t="n">
        <f aca="false">MAX(0,$H217-$I217)</f>
        <v>0</v>
      </c>
      <c r="K217" s="34" t="str">
        <f aca="false">IF($H217&gt;0,"In Stock","Out of Stock")</f>
        <v>In Stock</v>
      </c>
      <c r="L217" s="24" t="s">
        <v>1852</v>
      </c>
      <c r="M217" s="34" t="s">
        <v>1853</v>
      </c>
      <c r="N217" s="24" t="n">
        <v>5</v>
      </c>
      <c r="O217" s="24" t="n">
        <v>1</v>
      </c>
      <c r="P217" s="24" t="n">
        <v>2</v>
      </c>
      <c r="Q217" s="24" t="str">
        <f aca="false">$L217&amp;"-"&amp;TEXT($N217,"00")&amp;"-"&amp;$O217&amp;"-"&amp;TEXT($P217,"00")</f>
        <v>C-05-1-02</v>
      </c>
      <c r="R217" s="34" t="str">
        <f aca="false">"ZONE "&amp;$L217&amp;" / BAY "&amp;TEXT($N217,"00")&amp;" / SHELF "&amp;$O217&amp;" / BIN "&amp;TEXT($P217,"00")</f>
        <v>ZONE C / BAY 05 / SHELF 1 / BIN 02</v>
      </c>
      <c r="S217" s="34" t="s">
        <v>1843</v>
      </c>
      <c r="T217" s="34" t="s">
        <v>1844</v>
      </c>
      <c r="U217" s="27" t="n">
        <v>216</v>
      </c>
      <c r="V217" s="30" t="n">
        <v>46159</v>
      </c>
      <c r="W217" s="34" t="str">
        <f aca="false">IF($H217&gt;0,"Yes - "&amp;$H217&amp;" in stock at Store 0146 (size "&amp;$G217&amp;"). Back room location "&amp;$Q217&amp;" ("&amp;$R217&amp;"), "&amp;$S217&amp;". Back room "&amp;$J217&amp;" / sales floor "&amp;$I217&amp;".","Not currently in stock at Store 0146 (size "&amp;$G217&amp;"). Home location is "&amp;$Q217&amp;" ("&amp;$R217&amp;") when replenished.")</f>
        <v>Yes - 1 in stock at Store 0146 (size 8.5). Back room location C-05-1-02 (ZONE C / BAY 05 / SHELF 1 / BIN 02), Floor level - no reach. Back room 0 / sales floor 1.</v>
      </c>
    </row>
    <row r="218" customFormat="false" ht="15" hidden="false" customHeight="false" outlineLevel="0" collapsed="false">
      <c r="A218" s="34" t="s">
        <v>1739</v>
      </c>
      <c r="B218" s="34" t="s">
        <v>1740</v>
      </c>
      <c r="C218" s="34" t="s">
        <v>964</v>
      </c>
      <c r="D218" s="34" t="s">
        <v>107</v>
      </c>
      <c r="E218" s="34" t="s">
        <v>965</v>
      </c>
      <c r="F218" s="34" t="s">
        <v>967</v>
      </c>
      <c r="G218" s="24" t="s">
        <v>164</v>
      </c>
      <c r="H218" s="27" t="n">
        <f aca="false">IFERROR(INDEX('Inventory Master'!$T$2:$T$525,MATCH($A218,'Inventory Master'!$A$2:$A$525,0)),0)</f>
        <v>4</v>
      </c>
      <c r="I218" s="27" t="n">
        <v>1</v>
      </c>
      <c r="J218" s="27" t="n">
        <f aca="false">MAX(0,$H218-$I218)</f>
        <v>3</v>
      </c>
      <c r="K218" s="34" t="str">
        <f aca="false">IF($H218&gt;0,"In Stock","Out of Stock")</f>
        <v>In Stock</v>
      </c>
      <c r="L218" s="24" t="s">
        <v>1852</v>
      </c>
      <c r="M218" s="34" t="s">
        <v>1853</v>
      </c>
      <c r="N218" s="24" t="n">
        <v>5</v>
      </c>
      <c r="O218" s="24" t="n">
        <v>1</v>
      </c>
      <c r="P218" s="24" t="n">
        <v>3</v>
      </c>
      <c r="Q218" s="24" t="str">
        <f aca="false">$L218&amp;"-"&amp;TEXT($N218,"00")&amp;"-"&amp;$O218&amp;"-"&amp;TEXT($P218,"00")</f>
        <v>C-05-1-03</v>
      </c>
      <c r="R218" s="34" t="str">
        <f aca="false">"ZONE "&amp;$L218&amp;" / BAY "&amp;TEXT($N218,"00")&amp;" / SHELF "&amp;$O218&amp;" / BIN "&amp;TEXT($P218,"00")</f>
        <v>ZONE C / BAY 05 / SHELF 1 / BIN 03</v>
      </c>
      <c r="S218" s="34" t="s">
        <v>1843</v>
      </c>
      <c r="T218" s="34" t="s">
        <v>1844</v>
      </c>
      <c r="U218" s="27" t="n">
        <v>217</v>
      </c>
      <c r="V218" s="30" t="n">
        <v>46228</v>
      </c>
      <c r="W218" s="34" t="str">
        <f aca="false">IF($H218&gt;0,"Yes - "&amp;$H218&amp;" in stock at Store 0146 (size "&amp;$G218&amp;"). Back room location "&amp;$Q218&amp;" ("&amp;$R218&amp;"), "&amp;$S218&amp;". Back room "&amp;$J218&amp;" / sales floor "&amp;$I218&amp;".","Not currently in stock at Store 0146 (size "&amp;$G218&amp;"). Home location is "&amp;$Q218&amp;" ("&amp;$R218&amp;") when replenished.")</f>
        <v>Yes - 4 in stock at Store 0146 (size 9). Back room location C-05-1-03 (ZONE C / BAY 05 / SHELF 1 / BIN 03), Floor level - no reach. Back room 3 / sales floor 1.</v>
      </c>
    </row>
    <row r="219" customFormat="false" ht="15" hidden="false" customHeight="false" outlineLevel="0" collapsed="false">
      <c r="A219" s="34" t="s">
        <v>826</v>
      </c>
      <c r="B219" s="34" t="s">
        <v>827</v>
      </c>
      <c r="C219" s="34" t="s">
        <v>828</v>
      </c>
      <c r="D219" s="34" t="s">
        <v>107</v>
      </c>
      <c r="E219" s="34" t="s">
        <v>397</v>
      </c>
      <c r="F219" s="34" t="s">
        <v>830</v>
      </c>
      <c r="G219" s="24" t="s">
        <v>538</v>
      </c>
      <c r="H219" s="27" t="n">
        <f aca="false">IFERROR(INDEX('Inventory Master'!$T$2:$T$525,MATCH($A219,'Inventory Master'!$A$2:$A$525,0)),0)</f>
        <v>2</v>
      </c>
      <c r="I219" s="27" t="n">
        <v>1</v>
      </c>
      <c r="J219" s="27" t="n">
        <f aca="false">MAX(0,$H219-$I219)</f>
        <v>1</v>
      </c>
      <c r="K219" s="34" t="str">
        <f aca="false">IF($H219&gt;0,"In Stock","Out of Stock")</f>
        <v>In Stock</v>
      </c>
      <c r="L219" s="24" t="s">
        <v>1852</v>
      </c>
      <c r="M219" s="34" t="s">
        <v>1853</v>
      </c>
      <c r="N219" s="24" t="n">
        <v>5</v>
      </c>
      <c r="O219" s="24" t="n">
        <v>2</v>
      </c>
      <c r="P219" s="24" t="n">
        <v>1</v>
      </c>
      <c r="Q219" s="24" t="str">
        <f aca="false">$L219&amp;"-"&amp;TEXT($N219,"00")&amp;"-"&amp;$O219&amp;"-"&amp;TEXT($P219,"00")</f>
        <v>C-05-2-01</v>
      </c>
      <c r="R219" s="34" t="str">
        <f aca="false">"ZONE "&amp;$L219&amp;" / BAY "&amp;TEXT($N219,"00")&amp;" / SHELF "&amp;$O219&amp;" / BIN "&amp;TEXT($P219,"00")</f>
        <v>ZONE C / BAY 05 / SHELF 2 / BIN 01</v>
      </c>
      <c r="S219" s="34" t="s">
        <v>1845</v>
      </c>
      <c r="T219" s="34" t="s">
        <v>1844</v>
      </c>
      <c r="U219" s="27" t="n">
        <v>218</v>
      </c>
      <c r="V219" s="30" t="n">
        <v>46209</v>
      </c>
      <c r="W219" s="34" t="str">
        <f aca="false">IF($H219&gt;0,"Yes - "&amp;$H219&amp;" in stock at Store 0146 (size "&amp;$G219&amp;"). Back room location "&amp;$Q219&amp;" ("&amp;$R219&amp;"), "&amp;$S219&amp;". Back room "&amp;$J219&amp;" / sales floor "&amp;$I219&amp;".","Not currently in stock at Store 0146 (size "&amp;$G219&amp;"). Home location is "&amp;$Q219&amp;" ("&amp;$R219&amp;") when replenished.")</f>
        <v>Yes - 2 in stock at Store 0146 (size 6). Back room location C-05-2-01 (ZONE C / BAY 05 / SHELF 2 / BIN 01), Waist height. Back room 1 / sales floor 1.</v>
      </c>
    </row>
    <row r="220" customFormat="false" ht="15" hidden="false" customHeight="false" outlineLevel="0" collapsed="false">
      <c r="A220" s="34" t="s">
        <v>1257</v>
      </c>
      <c r="B220" s="34" t="s">
        <v>1258</v>
      </c>
      <c r="C220" s="34" t="s">
        <v>828</v>
      </c>
      <c r="D220" s="34" t="s">
        <v>107</v>
      </c>
      <c r="E220" s="34" t="s">
        <v>397</v>
      </c>
      <c r="F220" s="34" t="s">
        <v>830</v>
      </c>
      <c r="G220" s="24" t="s">
        <v>308</v>
      </c>
      <c r="H220" s="27" t="n">
        <f aca="false">IFERROR(INDEX('Inventory Master'!$T$2:$T$525,MATCH($A220,'Inventory Master'!$A$2:$A$525,0)),0)</f>
        <v>1</v>
      </c>
      <c r="I220" s="27" t="n">
        <v>1</v>
      </c>
      <c r="J220" s="27" t="n">
        <f aca="false">MAX(0,$H220-$I220)</f>
        <v>0</v>
      </c>
      <c r="K220" s="34" t="str">
        <f aca="false">IF($H220&gt;0,"In Stock","Out of Stock")</f>
        <v>In Stock</v>
      </c>
      <c r="L220" s="24" t="s">
        <v>1852</v>
      </c>
      <c r="M220" s="34" t="s">
        <v>1853</v>
      </c>
      <c r="N220" s="24" t="n">
        <v>5</v>
      </c>
      <c r="O220" s="24" t="n">
        <v>2</v>
      </c>
      <c r="P220" s="24" t="n">
        <v>2</v>
      </c>
      <c r="Q220" s="24" t="str">
        <f aca="false">$L220&amp;"-"&amp;TEXT($N220,"00")&amp;"-"&amp;$O220&amp;"-"&amp;TEXT($P220,"00")</f>
        <v>C-05-2-02</v>
      </c>
      <c r="R220" s="34" t="str">
        <f aca="false">"ZONE "&amp;$L220&amp;" / BAY "&amp;TEXT($N220,"00")&amp;" / SHELF "&amp;$O220&amp;" / BIN "&amp;TEXT($P220,"00")</f>
        <v>ZONE C / BAY 05 / SHELF 2 / BIN 02</v>
      </c>
      <c r="S220" s="34" t="s">
        <v>1845</v>
      </c>
      <c r="T220" s="34" t="s">
        <v>1844</v>
      </c>
      <c r="U220" s="27" t="n">
        <v>219</v>
      </c>
      <c r="V220" s="30" t="n">
        <v>46146</v>
      </c>
      <c r="W220" s="34" t="str">
        <f aca="false">IF($H220&gt;0,"Yes - "&amp;$H220&amp;" in stock at Store 0146 (size "&amp;$G220&amp;"). Back room location "&amp;$Q220&amp;" ("&amp;$R220&amp;"), "&amp;$S220&amp;". Back room "&amp;$J220&amp;" / sales floor "&amp;$I220&amp;".","Not currently in stock at Store 0146 (size "&amp;$G220&amp;"). Home location is "&amp;$Q220&amp;" ("&amp;$R220&amp;") when replenished.")</f>
        <v>Yes - 1 in stock at Store 0146 (size 6.5). Back room location C-05-2-02 (ZONE C / BAY 05 / SHELF 2 / BIN 02), Waist height. Back room 0 / sales floor 1.</v>
      </c>
    </row>
    <row r="221" customFormat="false" ht="15" hidden="false" customHeight="false" outlineLevel="0" collapsed="false">
      <c r="A221" s="34" t="s">
        <v>1727</v>
      </c>
      <c r="B221" s="34" t="s">
        <v>1728</v>
      </c>
      <c r="C221" s="34" t="s">
        <v>828</v>
      </c>
      <c r="D221" s="34" t="s">
        <v>107</v>
      </c>
      <c r="E221" s="34" t="s">
        <v>397</v>
      </c>
      <c r="F221" s="34" t="s">
        <v>830</v>
      </c>
      <c r="G221" s="24" t="s">
        <v>338</v>
      </c>
      <c r="H221" s="27" t="n">
        <f aca="false">IFERROR(INDEX('Inventory Master'!$T$2:$T$525,MATCH($A221,'Inventory Master'!$A$2:$A$525,0)),0)</f>
        <v>0</v>
      </c>
      <c r="I221" s="27" t="n">
        <v>0</v>
      </c>
      <c r="J221" s="27" t="n">
        <f aca="false">MAX(0,$H221-$I221)</f>
        <v>0</v>
      </c>
      <c r="K221" s="34" t="str">
        <f aca="false">IF($H221&gt;0,"In Stock","Out of Stock")</f>
        <v>Out of Stock</v>
      </c>
      <c r="L221" s="24" t="s">
        <v>1852</v>
      </c>
      <c r="M221" s="34" t="s">
        <v>1853</v>
      </c>
      <c r="N221" s="24" t="n">
        <v>5</v>
      </c>
      <c r="O221" s="24" t="n">
        <v>2</v>
      </c>
      <c r="P221" s="24" t="n">
        <v>3</v>
      </c>
      <c r="Q221" s="24" t="str">
        <f aca="false">$L221&amp;"-"&amp;TEXT($N221,"00")&amp;"-"&amp;$O221&amp;"-"&amp;TEXT($P221,"00")</f>
        <v>C-05-2-03</v>
      </c>
      <c r="R221" s="34" t="str">
        <f aca="false">"ZONE "&amp;$L221&amp;" / BAY "&amp;TEXT($N221,"00")&amp;" / SHELF "&amp;$O221&amp;" / BIN "&amp;TEXT($P221,"00")</f>
        <v>ZONE C / BAY 05 / SHELF 2 / BIN 03</v>
      </c>
      <c r="S221" s="34" t="s">
        <v>1845</v>
      </c>
      <c r="T221" s="34" t="s">
        <v>1844</v>
      </c>
      <c r="U221" s="27" t="n">
        <v>220</v>
      </c>
      <c r="V221" s="30" t="n">
        <v>46189</v>
      </c>
      <c r="W221" s="34" t="str">
        <f aca="false">IF($H221&gt;0,"Yes - "&amp;$H221&amp;" in stock at Store 0146 (size "&amp;$G221&amp;"). Back room location "&amp;$Q221&amp;" ("&amp;$R221&amp;"), "&amp;$S221&amp;". Back room "&amp;$J221&amp;" / sales floor "&amp;$I221&amp;".","Not currently in stock at Store 0146 (size "&amp;$G221&amp;"). Home location is "&amp;$Q221&amp;" ("&amp;$R221&amp;") when replenished.")</f>
        <v>Not currently in stock at Store 0146 (size 7). Home location is C-05-2-03 (ZONE C / BAY 05 / SHELF 2 / BIN 03) when replenished.</v>
      </c>
    </row>
    <row r="222" customFormat="false" ht="15" hidden="false" customHeight="false" outlineLevel="0" collapsed="false">
      <c r="A222" s="34" t="s">
        <v>1637</v>
      </c>
      <c r="B222" s="34" t="s">
        <v>1638</v>
      </c>
      <c r="C222" s="34" t="s">
        <v>662</v>
      </c>
      <c r="D222" s="34" t="s">
        <v>157</v>
      </c>
      <c r="E222" s="34" t="s">
        <v>663</v>
      </c>
      <c r="F222" s="34" t="s">
        <v>665</v>
      </c>
      <c r="G222" s="24" t="s">
        <v>538</v>
      </c>
      <c r="H222" s="27" t="n">
        <f aca="false">IFERROR(INDEX('Inventory Master'!$T$2:$T$525,MATCH($A222,'Inventory Master'!$A$2:$A$525,0)),0)</f>
        <v>2</v>
      </c>
      <c r="I222" s="27" t="n">
        <v>1</v>
      </c>
      <c r="J222" s="27" t="n">
        <f aca="false">MAX(0,$H222-$I222)</f>
        <v>1</v>
      </c>
      <c r="K222" s="34" t="str">
        <f aca="false">IF($H222&gt;0,"In Stock","Out of Stock")</f>
        <v>In Stock</v>
      </c>
      <c r="L222" s="24" t="s">
        <v>1852</v>
      </c>
      <c r="M222" s="34" t="s">
        <v>1853</v>
      </c>
      <c r="N222" s="24" t="n">
        <v>5</v>
      </c>
      <c r="O222" s="24" t="n">
        <v>3</v>
      </c>
      <c r="P222" s="24" t="n">
        <v>1</v>
      </c>
      <c r="Q222" s="24" t="str">
        <f aca="false">$L222&amp;"-"&amp;TEXT($N222,"00")&amp;"-"&amp;$O222&amp;"-"&amp;TEXT($P222,"00")</f>
        <v>C-05-3-01</v>
      </c>
      <c r="R222" s="34" t="str">
        <f aca="false">"ZONE "&amp;$L222&amp;" / BAY "&amp;TEXT($N222,"00")&amp;" / SHELF "&amp;$O222&amp;" / BIN "&amp;TEXT($P222,"00")</f>
        <v>ZONE C / BAY 05 / SHELF 3 / BIN 01</v>
      </c>
      <c r="S222" s="34" t="s">
        <v>1846</v>
      </c>
      <c r="T222" s="34" t="s">
        <v>1844</v>
      </c>
      <c r="U222" s="27" t="n">
        <v>221</v>
      </c>
      <c r="V222" s="30" t="n">
        <v>46194</v>
      </c>
      <c r="W222" s="34" t="str">
        <f aca="false">IF($H222&gt;0,"Yes - "&amp;$H222&amp;" in stock at Store 0146 (size "&amp;$G222&amp;"). Back room location "&amp;$Q222&amp;" ("&amp;$R222&amp;"), "&amp;$S222&amp;". Back room "&amp;$J222&amp;" / sales floor "&amp;$I222&amp;".","Not currently in stock at Store 0146 (size "&amp;$G222&amp;"). Home location is "&amp;$Q222&amp;" ("&amp;$R222&amp;") when replenished.")</f>
        <v>Yes - 2 in stock at Store 0146 (size 6). Back room location C-05-3-01 (ZONE C / BAY 05 / SHELF 3 / BIN 01), Eye level. Back room 1 / sales floor 1.</v>
      </c>
    </row>
    <row r="223" customFormat="false" ht="15" hidden="false" customHeight="false" outlineLevel="0" collapsed="false">
      <c r="A223" s="34" t="s">
        <v>1711</v>
      </c>
      <c r="B223" s="34" t="s">
        <v>1712</v>
      </c>
      <c r="C223" s="34" t="s">
        <v>662</v>
      </c>
      <c r="D223" s="34" t="s">
        <v>157</v>
      </c>
      <c r="E223" s="34" t="s">
        <v>663</v>
      </c>
      <c r="F223" s="34" t="s">
        <v>665</v>
      </c>
      <c r="G223" s="24" t="s">
        <v>308</v>
      </c>
      <c r="H223" s="27" t="n">
        <f aca="false">IFERROR(INDEX('Inventory Master'!$T$2:$T$525,MATCH($A223,'Inventory Master'!$A$2:$A$525,0)),0)</f>
        <v>3</v>
      </c>
      <c r="I223" s="27" t="n">
        <v>1</v>
      </c>
      <c r="J223" s="27" t="n">
        <f aca="false">MAX(0,$H223-$I223)</f>
        <v>2</v>
      </c>
      <c r="K223" s="34" t="str">
        <f aca="false">IF($H223&gt;0,"In Stock","Out of Stock")</f>
        <v>In Stock</v>
      </c>
      <c r="L223" s="24" t="s">
        <v>1852</v>
      </c>
      <c r="M223" s="34" t="s">
        <v>1853</v>
      </c>
      <c r="N223" s="24" t="n">
        <v>5</v>
      </c>
      <c r="O223" s="24" t="n">
        <v>3</v>
      </c>
      <c r="P223" s="24" t="n">
        <v>2</v>
      </c>
      <c r="Q223" s="24" t="str">
        <f aca="false">$L223&amp;"-"&amp;TEXT($N223,"00")&amp;"-"&amp;$O223&amp;"-"&amp;TEXT($P223,"00")</f>
        <v>C-05-3-02</v>
      </c>
      <c r="R223" s="34" t="str">
        <f aca="false">"ZONE "&amp;$L223&amp;" / BAY "&amp;TEXT($N223,"00")&amp;" / SHELF "&amp;$O223&amp;" / BIN "&amp;TEXT($P223,"00")</f>
        <v>ZONE C / BAY 05 / SHELF 3 / BIN 02</v>
      </c>
      <c r="S223" s="34" t="s">
        <v>1846</v>
      </c>
      <c r="T223" s="34" t="s">
        <v>1844</v>
      </c>
      <c r="U223" s="27" t="n">
        <v>222</v>
      </c>
      <c r="V223" s="30" t="n">
        <v>46159</v>
      </c>
      <c r="W223" s="34" t="str">
        <f aca="false">IF($H223&gt;0,"Yes - "&amp;$H223&amp;" in stock at Store 0146 (size "&amp;$G223&amp;"). Back room location "&amp;$Q223&amp;" ("&amp;$R223&amp;"), "&amp;$S223&amp;". Back room "&amp;$J223&amp;" / sales floor "&amp;$I223&amp;".","Not currently in stock at Store 0146 (size "&amp;$G223&amp;"). Home location is "&amp;$Q223&amp;" ("&amp;$R223&amp;") when replenished.")</f>
        <v>Yes - 3 in stock at Store 0146 (size 6.5). Back room location C-05-3-02 (ZONE C / BAY 05 / SHELF 3 / BIN 02), Eye level. Back room 2 / sales floor 1.</v>
      </c>
    </row>
    <row r="224" customFormat="false" ht="15" hidden="false" customHeight="false" outlineLevel="0" collapsed="false">
      <c r="A224" s="34" t="s">
        <v>1484</v>
      </c>
      <c r="B224" s="34" t="s">
        <v>1485</v>
      </c>
      <c r="C224" s="34" t="s">
        <v>662</v>
      </c>
      <c r="D224" s="34" t="s">
        <v>157</v>
      </c>
      <c r="E224" s="34" t="s">
        <v>663</v>
      </c>
      <c r="F224" s="34" t="s">
        <v>665</v>
      </c>
      <c r="G224" s="24" t="s">
        <v>338</v>
      </c>
      <c r="H224" s="27" t="n">
        <f aca="false">IFERROR(INDEX('Inventory Master'!$T$2:$T$525,MATCH($A224,'Inventory Master'!$A$2:$A$525,0)),0)</f>
        <v>0</v>
      </c>
      <c r="I224" s="27" t="n">
        <v>0</v>
      </c>
      <c r="J224" s="27" t="n">
        <f aca="false">MAX(0,$H224-$I224)</f>
        <v>0</v>
      </c>
      <c r="K224" s="34" t="str">
        <f aca="false">IF($H224&gt;0,"In Stock","Out of Stock")</f>
        <v>Out of Stock</v>
      </c>
      <c r="L224" s="24" t="s">
        <v>1852</v>
      </c>
      <c r="M224" s="34" t="s">
        <v>1853</v>
      </c>
      <c r="N224" s="24" t="n">
        <v>5</v>
      </c>
      <c r="O224" s="24" t="n">
        <v>3</v>
      </c>
      <c r="P224" s="24" t="n">
        <v>3</v>
      </c>
      <c r="Q224" s="24" t="str">
        <f aca="false">$L224&amp;"-"&amp;TEXT($N224,"00")&amp;"-"&amp;$O224&amp;"-"&amp;TEXT($P224,"00")</f>
        <v>C-05-3-03</v>
      </c>
      <c r="R224" s="34" t="str">
        <f aca="false">"ZONE "&amp;$L224&amp;" / BAY "&amp;TEXT($N224,"00")&amp;" / SHELF "&amp;$O224&amp;" / BIN "&amp;TEXT($P224,"00")</f>
        <v>ZONE C / BAY 05 / SHELF 3 / BIN 03</v>
      </c>
      <c r="S224" s="34" t="s">
        <v>1846</v>
      </c>
      <c r="T224" s="34" t="s">
        <v>1844</v>
      </c>
      <c r="U224" s="27" t="n">
        <v>223</v>
      </c>
      <c r="V224" s="30" t="n">
        <v>46206</v>
      </c>
      <c r="W224" s="34" t="str">
        <f aca="false">IF($H224&gt;0,"Yes - "&amp;$H224&amp;" in stock at Store 0146 (size "&amp;$G224&amp;"). Back room location "&amp;$Q224&amp;" ("&amp;$R224&amp;"), "&amp;$S224&amp;". Back room "&amp;$J224&amp;" / sales floor "&amp;$I224&amp;".","Not currently in stock at Store 0146 (size "&amp;$G224&amp;"). Home location is "&amp;$Q224&amp;" ("&amp;$R224&amp;") when replenished.")</f>
        <v>Not currently in stock at Store 0146 (size 7). Home location is C-05-3-03 (ZONE C / BAY 05 / SHELF 3 / BIN 03) when replenished.</v>
      </c>
    </row>
    <row r="225" customFormat="false" ht="15" hidden="false" customHeight="false" outlineLevel="0" collapsed="false">
      <c r="A225" s="34" t="s">
        <v>774</v>
      </c>
      <c r="B225" s="34" t="s">
        <v>775</v>
      </c>
      <c r="C225" s="34" t="s">
        <v>662</v>
      </c>
      <c r="D225" s="34" t="s">
        <v>157</v>
      </c>
      <c r="E225" s="34" t="s">
        <v>663</v>
      </c>
      <c r="F225" s="34" t="s">
        <v>665</v>
      </c>
      <c r="G225" s="24" t="s">
        <v>291</v>
      </c>
      <c r="H225" s="27" t="n">
        <f aca="false">IFERROR(INDEX('Inventory Master'!$T$2:$T$525,MATCH($A225,'Inventory Master'!$A$2:$A$525,0)),0)</f>
        <v>1</v>
      </c>
      <c r="I225" s="27" t="n">
        <v>1</v>
      </c>
      <c r="J225" s="27" t="n">
        <f aca="false">MAX(0,$H225-$I225)</f>
        <v>0</v>
      </c>
      <c r="K225" s="34" t="str">
        <f aca="false">IF($H225&gt;0,"In Stock","Out of Stock")</f>
        <v>In Stock</v>
      </c>
      <c r="L225" s="24" t="s">
        <v>1852</v>
      </c>
      <c r="M225" s="34" t="s">
        <v>1853</v>
      </c>
      <c r="N225" s="24" t="n">
        <v>5</v>
      </c>
      <c r="O225" s="24" t="n">
        <v>3</v>
      </c>
      <c r="P225" s="24" t="n">
        <v>4</v>
      </c>
      <c r="Q225" s="24" t="str">
        <f aca="false">$L225&amp;"-"&amp;TEXT($N225,"00")&amp;"-"&amp;$O225&amp;"-"&amp;TEXT($P225,"00")</f>
        <v>C-05-3-04</v>
      </c>
      <c r="R225" s="34" t="str">
        <f aca="false">"ZONE "&amp;$L225&amp;" / BAY "&amp;TEXT($N225,"00")&amp;" / SHELF "&amp;$O225&amp;" / BIN "&amp;TEXT($P225,"00")</f>
        <v>ZONE C / BAY 05 / SHELF 3 / BIN 04</v>
      </c>
      <c r="S225" s="34" t="s">
        <v>1846</v>
      </c>
      <c r="T225" s="34" t="s">
        <v>1844</v>
      </c>
      <c r="U225" s="27" t="n">
        <v>224</v>
      </c>
      <c r="V225" s="30" t="n">
        <v>46216</v>
      </c>
      <c r="W225" s="34" t="str">
        <f aca="false">IF($H225&gt;0,"Yes - "&amp;$H225&amp;" in stock at Store 0146 (size "&amp;$G225&amp;"). Back room location "&amp;$Q225&amp;" ("&amp;$R225&amp;"), "&amp;$S225&amp;". Back room "&amp;$J225&amp;" / sales floor "&amp;$I225&amp;".","Not currently in stock at Store 0146 (size "&amp;$G225&amp;"). Home location is "&amp;$Q225&amp;" ("&amp;$R225&amp;") when replenished.")</f>
        <v>Yes - 1 in stock at Store 0146 (size 7.5). Back room location C-05-3-04 (ZONE C / BAY 05 / SHELF 3 / BIN 04), Eye level. Back room 0 / sales floor 1.</v>
      </c>
    </row>
    <row r="226" customFormat="false" ht="15" hidden="false" customHeight="false" outlineLevel="0" collapsed="false">
      <c r="A226" s="34" t="s">
        <v>660</v>
      </c>
      <c r="B226" s="34" t="s">
        <v>661</v>
      </c>
      <c r="C226" s="34" t="s">
        <v>662</v>
      </c>
      <c r="D226" s="34" t="s">
        <v>157</v>
      </c>
      <c r="E226" s="34" t="s">
        <v>663</v>
      </c>
      <c r="F226" s="34" t="s">
        <v>665</v>
      </c>
      <c r="G226" s="24" t="s">
        <v>356</v>
      </c>
      <c r="H226" s="27" t="n">
        <f aca="false">IFERROR(INDEX('Inventory Master'!$T$2:$T$525,MATCH($A226,'Inventory Master'!$A$2:$A$525,0)),0)</f>
        <v>2</v>
      </c>
      <c r="I226" s="27" t="n">
        <v>0</v>
      </c>
      <c r="J226" s="27" t="n">
        <f aca="false">MAX(0,$H226-$I226)</f>
        <v>2</v>
      </c>
      <c r="K226" s="34" t="str">
        <f aca="false">IF($H226&gt;0,"In Stock","Out of Stock")</f>
        <v>In Stock</v>
      </c>
      <c r="L226" s="24" t="s">
        <v>1852</v>
      </c>
      <c r="M226" s="34" t="s">
        <v>1853</v>
      </c>
      <c r="N226" s="24" t="n">
        <v>5</v>
      </c>
      <c r="O226" s="24" t="n">
        <v>3</v>
      </c>
      <c r="P226" s="24" t="n">
        <v>5</v>
      </c>
      <c r="Q226" s="24" t="str">
        <f aca="false">$L226&amp;"-"&amp;TEXT($N226,"00")&amp;"-"&amp;$O226&amp;"-"&amp;TEXT($P226,"00")</f>
        <v>C-05-3-05</v>
      </c>
      <c r="R226" s="34" t="str">
        <f aca="false">"ZONE "&amp;$L226&amp;" / BAY "&amp;TEXT($N226,"00")&amp;" / SHELF "&amp;$O226&amp;" / BIN "&amp;TEXT($P226,"00")</f>
        <v>ZONE C / BAY 05 / SHELF 3 / BIN 05</v>
      </c>
      <c r="S226" s="34" t="s">
        <v>1846</v>
      </c>
      <c r="T226" s="34" t="s">
        <v>1844</v>
      </c>
      <c r="U226" s="27" t="n">
        <v>225</v>
      </c>
      <c r="V226" s="30" t="n">
        <v>46138</v>
      </c>
      <c r="W226" s="34" t="str">
        <f aca="false">IF($H226&gt;0,"Yes - "&amp;$H226&amp;" in stock at Store 0146 (size "&amp;$G226&amp;"). Back room location "&amp;$Q226&amp;" ("&amp;$R226&amp;"), "&amp;$S226&amp;". Back room "&amp;$J226&amp;" / sales floor "&amp;$I226&amp;".","Not currently in stock at Store 0146 (size "&amp;$G226&amp;"). Home location is "&amp;$Q226&amp;" ("&amp;$R226&amp;") when replenished.")</f>
        <v>Yes - 2 in stock at Store 0146 (size 8). Back room location C-05-3-05 (ZONE C / BAY 05 / SHELF 3 / BIN 05), Eye level. Back room 2 / sales floor 0.</v>
      </c>
    </row>
    <row r="227" customFormat="false" ht="15" hidden="false" customHeight="false" outlineLevel="0" collapsed="false">
      <c r="A227" s="34" t="s">
        <v>1372</v>
      </c>
      <c r="B227" s="34" t="s">
        <v>1373</v>
      </c>
      <c r="C227" s="34" t="s">
        <v>1320</v>
      </c>
      <c r="D227" s="34" t="s">
        <v>157</v>
      </c>
      <c r="E227" s="34" t="s">
        <v>495</v>
      </c>
      <c r="F227" s="34" t="s">
        <v>1322</v>
      </c>
      <c r="G227" s="24" t="s">
        <v>538</v>
      </c>
      <c r="H227" s="27" t="n">
        <f aca="false">IFERROR(INDEX('Inventory Master'!$T$2:$T$525,MATCH($A227,'Inventory Master'!$A$2:$A$525,0)),0)</f>
        <v>3</v>
      </c>
      <c r="I227" s="27" t="n">
        <v>1</v>
      </c>
      <c r="J227" s="27" t="n">
        <f aca="false">MAX(0,$H227-$I227)</f>
        <v>2</v>
      </c>
      <c r="K227" s="34" t="str">
        <f aca="false">IF($H227&gt;0,"In Stock","Out of Stock")</f>
        <v>In Stock</v>
      </c>
      <c r="L227" s="24" t="s">
        <v>1852</v>
      </c>
      <c r="M227" s="34" t="s">
        <v>1853</v>
      </c>
      <c r="N227" s="24" t="n">
        <v>5</v>
      </c>
      <c r="O227" s="24" t="n">
        <v>4</v>
      </c>
      <c r="P227" s="24" t="n">
        <v>1</v>
      </c>
      <c r="Q227" s="24" t="str">
        <f aca="false">$L227&amp;"-"&amp;TEXT($N227,"00")&amp;"-"&amp;$O227&amp;"-"&amp;TEXT($P227,"00")</f>
        <v>C-05-4-01</v>
      </c>
      <c r="R227" s="34" t="str">
        <f aca="false">"ZONE "&amp;$L227&amp;" / BAY "&amp;TEXT($N227,"00")&amp;" / SHELF "&amp;$O227&amp;" / BIN "&amp;TEXT($P227,"00")</f>
        <v>ZONE C / BAY 05 / SHELF 4 / BIN 01</v>
      </c>
      <c r="S227" s="34" t="s">
        <v>1847</v>
      </c>
      <c r="T227" s="34" t="s">
        <v>1844</v>
      </c>
      <c r="U227" s="27" t="n">
        <v>226</v>
      </c>
      <c r="V227" s="30" t="n">
        <v>46188</v>
      </c>
      <c r="W227" s="34" t="str">
        <f aca="false">IF($H227&gt;0,"Yes - "&amp;$H227&amp;" in stock at Store 0146 (size "&amp;$G227&amp;"). Back room location "&amp;$Q227&amp;" ("&amp;$R227&amp;"), "&amp;$S227&amp;". Back room "&amp;$J227&amp;" / sales floor "&amp;$I227&amp;".","Not currently in stock at Store 0146 (size "&amp;$G227&amp;"). Home location is "&amp;$Q227&amp;" ("&amp;$R227&amp;") when replenished.")</f>
        <v>Yes - 3 in stock at Store 0146 (size 6). Back room location C-05-4-01 (ZONE C / BAY 05 / SHELF 4 / BIN 01), Overhead - step stool. Back room 2 / sales floor 1.</v>
      </c>
    </row>
    <row r="228" customFormat="false" ht="15" hidden="false" customHeight="false" outlineLevel="0" collapsed="false">
      <c r="A228" s="34" t="s">
        <v>1655</v>
      </c>
      <c r="B228" s="34" t="s">
        <v>1656</v>
      </c>
      <c r="C228" s="34" t="s">
        <v>1320</v>
      </c>
      <c r="D228" s="34" t="s">
        <v>157</v>
      </c>
      <c r="E228" s="34" t="s">
        <v>495</v>
      </c>
      <c r="F228" s="34" t="s">
        <v>1322</v>
      </c>
      <c r="G228" s="24" t="s">
        <v>308</v>
      </c>
      <c r="H228" s="27" t="n">
        <f aca="false">IFERROR(INDEX('Inventory Master'!$T$2:$T$525,MATCH($A228,'Inventory Master'!$A$2:$A$525,0)),0)</f>
        <v>5</v>
      </c>
      <c r="I228" s="27" t="n">
        <v>1</v>
      </c>
      <c r="J228" s="27" t="n">
        <f aca="false">MAX(0,$H228-$I228)</f>
        <v>4</v>
      </c>
      <c r="K228" s="34" t="str">
        <f aca="false">IF($H228&gt;0,"In Stock","Out of Stock")</f>
        <v>In Stock</v>
      </c>
      <c r="L228" s="24" t="s">
        <v>1852</v>
      </c>
      <c r="M228" s="34" t="s">
        <v>1853</v>
      </c>
      <c r="N228" s="24" t="n">
        <v>5</v>
      </c>
      <c r="O228" s="24" t="n">
        <v>4</v>
      </c>
      <c r="P228" s="24" t="n">
        <v>2</v>
      </c>
      <c r="Q228" s="24" t="str">
        <f aca="false">$L228&amp;"-"&amp;TEXT($N228,"00")&amp;"-"&amp;$O228&amp;"-"&amp;TEXT($P228,"00")</f>
        <v>C-05-4-02</v>
      </c>
      <c r="R228" s="34" t="str">
        <f aca="false">"ZONE "&amp;$L228&amp;" / BAY "&amp;TEXT($N228,"00")&amp;" / SHELF "&amp;$O228&amp;" / BIN "&amp;TEXT($P228,"00")</f>
        <v>ZONE C / BAY 05 / SHELF 4 / BIN 02</v>
      </c>
      <c r="S228" s="34" t="s">
        <v>1847</v>
      </c>
      <c r="T228" s="34" t="s">
        <v>1844</v>
      </c>
      <c r="U228" s="27" t="n">
        <v>227</v>
      </c>
      <c r="V228" s="30" t="n">
        <v>46152</v>
      </c>
      <c r="W228" s="34" t="str">
        <f aca="false">IF($H228&gt;0,"Yes - "&amp;$H228&amp;" in stock at Store 0146 (size "&amp;$G228&amp;"). Back room location "&amp;$Q228&amp;" ("&amp;$R228&amp;"), "&amp;$S228&amp;". Back room "&amp;$J228&amp;" / sales floor "&amp;$I228&amp;".","Not currently in stock at Store 0146 (size "&amp;$G228&amp;"). Home location is "&amp;$Q228&amp;" ("&amp;$R228&amp;") when replenished.")</f>
        <v>Yes - 5 in stock at Store 0146 (size 6.5). Back room location C-05-4-02 (ZONE C / BAY 05 / SHELF 4 / BIN 02), Overhead - step stool. Back room 4 / sales floor 1.</v>
      </c>
    </row>
    <row r="229" customFormat="false" ht="15" hidden="false" customHeight="false" outlineLevel="0" collapsed="false">
      <c r="A229" s="34" t="s">
        <v>1404</v>
      </c>
      <c r="B229" s="34" t="s">
        <v>1405</v>
      </c>
      <c r="C229" s="34" t="s">
        <v>1320</v>
      </c>
      <c r="D229" s="34" t="s">
        <v>157</v>
      </c>
      <c r="E229" s="34" t="s">
        <v>495</v>
      </c>
      <c r="F229" s="34" t="s">
        <v>1322</v>
      </c>
      <c r="G229" s="24" t="s">
        <v>338</v>
      </c>
      <c r="H229" s="27" t="n">
        <f aca="false">IFERROR(INDEX('Inventory Master'!$T$2:$T$525,MATCH($A229,'Inventory Master'!$A$2:$A$525,0)),0)</f>
        <v>4</v>
      </c>
      <c r="I229" s="27" t="n">
        <v>1</v>
      </c>
      <c r="J229" s="27" t="n">
        <f aca="false">MAX(0,$H229-$I229)</f>
        <v>3</v>
      </c>
      <c r="K229" s="34" t="str">
        <f aca="false">IF($H229&gt;0,"In Stock","Out of Stock")</f>
        <v>In Stock</v>
      </c>
      <c r="L229" s="24" t="s">
        <v>1852</v>
      </c>
      <c r="M229" s="34" t="s">
        <v>1853</v>
      </c>
      <c r="N229" s="24" t="n">
        <v>5</v>
      </c>
      <c r="O229" s="24" t="n">
        <v>4</v>
      </c>
      <c r="P229" s="24" t="n">
        <v>3</v>
      </c>
      <c r="Q229" s="24" t="str">
        <f aca="false">$L229&amp;"-"&amp;TEXT($N229,"00")&amp;"-"&amp;$O229&amp;"-"&amp;TEXT($P229,"00")</f>
        <v>C-05-4-03</v>
      </c>
      <c r="R229" s="34" t="str">
        <f aca="false">"ZONE "&amp;$L229&amp;" / BAY "&amp;TEXT($N229,"00")&amp;" / SHELF "&amp;$O229&amp;" / BIN "&amp;TEXT($P229,"00")</f>
        <v>ZONE C / BAY 05 / SHELF 4 / BIN 03</v>
      </c>
      <c r="S229" s="34" t="s">
        <v>1847</v>
      </c>
      <c r="T229" s="34" t="s">
        <v>1844</v>
      </c>
      <c r="U229" s="27" t="n">
        <v>228</v>
      </c>
      <c r="V229" s="30" t="n">
        <v>46198</v>
      </c>
      <c r="W229" s="34" t="str">
        <f aca="false">IF($H229&gt;0,"Yes - "&amp;$H229&amp;" in stock at Store 0146 (size "&amp;$G229&amp;"). Back room location "&amp;$Q229&amp;" ("&amp;$R229&amp;"), "&amp;$S229&amp;". Back room "&amp;$J229&amp;" / sales floor "&amp;$I229&amp;".","Not currently in stock at Store 0146 (size "&amp;$G229&amp;"). Home location is "&amp;$Q229&amp;" ("&amp;$R229&amp;") when replenished.")</f>
        <v>Yes - 4 in stock at Store 0146 (size 7). Back room location C-05-4-03 (ZONE C / BAY 05 / SHELF 4 / BIN 03), Overhead - step stool. Back room 3 / sales floor 1.</v>
      </c>
    </row>
    <row r="230" customFormat="false" ht="15" hidden="false" customHeight="false" outlineLevel="0" collapsed="false">
      <c r="A230" s="34" t="s">
        <v>1318</v>
      </c>
      <c r="B230" s="34" t="s">
        <v>1319</v>
      </c>
      <c r="C230" s="34" t="s">
        <v>1320</v>
      </c>
      <c r="D230" s="34" t="s">
        <v>157</v>
      </c>
      <c r="E230" s="34" t="s">
        <v>495</v>
      </c>
      <c r="F230" s="34" t="s">
        <v>1322</v>
      </c>
      <c r="G230" s="24" t="s">
        <v>291</v>
      </c>
      <c r="H230" s="27" t="n">
        <f aca="false">IFERROR(INDEX('Inventory Master'!$T$2:$T$525,MATCH($A230,'Inventory Master'!$A$2:$A$525,0)),0)</f>
        <v>6</v>
      </c>
      <c r="I230" s="27" t="n">
        <v>1</v>
      </c>
      <c r="J230" s="27" t="n">
        <f aca="false">MAX(0,$H230-$I230)</f>
        <v>5</v>
      </c>
      <c r="K230" s="34" t="str">
        <f aca="false">IF($H230&gt;0,"In Stock","Out of Stock")</f>
        <v>In Stock</v>
      </c>
      <c r="L230" s="24" t="s">
        <v>1852</v>
      </c>
      <c r="M230" s="34" t="s">
        <v>1853</v>
      </c>
      <c r="N230" s="24" t="n">
        <v>5</v>
      </c>
      <c r="O230" s="24" t="n">
        <v>4</v>
      </c>
      <c r="P230" s="24" t="n">
        <v>4</v>
      </c>
      <c r="Q230" s="24" t="str">
        <f aca="false">$L230&amp;"-"&amp;TEXT($N230,"00")&amp;"-"&amp;$O230&amp;"-"&amp;TEXT($P230,"00")</f>
        <v>C-05-4-04</v>
      </c>
      <c r="R230" s="34" t="str">
        <f aca="false">"ZONE "&amp;$L230&amp;" / BAY "&amp;TEXT($N230,"00")&amp;" / SHELF "&amp;$O230&amp;" / BIN "&amp;TEXT($P230,"00")</f>
        <v>ZONE C / BAY 05 / SHELF 4 / BIN 04</v>
      </c>
      <c r="S230" s="34" t="s">
        <v>1847</v>
      </c>
      <c r="T230" s="34" t="s">
        <v>1844</v>
      </c>
      <c r="U230" s="27" t="n">
        <v>229</v>
      </c>
      <c r="V230" s="30" t="n">
        <v>46154</v>
      </c>
      <c r="W230" s="34" t="str">
        <f aca="false">IF($H230&gt;0,"Yes - "&amp;$H230&amp;" in stock at Store 0146 (size "&amp;$G230&amp;"). Back room location "&amp;$Q230&amp;" ("&amp;$R230&amp;"), "&amp;$S230&amp;". Back room "&amp;$J230&amp;" / sales floor "&amp;$I230&amp;".","Not currently in stock at Store 0146 (size "&amp;$G230&amp;"). Home location is "&amp;$Q230&amp;" ("&amp;$R230&amp;") when replenished.")</f>
        <v>Yes - 6 in stock at Store 0146 (size 7.5). Back room location C-05-4-04 (ZONE C / BAY 05 / SHELF 4 / BIN 04), Overhead - step stool. Back room 5 / sales floor 1.</v>
      </c>
    </row>
    <row r="231" customFormat="false" ht="15" hidden="false" customHeight="false" outlineLevel="0" collapsed="false">
      <c r="A231" s="34" t="s">
        <v>1613</v>
      </c>
      <c r="B231" s="34" t="s">
        <v>1614</v>
      </c>
      <c r="C231" s="34" t="s">
        <v>1320</v>
      </c>
      <c r="D231" s="34" t="s">
        <v>157</v>
      </c>
      <c r="E231" s="34" t="s">
        <v>495</v>
      </c>
      <c r="F231" s="34" t="s">
        <v>1322</v>
      </c>
      <c r="G231" s="24" t="s">
        <v>356</v>
      </c>
      <c r="H231" s="27" t="n">
        <f aca="false">IFERROR(INDEX('Inventory Master'!$T$2:$T$525,MATCH($A231,'Inventory Master'!$A$2:$A$525,0)),0)</f>
        <v>4</v>
      </c>
      <c r="I231" s="27" t="n">
        <v>1</v>
      </c>
      <c r="J231" s="27" t="n">
        <f aca="false">MAX(0,$H231-$I231)</f>
        <v>3</v>
      </c>
      <c r="K231" s="34" t="str">
        <f aca="false">IF($H231&gt;0,"In Stock","Out of Stock")</f>
        <v>In Stock</v>
      </c>
      <c r="L231" s="24" t="s">
        <v>1852</v>
      </c>
      <c r="M231" s="34" t="s">
        <v>1853</v>
      </c>
      <c r="N231" s="24" t="n">
        <v>5</v>
      </c>
      <c r="O231" s="24" t="n">
        <v>4</v>
      </c>
      <c r="P231" s="24" t="n">
        <v>5</v>
      </c>
      <c r="Q231" s="24" t="str">
        <f aca="false">$L231&amp;"-"&amp;TEXT($N231,"00")&amp;"-"&amp;$O231&amp;"-"&amp;TEXT($P231,"00")</f>
        <v>C-05-4-05</v>
      </c>
      <c r="R231" s="34" t="str">
        <f aca="false">"ZONE "&amp;$L231&amp;" / BAY "&amp;TEXT($N231,"00")&amp;" / SHELF "&amp;$O231&amp;" / BIN "&amp;TEXT($P231,"00")</f>
        <v>ZONE C / BAY 05 / SHELF 4 / BIN 05</v>
      </c>
      <c r="S231" s="34" t="s">
        <v>1847</v>
      </c>
      <c r="T231" s="34" t="s">
        <v>1844</v>
      </c>
      <c r="U231" s="27" t="n">
        <v>230</v>
      </c>
      <c r="V231" s="30" t="n">
        <v>46152</v>
      </c>
      <c r="W231" s="34" t="str">
        <f aca="false">IF($H231&gt;0,"Yes - "&amp;$H231&amp;" in stock at Store 0146 (size "&amp;$G231&amp;"). Back room location "&amp;$Q231&amp;" ("&amp;$R231&amp;"), "&amp;$S231&amp;". Back room "&amp;$J231&amp;" / sales floor "&amp;$I231&amp;".","Not currently in stock at Store 0146 (size "&amp;$G231&amp;"). Home location is "&amp;$Q231&amp;" ("&amp;$R231&amp;") when replenished.")</f>
        <v>Yes - 4 in stock at Store 0146 (size 8). Back room location C-05-4-05 (ZONE C / BAY 05 / SHELF 4 / BIN 05), Overhead - step stool. Back room 3 / sales floor 1.</v>
      </c>
    </row>
    <row r="232" customFormat="false" ht="15" hidden="false" customHeight="false" outlineLevel="0" collapsed="false">
      <c r="A232" s="34" t="s">
        <v>1464</v>
      </c>
      <c r="B232" s="34" t="s">
        <v>1465</v>
      </c>
      <c r="C232" s="34" t="s">
        <v>1021</v>
      </c>
      <c r="D232" s="34" t="s">
        <v>157</v>
      </c>
      <c r="E232" s="34" t="s">
        <v>1022</v>
      </c>
      <c r="F232" s="34" t="s">
        <v>1024</v>
      </c>
      <c r="G232" s="24" t="s">
        <v>338</v>
      </c>
      <c r="H232" s="27" t="n">
        <f aca="false">IFERROR(INDEX('Inventory Master'!$T$2:$T$525,MATCH($A232,'Inventory Master'!$A$2:$A$525,0)),0)</f>
        <v>4</v>
      </c>
      <c r="I232" s="27" t="n">
        <v>1</v>
      </c>
      <c r="J232" s="27" t="n">
        <f aca="false">MAX(0,$H232-$I232)</f>
        <v>3</v>
      </c>
      <c r="K232" s="34" t="str">
        <f aca="false">IF($H232&gt;0,"In Stock","Out of Stock")</f>
        <v>In Stock</v>
      </c>
      <c r="L232" s="24" t="s">
        <v>1852</v>
      </c>
      <c r="M232" s="34" t="s">
        <v>1853</v>
      </c>
      <c r="N232" s="24" t="n">
        <v>5</v>
      </c>
      <c r="O232" s="24" t="n">
        <v>5</v>
      </c>
      <c r="P232" s="24" t="n">
        <v>1</v>
      </c>
      <c r="Q232" s="24" t="str">
        <f aca="false">$L232&amp;"-"&amp;TEXT($N232,"00")&amp;"-"&amp;$O232&amp;"-"&amp;TEXT($P232,"00")</f>
        <v>C-05-5-01</v>
      </c>
      <c r="R232" s="34" t="str">
        <f aca="false">"ZONE "&amp;$L232&amp;" / BAY "&amp;TEXT($N232,"00")&amp;" / SHELF "&amp;$O232&amp;" / BIN "&amp;TEXT($P232,"00")</f>
        <v>ZONE C / BAY 05 / SHELF 5 / BIN 01</v>
      </c>
      <c r="S232" s="34" t="s">
        <v>1848</v>
      </c>
      <c r="T232" s="34" t="s">
        <v>1844</v>
      </c>
      <c r="U232" s="27" t="n">
        <v>231</v>
      </c>
      <c r="V232" s="30" t="n">
        <v>46142</v>
      </c>
      <c r="W232" s="34" t="str">
        <f aca="false">IF($H232&gt;0,"Yes - "&amp;$H232&amp;" in stock at Store 0146 (size "&amp;$G232&amp;"). Back room location "&amp;$Q232&amp;" ("&amp;$R232&amp;"), "&amp;$S232&amp;". Back room "&amp;$J232&amp;" / sales floor "&amp;$I232&amp;".","Not currently in stock at Store 0146 (size "&amp;$G232&amp;"). Home location is "&amp;$Q232&amp;" ("&amp;$R232&amp;") when replenished.")</f>
        <v>Yes - 4 in stock at Store 0146 (size 7). Back room location C-05-5-01 (ZONE C / BAY 05 / SHELF 5 / BIN 01), Top shelf - ladder required. Back room 3 / sales floor 1.</v>
      </c>
    </row>
    <row r="233" customFormat="false" ht="15" hidden="false" customHeight="false" outlineLevel="0" collapsed="false">
      <c r="A233" s="34" t="s">
        <v>1578</v>
      </c>
      <c r="B233" s="34" t="s">
        <v>1579</v>
      </c>
      <c r="C233" s="34" t="s">
        <v>1021</v>
      </c>
      <c r="D233" s="34" t="s">
        <v>157</v>
      </c>
      <c r="E233" s="34" t="s">
        <v>1022</v>
      </c>
      <c r="F233" s="34" t="s">
        <v>1024</v>
      </c>
      <c r="G233" s="24" t="s">
        <v>291</v>
      </c>
      <c r="H233" s="27" t="n">
        <f aca="false">IFERROR(INDEX('Inventory Master'!$T$2:$T$525,MATCH($A233,'Inventory Master'!$A$2:$A$525,0)),0)</f>
        <v>3</v>
      </c>
      <c r="I233" s="27" t="n">
        <v>1</v>
      </c>
      <c r="J233" s="27" t="n">
        <f aca="false">MAX(0,$H233-$I233)</f>
        <v>2</v>
      </c>
      <c r="K233" s="34" t="str">
        <f aca="false">IF($H233&gt;0,"In Stock","Out of Stock")</f>
        <v>In Stock</v>
      </c>
      <c r="L233" s="24" t="s">
        <v>1852</v>
      </c>
      <c r="M233" s="34" t="s">
        <v>1853</v>
      </c>
      <c r="N233" s="24" t="n">
        <v>5</v>
      </c>
      <c r="O233" s="24" t="n">
        <v>5</v>
      </c>
      <c r="P233" s="24" t="n">
        <v>2</v>
      </c>
      <c r="Q233" s="24" t="str">
        <f aca="false">$L233&amp;"-"&amp;TEXT($N233,"00")&amp;"-"&amp;$O233&amp;"-"&amp;TEXT($P233,"00")</f>
        <v>C-05-5-02</v>
      </c>
      <c r="R233" s="34" t="str">
        <f aca="false">"ZONE "&amp;$L233&amp;" / BAY "&amp;TEXT($N233,"00")&amp;" / SHELF "&amp;$O233&amp;" / BIN "&amp;TEXT($P233,"00")</f>
        <v>ZONE C / BAY 05 / SHELF 5 / BIN 02</v>
      </c>
      <c r="S233" s="34" t="s">
        <v>1848</v>
      </c>
      <c r="T233" s="34" t="s">
        <v>1844</v>
      </c>
      <c r="U233" s="27" t="n">
        <v>232</v>
      </c>
      <c r="V233" s="30" t="n">
        <v>46221</v>
      </c>
      <c r="W233" s="34" t="str">
        <f aca="false">IF($H233&gt;0,"Yes - "&amp;$H233&amp;" in stock at Store 0146 (size "&amp;$G233&amp;"). Back room location "&amp;$Q233&amp;" ("&amp;$R233&amp;"), "&amp;$S233&amp;". Back room "&amp;$J233&amp;" / sales floor "&amp;$I233&amp;".","Not currently in stock at Store 0146 (size "&amp;$G233&amp;"). Home location is "&amp;$Q233&amp;" ("&amp;$R233&amp;") when replenished.")</f>
        <v>Yes - 3 in stock at Store 0146 (size 7.5). Back room location C-05-5-02 (ZONE C / BAY 05 / SHELF 5 / BIN 02), Top shelf - ladder required. Back room 2 / sales floor 1.</v>
      </c>
    </row>
    <row r="234" customFormat="false" ht="15" hidden="false" customHeight="false" outlineLevel="0" collapsed="false">
      <c r="A234" s="34" t="s">
        <v>1148</v>
      </c>
      <c r="B234" s="34" t="s">
        <v>1149</v>
      </c>
      <c r="C234" s="34" t="s">
        <v>1021</v>
      </c>
      <c r="D234" s="34" t="s">
        <v>157</v>
      </c>
      <c r="E234" s="34" t="s">
        <v>1022</v>
      </c>
      <c r="F234" s="34" t="s">
        <v>1024</v>
      </c>
      <c r="G234" s="24" t="s">
        <v>356</v>
      </c>
      <c r="H234" s="27" t="n">
        <f aca="false">IFERROR(INDEX('Inventory Master'!$T$2:$T$525,MATCH($A234,'Inventory Master'!$A$2:$A$525,0)),0)</f>
        <v>1</v>
      </c>
      <c r="I234" s="27" t="n">
        <v>1</v>
      </c>
      <c r="J234" s="27" t="n">
        <f aca="false">MAX(0,$H234-$I234)</f>
        <v>0</v>
      </c>
      <c r="K234" s="34" t="str">
        <f aca="false">IF($H234&gt;0,"In Stock","Out of Stock")</f>
        <v>In Stock</v>
      </c>
      <c r="L234" s="24" t="s">
        <v>1852</v>
      </c>
      <c r="M234" s="34" t="s">
        <v>1853</v>
      </c>
      <c r="N234" s="24" t="n">
        <v>5</v>
      </c>
      <c r="O234" s="24" t="n">
        <v>5</v>
      </c>
      <c r="P234" s="24" t="n">
        <v>3</v>
      </c>
      <c r="Q234" s="24" t="str">
        <f aca="false">$L234&amp;"-"&amp;TEXT($N234,"00")&amp;"-"&amp;$O234&amp;"-"&amp;TEXT($P234,"00")</f>
        <v>C-05-5-03</v>
      </c>
      <c r="R234" s="34" t="str">
        <f aca="false">"ZONE "&amp;$L234&amp;" / BAY "&amp;TEXT($N234,"00")&amp;" / SHELF "&amp;$O234&amp;" / BIN "&amp;TEXT($P234,"00")</f>
        <v>ZONE C / BAY 05 / SHELF 5 / BIN 03</v>
      </c>
      <c r="S234" s="34" t="s">
        <v>1848</v>
      </c>
      <c r="T234" s="34" t="s">
        <v>1844</v>
      </c>
      <c r="U234" s="27" t="n">
        <v>233</v>
      </c>
      <c r="V234" s="30" t="n">
        <v>46186</v>
      </c>
      <c r="W234" s="34" t="str">
        <f aca="false">IF($H234&gt;0,"Yes - "&amp;$H234&amp;" in stock at Store 0146 (size "&amp;$G234&amp;"). Back room location "&amp;$Q234&amp;" ("&amp;$R234&amp;"), "&amp;$S234&amp;". Back room "&amp;$J234&amp;" / sales floor "&amp;$I234&amp;".","Not currently in stock at Store 0146 (size "&amp;$G234&amp;"). Home location is "&amp;$Q234&amp;" ("&amp;$R234&amp;") when replenished.")</f>
        <v>Yes - 1 in stock at Store 0146 (size 8). Back room location C-05-5-03 (ZONE C / BAY 05 / SHELF 5 / BIN 03), Top shelf - ladder required. Back room 0 / sales floor 1.</v>
      </c>
    </row>
    <row r="235" customFormat="false" ht="15" hidden="false" customHeight="false" outlineLevel="0" collapsed="false">
      <c r="A235" s="34" t="s">
        <v>1135</v>
      </c>
      <c r="B235" s="34" t="s">
        <v>1136</v>
      </c>
      <c r="C235" s="34" t="s">
        <v>1021</v>
      </c>
      <c r="D235" s="34" t="s">
        <v>157</v>
      </c>
      <c r="E235" s="34" t="s">
        <v>1022</v>
      </c>
      <c r="F235" s="34" t="s">
        <v>1024</v>
      </c>
      <c r="G235" s="24" t="s">
        <v>188</v>
      </c>
      <c r="H235" s="27" t="n">
        <f aca="false">IFERROR(INDEX('Inventory Master'!$T$2:$T$525,MATCH($A235,'Inventory Master'!$A$2:$A$525,0)),0)</f>
        <v>2</v>
      </c>
      <c r="I235" s="27" t="n">
        <v>1</v>
      </c>
      <c r="J235" s="27" t="n">
        <f aca="false">MAX(0,$H235-$I235)</f>
        <v>1</v>
      </c>
      <c r="K235" s="34" t="str">
        <f aca="false">IF($H235&gt;0,"In Stock","Out of Stock")</f>
        <v>In Stock</v>
      </c>
      <c r="L235" s="24" t="s">
        <v>1852</v>
      </c>
      <c r="M235" s="34" t="s">
        <v>1853</v>
      </c>
      <c r="N235" s="24" t="n">
        <v>5</v>
      </c>
      <c r="O235" s="24" t="n">
        <v>5</v>
      </c>
      <c r="P235" s="24" t="n">
        <v>4</v>
      </c>
      <c r="Q235" s="24" t="str">
        <f aca="false">$L235&amp;"-"&amp;TEXT($N235,"00")&amp;"-"&amp;$O235&amp;"-"&amp;TEXT($P235,"00")</f>
        <v>C-05-5-04</v>
      </c>
      <c r="R235" s="34" t="str">
        <f aca="false">"ZONE "&amp;$L235&amp;" / BAY "&amp;TEXT($N235,"00")&amp;" / SHELF "&amp;$O235&amp;" / BIN "&amp;TEXT($P235,"00")</f>
        <v>ZONE C / BAY 05 / SHELF 5 / BIN 04</v>
      </c>
      <c r="S235" s="34" t="s">
        <v>1848</v>
      </c>
      <c r="T235" s="34" t="s">
        <v>1844</v>
      </c>
      <c r="U235" s="27" t="n">
        <v>234</v>
      </c>
      <c r="V235" s="30" t="n">
        <v>46175</v>
      </c>
      <c r="W235" s="34" t="str">
        <f aca="false">IF($H235&gt;0,"Yes - "&amp;$H235&amp;" in stock at Store 0146 (size "&amp;$G235&amp;"). Back room location "&amp;$Q235&amp;" ("&amp;$R235&amp;"), "&amp;$S235&amp;". Back room "&amp;$J235&amp;" / sales floor "&amp;$I235&amp;".","Not currently in stock at Store 0146 (size "&amp;$G235&amp;"). Home location is "&amp;$Q235&amp;" ("&amp;$R235&amp;") when replenished.")</f>
        <v>Yes - 2 in stock at Store 0146 (size 8.5). Back room location C-05-5-04 (ZONE C / BAY 05 / SHELF 5 / BIN 04), Top shelf - ladder required. Back room 1 / sales floor 1.</v>
      </c>
    </row>
    <row r="236" customFormat="false" ht="15" hidden="false" customHeight="false" outlineLevel="0" collapsed="false">
      <c r="A236" s="34" t="s">
        <v>1019</v>
      </c>
      <c r="B236" s="34" t="s">
        <v>1020</v>
      </c>
      <c r="C236" s="34" t="s">
        <v>1021</v>
      </c>
      <c r="D236" s="34" t="s">
        <v>157</v>
      </c>
      <c r="E236" s="34" t="s">
        <v>1022</v>
      </c>
      <c r="F236" s="34" t="s">
        <v>1024</v>
      </c>
      <c r="G236" s="24" t="s">
        <v>164</v>
      </c>
      <c r="H236" s="27" t="n">
        <f aca="false">IFERROR(INDEX('Inventory Master'!$T$2:$T$525,MATCH($A236,'Inventory Master'!$A$2:$A$525,0)),0)</f>
        <v>2</v>
      </c>
      <c r="I236" s="27" t="n">
        <v>1</v>
      </c>
      <c r="J236" s="27" t="n">
        <f aca="false">MAX(0,$H236-$I236)</f>
        <v>1</v>
      </c>
      <c r="K236" s="34" t="str">
        <f aca="false">IF($H236&gt;0,"In Stock","Out of Stock")</f>
        <v>In Stock</v>
      </c>
      <c r="L236" s="24" t="s">
        <v>1852</v>
      </c>
      <c r="M236" s="34" t="s">
        <v>1853</v>
      </c>
      <c r="N236" s="24" t="n">
        <v>5</v>
      </c>
      <c r="O236" s="24" t="n">
        <v>5</v>
      </c>
      <c r="P236" s="24" t="n">
        <v>5</v>
      </c>
      <c r="Q236" s="24" t="str">
        <f aca="false">$L236&amp;"-"&amp;TEXT($N236,"00")&amp;"-"&amp;$O236&amp;"-"&amp;TEXT($P236,"00")</f>
        <v>C-05-5-05</v>
      </c>
      <c r="R236" s="34" t="str">
        <f aca="false">"ZONE "&amp;$L236&amp;" / BAY "&amp;TEXT($N236,"00")&amp;" / SHELF "&amp;$O236&amp;" / BIN "&amp;TEXT($P236,"00")</f>
        <v>ZONE C / BAY 05 / SHELF 5 / BIN 05</v>
      </c>
      <c r="S236" s="34" t="s">
        <v>1848</v>
      </c>
      <c r="T236" s="34" t="s">
        <v>1844</v>
      </c>
      <c r="U236" s="27" t="n">
        <v>235</v>
      </c>
      <c r="V236" s="30" t="n">
        <v>46147</v>
      </c>
      <c r="W236" s="34" t="str">
        <f aca="false">IF($H236&gt;0,"Yes - "&amp;$H236&amp;" in stock at Store 0146 (size "&amp;$G236&amp;"). Back room location "&amp;$Q236&amp;" ("&amp;$R236&amp;"), "&amp;$S236&amp;". Back room "&amp;$J236&amp;" / sales floor "&amp;$I236&amp;".","Not currently in stock at Store 0146 (size "&amp;$G236&amp;"). Home location is "&amp;$Q236&amp;" ("&amp;$R236&amp;") when replenished.")</f>
        <v>Yes - 2 in stock at Store 0146 (size 9). Back room location C-05-5-05 (ZONE C / BAY 05 / SHELF 5 / BIN 05), Top shelf - ladder required. Back room 1 / sales floor 1.</v>
      </c>
    </row>
    <row r="237" customFormat="false" ht="15" hidden="false" customHeight="false" outlineLevel="0" collapsed="false">
      <c r="A237" s="34" t="s">
        <v>1394</v>
      </c>
      <c r="B237" s="34" t="s">
        <v>1395</v>
      </c>
      <c r="C237" s="34" t="s">
        <v>1021</v>
      </c>
      <c r="D237" s="34" t="s">
        <v>157</v>
      </c>
      <c r="E237" s="34" t="s">
        <v>1022</v>
      </c>
      <c r="F237" s="34" t="s">
        <v>1024</v>
      </c>
      <c r="G237" s="24" t="s">
        <v>177</v>
      </c>
      <c r="H237" s="27" t="n">
        <f aca="false">IFERROR(INDEX('Inventory Master'!$T$2:$T$525,MATCH($A237,'Inventory Master'!$A$2:$A$525,0)),0)</f>
        <v>0</v>
      </c>
      <c r="I237" s="27" t="n">
        <v>0</v>
      </c>
      <c r="J237" s="27" t="n">
        <f aca="false">MAX(0,$H237-$I237)</f>
        <v>0</v>
      </c>
      <c r="K237" s="34" t="str">
        <f aca="false">IF($H237&gt;0,"In Stock","Out of Stock")</f>
        <v>Out of Stock</v>
      </c>
      <c r="L237" s="24" t="s">
        <v>1852</v>
      </c>
      <c r="M237" s="34" t="s">
        <v>1853</v>
      </c>
      <c r="N237" s="24" t="n">
        <v>5</v>
      </c>
      <c r="O237" s="24" t="n">
        <v>5</v>
      </c>
      <c r="P237" s="24" t="n">
        <v>6</v>
      </c>
      <c r="Q237" s="24" t="str">
        <f aca="false">$L237&amp;"-"&amp;TEXT($N237,"00")&amp;"-"&amp;$O237&amp;"-"&amp;TEXT($P237,"00")</f>
        <v>C-05-5-06</v>
      </c>
      <c r="R237" s="34" t="str">
        <f aca="false">"ZONE "&amp;$L237&amp;" / BAY "&amp;TEXT($N237,"00")&amp;" / SHELF "&amp;$O237&amp;" / BIN "&amp;TEXT($P237,"00")</f>
        <v>ZONE C / BAY 05 / SHELF 5 / BIN 06</v>
      </c>
      <c r="S237" s="34" t="s">
        <v>1848</v>
      </c>
      <c r="T237" s="34" t="s">
        <v>1844</v>
      </c>
      <c r="U237" s="27" t="n">
        <v>236</v>
      </c>
      <c r="V237" s="30" t="n">
        <v>46166</v>
      </c>
      <c r="W237" s="34" t="str">
        <f aca="false">IF($H237&gt;0,"Yes - "&amp;$H237&amp;" in stock at Store 0146 (size "&amp;$G237&amp;"). Back room location "&amp;$Q237&amp;" ("&amp;$R237&amp;"), "&amp;$S237&amp;". Back room "&amp;$J237&amp;" / sales floor "&amp;$I237&amp;".","Not currently in stock at Store 0146 (size "&amp;$G237&amp;"). Home location is "&amp;$Q237&amp;" ("&amp;$R237&amp;") when replenished.")</f>
        <v>Not currently in stock at Store 0146 (size 9.5). Home location is C-05-5-06 (ZONE C / BAY 05 / SHELF 5 / BIN 06) when replenished.</v>
      </c>
    </row>
    <row r="238" customFormat="false" ht="15" hidden="false" customHeight="false" outlineLevel="0" collapsed="false">
      <c r="A238" s="34" t="s">
        <v>1707</v>
      </c>
      <c r="B238" s="34" t="s">
        <v>1708</v>
      </c>
      <c r="C238" s="34" t="s">
        <v>445</v>
      </c>
      <c r="D238" s="34" t="s">
        <v>285</v>
      </c>
      <c r="E238" s="34" t="s">
        <v>446</v>
      </c>
      <c r="F238" s="34" t="s">
        <v>448</v>
      </c>
      <c r="G238" s="24" t="s">
        <v>152</v>
      </c>
      <c r="H238" s="27" t="n">
        <f aca="false">IFERROR(INDEX('Inventory Master'!$T$2:$T$525,MATCH($A238,'Inventory Master'!$A$2:$A$525,0)),0)</f>
        <v>0</v>
      </c>
      <c r="I238" s="27" t="n">
        <v>0</v>
      </c>
      <c r="J238" s="27" t="n">
        <f aca="false">MAX(0,$H238-$I238)</f>
        <v>0</v>
      </c>
      <c r="K238" s="34" t="str">
        <f aca="false">IF($H238&gt;0,"In Stock","Out of Stock")</f>
        <v>Out of Stock</v>
      </c>
      <c r="L238" s="24" t="s">
        <v>1857</v>
      </c>
      <c r="M238" s="34" t="s">
        <v>1858</v>
      </c>
      <c r="N238" s="24" t="n">
        <v>1</v>
      </c>
      <c r="O238" s="24" t="n">
        <v>1</v>
      </c>
      <c r="P238" s="24" t="n">
        <v>1</v>
      </c>
      <c r="Q238" s="24" t="str">
        <f aca="false">$L238&amp;"-"&amp;TEXT($N238,"00")&amp;"-"&amp;$O238&amp;"-"&amp;TEXT($P238,"00")</f>
        <v>D-01-1-01</v>
      </c>
      <c r="R238" s="34" t="str">
        <f aca="false">"ZONE "&amp;$L238&amp;" / BAY "&amp;TEXT($N238,"00")&amp;" / SHELF "&amp;$O238&amp;" / BIN "&amp;TEXT($P238,"00")</f>
        <v>ZONE D / BAY 01 / SHELF 1 / BIN 01</v>
      </c>
      <c r="S238" s="34" t="s">
        <v>1843</v>
      </c>
      <c r="T238" s="34" t="s">
        <v>1844</v>
      </c>
      <c r="U238" s="27" t="n">
        <v>237</v>
      </c>
      <c r="V238" s="30" t="n">
        <v>46205</v>
      </c>
      <c r="W238" s="34" t="str">
        <f aca="false">IF($H238&gt;0,"Yes - "&amp;$H238&amp;" in stock at Store 0146 (size "&amp;$G238&amp;"). Back room location "&amp;$Q238&amp;" ("&amp;$R238&amp;"), "&amp;$S238&amp;". Back room "&amp;$J238&amp;" / sales floor "&amp;$I238&amp;".","Not currently in stock at Store 0146 (size "&amp;$G238&amp;"). Home location is "&amp;$Q238&amp;" ("&amp;$R238&amp;") when replenished.")</f>
        <v>Not currently in stock at Store 0146 (size 5Y). Home location is D-01-1-01 (ZONE D / BAY 01 / SHELF 1 / BIN 01) when replenished.</v>
      </c>
    </row>
    <row r="239" customFormat="false" ht="15" hidden="false" customHeight="false" outlineLevel="0" collapsed="false">
      <c r="A239" s="34" t="s">
        <v>656</v>
      </c>
      <c r="B239" s="34" t="s">
        <v>657</v>
      </c>
      <c r="C239" s="34" t="s">
        <v>445</v>
      </c>
      <c r="D239" s="34" t="s">
        <v>285</v>
      </c>
      <c r="E239" s="34" t="s">
        <v>446</v>
      </c>
      <c r="F239" s="34" t="s">
        <v>448</v>
      </c>
      <c r="G239" s="24" t="s">
        <v>363</v>
      </c>
      <c r="H239" s="27" t="n">
        <f aca="false">IFERROR(INDEX('Inventory Master'!$T$2:$T$525,MATCH($A239,'Inventory Master'!$A$2:$A$525,0)),0)</f>
        <v>6</v>
      </c>
      <c r="I239" s="27" t="n">
        <v>1</v>
      </c>
      <c r="J239" s="27" t="n">
        <f aca="false">MAX(0,$H239-$I239)</f>
        <v>5</v>
      </c>
      <c r="K239" s="34" t="str">
        <f aca="false">IF($H239&gt;0,"In Stock","Out of Stock")</f>
        <v>In Stock</v>
      </c>
      <c r="L239" s="24" t="s">
        <v>1857</v>
      </c>
      <c r="M239" s="34" t="s">
        <v>1858</v>
      </c>
      <c r="N239" s="24" t="n">
        <v>1</v>
      </c>
      <c r="O239" s="24" t="n">
        <v>1</v>
      </c>
      <c r="P239" s="24" t="n">
        <v>2</v>
      </c>
      <c r="Q239" s="24" t="str">
        <f aca="false">$L239&amp;"-"&amp;TEXT($N239,"00")&amp;"-"&amp;$O239&amp;"-"&amp;TEXT($P239,"00")</f>
        <v>D-01-1-02</v>
      </c>
      <c r="R239" s="34" t="str">
        <f aca="false">"ZONE "&amp;$L239&amp;" / BAY "&amp;TEXT($N239,"00")&amp;" / SHELF "&amp;$O239&amp;" / BIN "&amp;TEXT($P239,"00")</f>
        <v>ZONE D / BAY 01 / SHELF 1 / BIN 02</v>
      </c>
      <c r="S239" s="34" t="s">
        <v>1843</v>
      </c>
      <c r="T239" s="34" t="s">
        <v>1844</v>
      </c>
      <c r="U239" s="27" t="n">
        <v>238</v>
      </c>
      <c r="V239" s="30" t="n">
        <v>46219</v>
      </c>
      <c r="W239" s="34" t="str">
        <f aca="false">IF($H239&gt;0,"Yes - "&amp;$H239&amp;" in stock at Store 0146 (size "&amp;$G239&amp;"). Back room location "&amp;$Q239&amp;" ("&amp;$R239&amp;"), "&amp;$S239&amp;". Back room "&amp;$J239&amp;" / sales floor "&amp;$I239&amp;".","Not currently in stock at Store 0146 (size "&amp;$G239&amp;"). Home location is "&amp;$Q239&amp;" ("&amp;$R239&amp;") when replenished.")</f>
        <v>Yes - 6 in stock at Store 0146 (size 5.5Y). Back room location D-01-1-02 (ZONE D / BAY 01 / SHELF 1 / BIN 02), Floor level - no reach. Back room 5 / sales floor 1.</v>
      </c>
    </row>
    <row r="240" customFormat="false" ht="15" hidden="false" customHeight="false" outlineLevel="0" collapsed="false">
      <c r="A240" s="34" t="s">
        <v>1031</v>
      </c>
      <c r="B240" s="34" t="s">
        <v>1032</v>
      </c>
      <c r="C240" s="34" t="s">
        <v>445</v>
      </c>
      <c r="D240" s="34" t="s">
        <v>285</v>
      </c>
      <c r="E240" s="34" t="s">
        <v>446</v>
      </c>
      <c r="F240" s="34" t="s">
        <v>448</v>
      </c>
      <c r="G240" s="24" t="s">
        <v>749</v>
      </c>
      <c r="H240" s="27" t="n">
        <f aca="false">IFERROR(INDEX('Inventory Master'!$T$2:$T$525,MATCH($A240,'Inventory Master'!$A$2:$A$525,0)),0)</f>
        <v>4</v>
      </c>
      <c r="I240" s="27" t="n">
        <v>1</v>
      </c>
      <c r="J240" s="27" t="n">
        <f aca="false">MAX(0,$H240-$I240)</f>
        <v>3</v>
      </c>
      <c r="K240" s="34" t="str">
        <f aca="false">IF($H240&gt;0,"In Stock","Out of Stock")</f>
        <v>In Stock</v>
      </c>
      <c r="L240" s="24" t="s">
        <v>1857</v>
      </c>
      <c r="M240" s="34" t="s">
        <v>1858</v>
      </c>
      <c r="N240" s="24" t="n">
        <v>1</v>
      </c>
      <c r="O240" s="24" t="n">
        <v>1</v>
      </c>
      <c r="P240" s="24" t="n">
        <v>3</v>
      </c>
      <c r="Q240" s="24" t="str">
        <f aca="false">$L240&amp;"-"&amp;TEXT($N240,"00")&amp;"-"&amp;$O240&amp;"-"&amp;TEXT($P240,"00")</f>
        <v>D-01-1-03</v>
      </c>
      <c r="R240" s="34" t="str">
        <f aca="false">"ZONE "&amp;$L240&amp;" / BAY "&amp;TEXT($N240,"00")&amp;" / SHELF "&amp;$O240&amp;" / BIN "&amp;TEXT($P240,"00")</f>
        <v>ZONE D / BAY 01 / SHELF 1 / BIN 03</v>
      </c>
      <c r="S240" s="34" t="s">
        <v>1843</v>
      </c>
      <c r="T240" s="34" t="s">
        <v>1844</v>
      </c>
      <c r="U240" s="27" t="n">
        <v>239</v>
      </c>
      <c r="V240" s="30" t="n">
        <v>46229</v>
      </c>
      <c r="W240" s="34" t="str">
        <f aca="false">IF($H240&gt;0,"Yes - "&amp;$H240&amp;" in stock at Store 0146 (size "&amp;$G240&amp;"). Back room location "&amp;$Q240&amp;" ("&amp;$R240&amp;"), "&amp;$S240&amp;". Back room "&amp;$J240&amp;" / sales floor "&amp;$I240&amp;".","Not currently in stock at Store 0146 (size "&amp;$G240&amp;"). Home location is "&amp;$Q240&amp;" ("&amp;$R240&amp;") when replenished.")</f>
        <v>Yes - 4 in stock at Store 0146 (size 6Y). Back room location D-01-1-03 (ZONE D / BAY 01 / SHELF 1 / BIN 03), Floor level - no reach. Back room 3 / sales floor 1.</v>
      </c>
    </row>
    <row r="241" customFormat="false" ht="15" hidden="false" customHeight="false" outlineLevel="0" collapsed="false">
      <c r="A241" s="34" t="s">
        <v>1681</v>
      </c>
      <c r="B241" s="34" t="s">
        <v>1682</v>
      </c>
      <c r="C241" s="34" t="s">
        <v>445</v>
      </c>
      <c r="D241" s="34" t="s">
        <v>285</v>
      </c>
      <c r="E241" s="34" t="s">
        <v>446</v>
      </c>
      <c r="F241" s="34" t="s">
        <v>448</v>
      </c>
      <c r="G241" s="24" t="s">
        <v>1317</v>
      </c>
      <c r="H241" s="27" t="n">
        <f aca="false">IFERROR(INDEX('Inventory Master'!$T$2:$T$525,MATCH($A241,'Inventory Master'!$A$2:$A$525,0)),0)</f>
        <v>0</v>
      </c>
      <c r="I241" s="27" t="n">
        <v>0</v>
      </c>
      <c r="J241" s="27" t="n">
        <f aca="false">MAX(0,$H241-$I241)</f>
        <v>0</v>
      </c>
      <c r="K241" s="34" t="str">
        <f aca="false">IF($H241&gt;0,"In Stock","Out of Stock")</f>
        <v>Out of Stock</v>
      </c>
      <c r="L241" s="24" t="s">
        <v>1857</v>
      </c>
      <c r="M241" s="34" t="s">
        <v>1858</v>
      </c>
      <c r="N241" s="24" t="n">
        <v>1</v>
      </c>
      <c r="O241" s="24" t="n">
        <v>1</v>
      </c>
      <c r="P241" s="24" t="n">
        <v>4</v>
      </c>
      <c r="Q241" s="24" t="str">
        <f aca="false">$L241&amp;"-"&amp;TEXT($N241,"00")&amp;"-"&amp;$O241&amp;"-"&amp;TEXT($P241,"00")</f>
        <v>D-01-1-04</v>
      </c>
      <c r="R241" s="34" t="str">
        <f aca="false">"ZONE "&amp;$L241&amp;" / BAY "&amp;TEXT($N241,"00")&amp;" / SHELF "&amp;$O241&amp;" / BIN "&amp;TEXT($P241,"00")</f>
        <v>ZONE D / BAY 01 / SHELF 1 / BIN 04</v>
      </c>
      <c r="S241" s="34" t="s">
        <v>1843</v>
      </c>
      <c r="T241" s="34" t="s">
        <v>1844</v>
      </c>
      <c r="U241" s="27" t="n">
        <v>240</v>
      </c>
      <c r="V241" s="30" t="n">
        <v>46156</v>
      </c>
      <c r="W241" s="34" t="str">
        <f aca="false">IF($H241&gt;0,"Yes - "&amp;$H241&amp;" in stock at Store 0146 (size "&amp;$G241&amp;"). Back room location "&amp;$Q241&amp;" ("&amp;$R241&amp;"), "&amp;$S241&amp;". Back room "&amp;$J241&amp;" / sales floor "&amp;$I241&amp;".","Not currently in stock at Store 0146 (size "&amp;$G241&amp;"). Home location is "&amp;$Q241&amp;" ("&amp;$R241&amp;") when replenished.")</f>
        <v>Not currently in stock at Store 0146 (size 6.5Y). Home location is D-01-1-04 (ZONE D / BAY 01 / SHELF 1 / BIN 04) when replenished.</v>
      </c>
    </row>
    <row r="242" customFormat="false" ht="15" hidden="false" customHeight="false" outlineLevel="0" collapsed="false">
      <c r="A242" s="34" t="s">
        <v>443</v>
      </c>
      <c r="B242" s="34" t="s">
        <v>444</v>
      </c>
      <c r="C242" s="34" t="s">
        <v>445</v>
      </c>
      <c r="D242" s="34" t="s">
        <v>285</v>
      </c>
      <c r="E242" s="34" t="s">
        <v>446</v>
      </c>
      <c r="F242" s="34" t="s">
        <v>448</v>
      </c>
      <c r="G242" s="24" t="s">
        <v>450</v>
      </c>
      <c r="H242" s="27" t="n">
        <f aca="false">IFERROR(INDEX('Inventory Master'!$T$2:$T$525,MATCH($A242,'Inventory Master'!$A$2:$A$525,0)),0)</f>
        <v>4</v>
      </c>
      <c r="I242" s="27" t="n">
        <v>1</v>
      </c>
      <c r="J242" s="27" t="n">
        <f aca="false">MAX(0,$H242-$I242)</f>
        <v>3</v>
      </c>
      <c r="K242" s="34" t="str">
        <f aca="false">IF($H242&gt;0,"In Stock","Out of Stock")</f>
        <v>In Stock</v>
      </c>
      <c r="L242" s="24" t="s">
        <v>1857</v>
      </c>
      <c r="M242" s="34" t="s">
        <v>1858</v>
      </c>
      <c r="N242" s="24" t="n">
        <v>1</v>
      </c>
      <c r="O242" s="24" t="n">
        <v>1</v>
      </c>
      <c r="P242" s="24" t="n">
        <v>5</v>
      </c>
      <c r="Q242" s="24" t="str">
        <f aca="false">$L242&amp;"-"&amp;TEXT($N242,"00")&amp;"-"&amp;$O242&amp;"-"&amp;TEXT($P242,"00")</f>
        <v>D-01-1-05</v>
      </c>
      <c r="R242" s="34" t="str">
        <f aca="false">"ZONE "&amp;$L242&amp;" / BAY "&amp;TEXT($N242,"00")&amp;" / SHELF "&amp;$O242&amp;" / BIN "&amp;TEXT($P242,"00")</f>
        <v>ZONE D / BAY 01 / SHELF 1 / BIN 05</v>
      </c>
      <c r="S242" s="34" t="s">
        <v>1843</v>
      </c>
      <c r="T242" s="34" t="s">
        <v>1844</v>
      </c>
      <c r="U242" s="27" t="n">
        <v>241</v>
      </c>
      <c r="V242" s="30" t="n">
        <v>46223</v>
      </c>
      <c r="W242" s="34" t="str">
        <f aca="false">IF($H242&gt;0,"Yes - "&amp;$H242&amp;" in stock at Store 0146 (size "&amp;$G242&amp;"). Back room location "&amp;$Q242&amp;" ("&amp;$R242&amp;"), "&amp;$S242&amp;". Back room "&amp;$J242&amp;" / sales floor "&amp;$I242&amp;".","Not currently in stock at Store 0146 (size "&amp;$G242&amp;"). Home location is "&amp;$Q242&amp;" ("&amp;$R242&amp;") when replenished.")</f>
        <v>Yes - 4 in stock at Store 0146 (size 7Y). Back room location D-01-1-05 (ZONE D / BAY 01 / SHELF 1 / BIN 05), Floor level - no reach. Back room 3 / sales floor 1.</v>
      </c>
    </row>
    <row r="243" customFormat="false" ht="15" hidden="false" customHeight="false" outlineLevel="0" collapsed="false">
      <c r="A243" s="34" t="s">
        <v>388</v>
      </c>
      <c r="B243" s="34" t="s">
        <v>389</v>
      </c>
      <c r="C243" s="34" t="s">
        <v>390</v>
      </c>
      <c r="D243" s="34" t="s">
        <v>136</v>
      </c>
      <c r="E243" s="34" t="s">
        <v>391</v>
      </c>
      <c r="F243" s="34" t="s">
        <v>393</v>
      </c>
      <c r="G243" s="24" t="s">
        <v>237</v>
      </c>
      <c r="H243" s="27" t="n">
        <f aca="false">IFERROR(INDEX('Inventory Master'!$T$2:$T$525,MATCH($A243,'Inventory Master'!$A$2:$A$525,0)),0)</f>
        <v>4</v>
      </c>
      <c r="I243" s="27" t="n">
        <v>1</v>
      </c>
      <c r="J243" s="27" t="n">
        <f aca="false">MAX(0,$H243-$I243)</f>
        <v>3</v>
      </c>
      <c r="K243" s="34" t="str">
        <f aca="false">IF($H243&gt;0,"In Stock","Out of Stock")</f>
        <v>In Stock</v>
      </c>
      <c r="L243" s="24" t="s">
        <v>1857</v>
      </c>
      <c r="M243" s="34" t="s">
        <v>1858</v>
      </c>
      <c r="N243" s="24" t="n">
        <v>1</v>
      </c>
      <c r="O243" s="24" t="n">
        <v>2</v>
      </c>
      <c r="P243" s="24" t="n">
        <v>1</v>
      </c>
      <c r="Q243" s="24" t="str">
        <f aca="false">$L243&amp;"-"&amp;TEXT($N243,"00")&amp;"-"&amp;$O243&amp;"-"&amp;TEXT($P243,"00")</f>
        <v>D-01-2-01</v>
      </c>
      <c r="R243" s="34" t="str">
        <f aca="false">"ZONE "&amp;$L243&amp;" / BAY "&amp;TEXT($N243,"00")&amp;" / SHELF "&amp;$O243&amp;" / BIN "&amp;TEXT($P243,"00")</f>
        <v>ZONE D / BAY 01 / SHELF 2 / BIN 01</v>
      </c>
      <c r="S243" s="34" t="s">
        <v>1845</v>
      </c>
      <c r="T243" s="34" t="s">
        <v>1844</v>
      </c>
      <c r="U243" s="27" t="n">
        <v>242</v>
      </c>
      <c r="V243" s="30" t="n">
        <v>46139</v>
      </c>
      <c r="W243" s="34" t="str">
        <f aca="false">IF($H243&gt;0,"Yes - "&amp;$H243&amp;" in stock at Store 0146 (size "&amp;$G243&amp;"). Back room location "&amp;$Q243&amp;" ("&amp;$R243&amp;"), "&amp;$S243&amp;". Back room "&amp;$J243&amp;" / sales floor "&amp;$I243&amp;".","Not currently in stock at Store 0146 (size "&amp;$G243&amp;"). Home location is "&amp;$Q243&amp;" ("&amp;$R243&amp;") when replenished.")</f>
        <v>Yes - 4 in stock at Store 0146 (size 4.5Y). Back room location D-01-2-01 (ZONE D / BAY 01 / SHELF 2 / BIN 01), Waist height. Back room 3 / sales floor 1.</v>
      </c>
    </row>
    <row r="244" customFormat="false" ht="15" hidden="false" customHeight="false" outlineLevel="0" collapsed="false">
      <c r="A244" s="34" t="s">
        <v>1623</v>
      </c>
      <c r="B244" s="34" t="s">
        <v>1624</v>
      </c>
      <c r="C244" s="34" t="s">
        <v>390</v>
      </c>
      <c r="D244" s="34" t="s">
        <v>136</v>
      </c>
      <c r="E244" s="34" t="s">
        <v>391</v>
      </c>
      <c r="F244" s="34" t="s">
        <v>393</v>
      </c>
      <c r="G244" s="24" t="s">
        <v>152</v>
      </c>
      <c r="H244" s="27" t="n">
        <f aca="false">IFERROR(INDEX('Inventory Master'!$T$2:$T$525,MATCH($A244,'Inventory Master'!$A$2:$A$525,0)),0)</f>
        <v>6</v>
      </c>
      <c r="I244" s="27" t="n">
        <v>1</v>
      </c>
      <c r="J244" s="27" t="n">
        <f aca="false">MAX(0,$H244-$I244)</f>
        <v>5</v>
      </c>
      <c r="K244" s="34" t="str">
        <f aca="false">IF($H244&gt;0,"In Stock","Out of Stock")</f>
        <v>In Stock</v>
      </c>
      <c r="L244" s="24" t="s">
        <v>1857</v>
      </c>
      <c r="M244" s="34" t="s">
        <v>1858</v>
      </c>
      <c r="N244" s="24" t="n">
        <v>1</v>
      </c>
      <c r="O244" s="24" t="n">
        <v>2</v>
      </c>
      <c r="P244" s="24" t="n">
        <v>2</v>
      </c>
      <c r="Q244" s="24" t="str">
        <f aca="false">$L244&amp;"-"&amp;TEXT($N244,"00")&amp;"-"&amp;$O244&amp;"-"&amp;TEXT($P244,"00")</f>
        <v>D-01-2-02</v>
      </c>
      <c r="R244" s="34" t="str">
        <f aca="false">"ZONE "&amp;$L244&amp;" / BAY "&amp;TEXT($N244,"00")&amp;" / SHELF "&amp;$O244&amp;" / BIN "&amp;TEXT($P244,"00")</f>
        <v>ZONE D / BAY 01 / SHELF 2 / BIN 02</v>
      </c>
      <c r="S244" s="34" t="s">
        <v>1845</v>
      </c>
      <c r="T244" s="34" t="s">
        <v>1844</v>
      </c>
      <c r="U244" s="27" t="n">
        <v>243</v>
      </c>
      <c r="V244" s="30" t="n">
        <v>46228</v>
      </c>
      <c r="W244" s="34" t="str">
        <f aca="false">IF($H244&gt;0,"Yes - "&amp;$H244&amp;" in stock at Store 0146 (size "&amp;$G244&amp;"). Back room location "&amp;$Q244&amp;" ("&amp;$R244&amp;"), "&amp;$S244&amp;". Back room "&amp;$J244&amp;" / sales floor "&amp;$I244&amp;".","Not currently in stock at Store 0146 (size "&amp;$G244&amp;"). Home location is "&amp;$Q244&amp;" ("&amp;$R244&amp;") when replenished.")</f>
        <v>Yes - 6 in stock at Store 0146 (size 5Y). Back room location D-01-2-02 (ZONE D / BAY 01 / SHELF 2 / BIN 02), Waist height. Back room 5 / sales floor 1.</v>
      </c>
    </row>
    <row r="245" customFormat="false" ht="15" hidden="false" customHeight="false" outlineLevel="0" collapsed="false">
      <c r="A245" s="34" t="s">
        <v>1799</v>
      </c>
      <c r="B245" s="34" t="s">
        <v>1800</v>
      </c>
      <c r="C245" s="34" t="s">
        <v>390</v>
      </c>
      <c r="D245" s="34" t="s">
        <v>136</v>
      </c>
      <c r="E245" s="34" t="s">
        <v>391</v>
      </c>
      <c r="F245" s="34" t="s">
        <v>393</v>
      </c>
      <c r="G245" s="24" t="s">
        <v>363</v>
      </c>
      <c r="H245" s="27" t="n">
        <f aca="false">IFERROR(INDEX('Inventory Master'!$T$2:$T$525,MATCH($A245,'Inventory Master'!$A$2:$A$525,0)),0)</f>
        <v>0</v>
      </c>
      <c r="I245" s="27" t="n">
        <v>0</v>
      </c>
      <c r="J245" s="27" t="n">
        <f aca="false">MAX(0,$H245-$I245)</f>
        <v>0</v>
      </c>
      <c r="K245" s="34" t="str">
        <f aca="false">IF($H245&gt;0,"In Stock","Out of Stock")</f>
        <v>Out of Stock</v>
      </c>
      <c r="L245" s="24" t="s">
        <v>1857</v>
      </c>
      <c r="M245" s="34" t="s">
        <v>1858</v>
      </c>
      <c r="N245" s="24" t="n">
        <v>1</v>
      </c>
      <c r="O245" s="24" t="n">
        <v>2</v>
      </c>
      <c r="P245" s="24" t="n">
        <v>3</v>
      </c>
      <c r="Q245" s="24" t="str">
        <f aca="false">$L245&amp;"-"&amp;TEXT($N245,"00")&amp;"-"&amp;$O245&amp;"-"&amp;TEXT($P245,"00")</f>
        <v>D-01-2-03</v>
      </c>
      <c r="R245" s="34" t="str">
        <f aca="false">"ZONE "&amp;$L245&amp;" / BAY "&amp;TEXT($N245,"00")&amp;" / SHELF "&amp;$O245&amp;" / BIN "&amp;TEXT($P245,"00")</f>
        <v>ZONE D / BAY 01 / SHELF 2 / BIN 03</v>
      </c>
      <c r="S245" s="34" t="s">
        <v>1845</v>
      </c>
      <c r="T245" s="34" t="s">
        <v>1844</v>
      </c>
      <c r="U245" s="27" t="n">
        <v>244</v>
      </c>
      <c r="V245" s="30" t="n">
        <v>46226</v>
      </c>
      <c r="W245" s="34" t="str">
        <f aca="false">IF($H245&gt;0,"Yes - "&amp;$H245&amp;" in stock at Store 0146 (size "&amp;$G245&amp;"). Back room location "&amp;$Q245&amp;" ("&amp;$R245&amp;"), "&amp;$S245&amp;". Back room "&amp;$J245&amp;" / sales floor "&amp;$I245&amp;".","Not currently in stock at Store 0146 (size "&amp;$G245&amp;"). Home location is "&amp;$Q245&amp;" ("&amp;$R245&amp;") when replenished.")</f>
        <v>Not currently in stock at Store 0146 (size 5.5Y). Home location is D-01-2-03 (ZONE D / BAY 01 / SHELF 2 / BIN 03) when replenished.</v>
      </c>
    </row>
    <row r="246" customFormat="false" ht="15" hidden="false" customHeight="false" outlineLevel="0" collapsed="false">
      <c r="A246" s="34" t="s">
        <v>1285</v>
      </c>
      <c r="B246" s="34" t="s">
        <v>1286</v>
      </c>
      <c r="C246" s="34" t="s">
        <v>390</v>
      </c>
      <c r="D246" s="34" t="s">
        <v>136</v>
      </c>
      <c r="E246" s="34" t="s">
        <v>391</v>
      </c>
      <c r="F246" s="34" t="s">
        <v>393</v>
      </c>
      <c r="G246" s="24" t="s">
        <v>749</v>
      </c>
      <c r="H246" s="27" t="n">
        <f aca="false">IFERROR(INDEX('Inventory Master'!$T$2:$T$525,MATCH($A246,'Inventory Master'!$A$2:$A$525,0)),0)</f>
        <v>5</v>
      </c>
      <c r="I246" s="27" t="n">
        <v>1</v>
      </c>
      <c r="J246" s="27" t="n">
        <f aca="false">MAX(0,$H246-$I246)</f>
        <v>4</v>
      </c>
      <c r="K246" s="34" t="str">
        <f aca="false">IF($H246&gt;0,"In Stock","Out of Stock")</f>
        <v>In Stock</v>
      </c>
      <c r="L246" s="24" t="s">
        <v>1857</v>
      </c>
      <c r="M246" s="34" t="s">
        <v>1858</v>
      </c>
      <c r="N246" s="24" t="n">
        <v>1</v>
      </c>
      <c r="O246" s="24" t="n">
        <v>2</v>
      </c>
      <c r="P246" s="24" t="n">
        <v>4</v>
      </c>
      <c r="Q246" s="24" t="str">
        <f aca="false">$L246&amp;"-"&amp;TEXT($N246,"00")&amp;"-"&amp;$O246&amp;"-"&amp;TEXT($P246,"00")</f>
        <v>D-01-2-04</v>
      </c>
      <c r="R246" s="34" t="str">
        <f aca="false">"ZONE "&amp;$L246&amp;" / BAY "&amp;TEXT($N246,"00")&amp;" / SHELF "&amp;$O246&amp;" / BIN "&amp;TEXT($P246,"00")</f>
        <v>ZONE D / BAY 01 / SHELF 2 / BIN 04</v>
      </c>
      <c r="S246" s="34" t="s">
        <v>1845</v>
      </c>
      <c r="T246" s="34" t="s">
        <v>1844</v>
      </c>
      <c r="U246" s="27" t="n">
        <v>245</v>
      </c>
      <c r="V246" s="30" t="n">
        <v>46193</v>
      </c>
      <c r="W246" s="34" t="str">
        <f aca="false">IF($H246&gt;0,"Yes - "&amp;$H246&amp;" in stock at Store 0146 (size "&amp;$G246&amp;"). Back room location "&amp;$Q246&amp;" ("&amp;$R246&amp;"), "&amp;$S246&amp;". Back room "&amp;$J246&amp;" / sales floor "&amp;$I246&amp;".","Not currently in stock at Store 0146 (size "&amp;$G246&amp;"). Home location is "&amp;$Q246&amp;" ("&amp;$R246&amp;") when replenished.")</f>
        <v>Yes - 5 in stock at Store 0146 (size 6Y). Back room location D-01-2-04 (ZONE D / BAY 01 / SHELF 2 / BIN 04), Waist height. Back room 4 / sales floor 1.</v>
      </c>
    </row>
    <row r="247" customFormat="false" ht="15" hidden="false" customHeight="false" outlineLevel="0" collapsed="false">
      <c r="A247" s="34" t="s">
        <v>1677</v>
      </c>
      <c r="B247" s="34" t="s">
        <v>1678</v>
      </c>
      <c r="C247" s="34" t="s">
        <v>1312</v>
      </c>
      <c r="D247" s="34" t="s">
        <v>123</v>
      </c>
      <c r="E247" s="34" t="s">
        <v>1313</v>
      </c>
      <c r="F247" s="34" t="s">
        <v>1315</v>
      </c>
      <c r="G247" s="24" t="s">
        <v>749</v>
      </c>
      <c r="H247" s="27" t="n">
        <f aca="false">IFERROR(INDEX('Inventory Master'!$T$2:$T$525,MATCH($A247,'Inventory Master'!$A$2:$A$525,0)),0)</f>
        <v>0</v>
      </c>
      <c r="I247" s="27" t="n">
        <v>0</v>
      </c>
      <c r="J247" s="27" t="n">
        <f aca="false">MAX(0,$H247-$I247)</f>
        <v>0</v>
      </c>
      <c r="K247" s="34" t="str">
        <f aca="false">IF($H247&gt;0,"In Stock","Out of Stock")</f>
        <v>Out of Stock</v>
      </c>
      <c r="L247" s="24" t="s">
        <v>1857</v>
      </c>
      <c r="M247" s="34" t="s">
        <v>1858</v>
      </c>
      <c r="N247" s="24" t="n">
        <v>1</v>
      </c>
      <c r="O247" s="24" t="n">
        <v>3</v>
      </c>
      <c r="P247" s="24" t="n">
        <v>1</v>
      </c>
      <c r="Q247" s="24" t="str">
        <f aca="false">$L247&amp;"-"&amp;TEXT($N247,"00")&amp;"-"&amp;$O247&amp;"-"&amp;TEXT($P247,"00")</f>
        <v>D-01-3-01</v>
      </c>
      <c r="R247" s="34" t="str">
        <f aca="false">"ZONE "&amp;$L247&amp;" / BAY "&amp;TEXT($N247,"00")&amp;" / SHELF "&amp;$O247&amp;" / BIN "&amp;TEXT($P247,"00")</f>
        <v>ZONE D / BAY 01 / SHELF 3 / BIN 01</v>
      </c>
      <c r="S247" s="34" t="s">
        <v>1846</v>
      </c>
      <c r="T247" s="34" t="s">
        <v>1844</v>
      </c>
      <c r="U247" s="27" t="n">
        <v>246</v>
      </c>
      <c r="V247" s="30" t="n">
        <v>46193</v>
      </c>
      <c r="W247" s="34" t="str">
        <f aca="false">IF($H247&gt;0,"Yes - "&amp;$H247&amp;" in stock at Store 0146 (size "&amp;$G247&amp;"). Back room location "&amp;$Q247&amp;" ("&amp;$R247&amp;"), "&amp;$S247&amp;". Back room "&amp;$J247&amp;" / sales floor "&amp;$I247&amp;".","Not currently in stock at Store 0146 (size "&amp;$G247&amp;"). Home location is "&amp;$Q247&amp;" ("&amp;$R247&amp;") when replenished.")</f>
        <v>Not currently in stock at Store 0146 (size 6Y). Home location is D-01-3-01 (ZONE D / BAY 01 / SHELF 3 / BIN 01) when replenished.</v>
      </c>
    </row>
    <row r="248" customFormat="false" ht="15" hidden="false" customHeight="false" outlineLevel="0" collapsed="false">
      <c r="A248" s="34" t="s">
        <v>1310</v>
      </c>
      <c r="B248" s="34" t="s">
        <v>1311</v>
      </c>
      <c r="C248" s="34" t="s">
        <v>1312</v>
      </c>
      <c r="D248" s="34" t="s">
        <v>123</v>
      </c>
      <c r="E248" s="34" t="s">
        <v>1313</v>
      </c>
      <c r="F248" s="34" t="s">
        <v>1315</v>
      </c>
      <c r="G248" s="24" t="s">
        <v>1317</v>
      </c>
      <c r="H248" s="27" t="n">
        <f aca="false">IFERROR(INDEX('Inventory Master'!$T$2:$T$525,MATCH($A248,'Inventory Master'!$A$2:$A$525,0)),0)</f>
        <v>1</v>
      </c>
      <c r="I248" s="27" t="n">
        <v>1</v>
      </c>
      <c r="J248" s="27" t="n">
        <f aca="false">MAX(0,$H248-$I248)</f>
        <v>0</v>
      </c>
      <c r="K248" s="34" t="str">
        <f aca="false">IF($H248&gt;0,"In Stock","Out of Stock")</f>
        <v>In Stock</v>
      </c>
      <c r="L248" s="24" t="s">
        <v>1857</v>
      </c>
      <c r="M248" s="34" t="s">
        <v>1858</v>
      </c>
      <c r="N248" s="24" t="n">
        <v>1</v>
      </c>
      <c r="O248" s="24" t="n">
        <v>3</v>
      </c>
      <c r="P248" s="24" t="n">
        <v>2</v>
      </c>
      <c r="Q248" s="24" t="str">
        <f aca="false">$L248&amp;"-"&amp;TEXT($N248,"00")&amp;"-"&amp;$O248&amp;"-"&amp;TEXT($P248,"00")</f>
        <v>D-01-3-02</v>
      </c>
      <c r="R248" s="34" t="str">
        <f aca="false">"ZONE "&amp;$L248&amp;" / BAY "&amp;TEXT($N248,"00")&amp;" / SHELF "&amp;$O248&amp;" / BIN "&amp;TEXT($P248,"00")</f>
        <v>ZONE D / BAY 01 / SHELF 3 / BIN 02</v>
      </c>
      <c r="S248" s="34" t="s">
        <v>1846</v>
      </c>
      <c r="T248" s="34" t="s">
        <v>1844</v>
      </c>
      <c r="U248" s="27" t="n">
        <v>247</v>
      </c>
      <c r="V248" s="30" t="n">
        <v>46203</v>
      </c>
      <c r="W248" s="34" t="str">
        <f aca="false">IF($H248&gt;0,"Yes - "&amp;$H248&amp;" in stock at Store 0146 (size "&amp;$G248&amp;"). Back room location "&amp;$Q248&amp;" ("&amp;$R248&amp;"), "&amp;$S248&amp;". Back room "&amp;$J248&amp;" / sales floor "&amp;$I248&amp;".","Not currently in stock at Store 0146 (size "&amp;$G248&amp;"). Home location is "&amp;$Q248&amp;" ("&amp;$R248&amp;") when replenished.")</f>
        <v>Yes - 1 in stock at Store 0146 (size 6.5Y). Back room location D-01-3-02 (ZONE D / BAY 01 / SHELF 3 / BIN 02), Eye level. Back room 0 / sales floor 1.</v>
      </c>
    </row>
    <row r="249" customFormat="false" ht="15" hidden="false" customHeight="false" outlineLevel="0" collapsed="false">
      <c r="A249" s="34" t="s">
        <v>1755</v>
      </c>
      <c r="B249" s="34" t="s">
        <v>1756</v>
      </c>
      <c r="C249" s="34" t="s">
        <v>1312</v>
      </c>
      <c r="D249" s="34" t="s">
        <v>123</v>
      </c>
      <c r="E249" s="34" t="s">
        <v>1313</v>
      </c>
      <c r="F249" s="34" t="s">
        <v>1315</v>
      </c>
      <c r="G249" s="24" t="s">
        <v>450</v>
      </c>
      <c r="H249" s="27" t="n">
        <f aca="false">IFERROR(INDEX('Inventory Master'!$T$2:$T$525,MATCH($A249,'Inventory Master'!$A$2:$A$525,0)),0)</f>
        <v>2</v>
      </c>
      <c r="I249" s="27" t="n">
        <v>1</v>
      </c>
      <c r="J249" s="27" t="n">
        <f aca="false">MAX(0,$H249-$I249)</f>
        <v>1</v>
      </c>
      <c r="K249" s="34" t="str">
        <f aca="false">IF($H249&gt;0,"In Stock","Out of Stock")</f>
        <v>In Stock</v>
      </c>
      <c r="L249" s="24" t="s">
        <v>1857</v>
      </c>
      <c r="M249" s="34" t="s">
        <v>1858</v>
      </c>
      <c r="N249" s="24" t="n">
        <v>1</v>
      </c>
      <c r="O249" s="24" t="n">
        <v>3</v>
      </c>
      <c r="P249" s="24" t="n">
        <v>3</v>
      </c>
      <c r="Q249" s="24" t="str">
        <f aca="false">$L249&amp;"-"&amp;TEXT($N249,"00")&amp;"-"&amp;$O249&amp;"-"&amp;TEXT($P249,"00")</f>
        <v>D-01-3-03</v>
      </c>
      <c r="R249" s="34" t="str">
        <f aca="false">"ZONE "&amp;$L249&amp;" / BAY "&amp;TEXT($N249,"00")&amp;" / SHELF "&amp;$O249&amp;" / BIN "&amp;TEXT($P249,"00")</f>
        <v>ZONE D / BAY 01 / SHELF 3 / BIN 03</v>
      </c>
      <c r="S249" s="34" t="s">
        <v>1846</v>
      </c>
      <c r="T249" s="34" t="s">
        <v>1844</v>
      </c>
      <c r="U249" s="27" t="n">
        <v>248</v>
      </c>
      <c r="V249" s="30" t="n">
        <v>46153</v>
      </c>
      <c r="W249" s="34" t="str">
        <f aca="false">IF($H249&gt;0,"Yes - "&amp;$H249&amp;" in stock at Store 0146 (size "&amp;$G249&amp;"). Back room location "&amp;$Q249&amp;" ("&amp;$R249&amp;"), "&amp;$S249&amp;". Back room "&amp;$J249&amp;" / sales floor "&amp;$I249&amp;".","Not currently in stock at Store 0146 (size "&amp;$G249&amp;"). Home location is "&amp;$Q249&amp;" ("&amp;$R249&amp;") when replenished.")</f>
        <v>Yes - 2 in stock at Store 0146 (size 7Y). Back room location D-01-3-03 (ZONE D / BAY 01 / SHELF 3 / BIN 03), Eye level. Back room 1 / sales floor 1.</v>
      </c>
    </row>
    <row r="250" customFormat="false" ht="15" hidden="false" customHeight="false" outlineLevel="0" collapsed="false">
      <c r="A250" s="34" t="s">
        <v>229</v>
      </c>
      <c r="B250" s="34" t="s">
        <v>230</v>
      </c>
      <c r="C250" s="34" t="s">
        <v>231</v>
      </c>
      <c r="D250" s="34" t="s">
        <v>123</v>
      </c>
      <c r="E250" s="34" t="s">
        <v>232</v>
      </c>
      <c r="F250" s="34" t="s">
        <v>234</v>
      </c>
      <c r="G250" s="24" t="s">
        <v>237</v>
      </c>
      <c r="H250" s="27" t="n">
        <f aca="false">IFERROR(INDEX('Inventory Master'!$T$2:$T$525,MATCH($A250,'Inventory Master'!$A$2:$A$525,0)),0)</f>
        <v>6</v>
      </c>
      <c r="I250" s="27" t="n">
        <v>1</v>
      </c>
      <c r="J250" s="27" t="n">
        <f aca="false">MAX(0,$H250-$I250)</f>
        <v>5</v>
      </c>
      <c r="K250" s="34" t="str">
        <f aca="false">IF($H250&gt;0,"In Stock","Out of Stock")</f>
        <v>In Stock</v>
      </c>
      <c r="L250" s="24" t="s">
        <v>1857</v>
      </c>
      <c r="M250" s="34" t="s">
        <v>1858</v>
      </c>
      <c r="N250" s="24" t="n">
        <v>1</v>
      </c>
      <c r="O250" s="24" t="n">
        <v>4</v>
      </c>
      <c r="P250" s="24" t="n">
        <v>1</v>
      </c>
      <c r="Q250" s="24" t="str">
        <f aca="false">$L250&amp;"-"&amp;TEXT($N250,"00")&amp;"-"&amp;$O250&amp;"-"&amp;TEXT($P250,"00")</f>
        <v>D-01-4-01</v>
      </c>
      <c r="R250" s="34" t="str">
        <f aca="false">"ZONE "&amp;$L250&amp;" / BAY "&amp;TEXT($N250,"00")&amp;" / SHELF "&amp;$O250&amp;" / BIN "&amp;TEXT($P250,"00")</f>
        <v>ZONE D / BAY 01 / SHELF 4 / BIN 01</v>
      </c>
      <c r="S250" s="34" t="s">
        <v>1847</v>
      </c>
      <c r="T250" s="34" t="s">
        <v>1844</v>
      </c>
      <c r="U250" s="27" t="n">
        <v>249</v>
      </c>
      <c r="V250" s="30" t="n">
        <v>46216</v>
      </c>
      <c r="W250" s="34" t="str">
        <f aca="false">IF($H250&gt;0,"Yes - "&amp;$H250&amp;" in stock at Store 0146 (size "&amp;$G250&amp;"). Back room location "&amp;$Q250&amp;" ("&amp;$R250&amp;"), "&amp;$S250&amp;". Back room "&amp;$J250&amp;" / sales floor "&amp;$I250&amp;".","Not currently in stock at Store 0146 (size "&amp;$G250&amp;"). Home location is "&amp;$Q250&amp;" ("&amp;$R250&amp;") when replenished.")</f>
        <v>Yes - 6 in stock at Store 0146 (size 4.5Y). Back room location D-01-4-01 (ZONE D / BAY 01 / SHELF 4 / BIN 01), Overhead - step stool. Back room 5 / sales floor 1.</v>
      </c>
    </row>
    <row r="251" customFormat="false" ht="15" hidden="false" customHeight="false" outlineLevel="0" collapsed="false">
      <c r="A251" s="34" t="s">
        <v>834</v>
      </c>
      <c r="B251" s="34" t="s">
        <v>835</v>
      </c>
      <c r="C251" s="34" t="s">
        <v>231</v>
      </c>
      <c r="D251" s="34" t="s">
        <v>123</v>
      </c>
      <c r="E251" s="34" t="s">
        <v>232</v>
      </c>
      <c r="F251" s="34" t="s">
        <v>234</v>
      </c>
      <c r="G251" s="24" t="s">
        <v>152</v>
      </c>
      <c r="H251" s="27" t="n">
        <f aca="false">IFERROR(INDEX('Inventory Master'!$T$2:$T$525,MATCH($A251,'Inventory Master'!$A$2:$A$525,0)),0)</f>
        <v>6</v>
      </c>
      <c r="I251" s="27" t="n">
        <v>1</v>
      </c>
      <c r="J251" s="27" t="n">
        <f aca="false">MAX(0,$H251-$I251)</f>
        <v>5</v>
      </c>
      <c r="K251" s="34" t="str">
        <f aca="false">IF($H251&gt;0,"In Stock","Out of Stock")</f>
        <v>In Stock</v>
      </c>
      <c r="L251" s="24" t="s">
        <v>1857</v>
      </c>
      <c r="M251" s="34" t="s">
        <v>1858</v>
      </c>
      <c r="N251" s="24" t="n">
        <v>1</v>
      </c>
      <c r="O251" s="24" t="n">
        <v>4</v>
      </c>
      <c r="P251" s="24" t="n">
        <v>2</v>
      </c>
      <c r="Q251" s="24" t="str">
        <f aca="false">$L251&amp;"-"&amp;TEXT($N251,"00")&amp;"-"&amp;$O251&amp;"-"&amp;TEXT($P251,"00")</f>
        <v>D-01-4-02</v>
      </c>
      <c r="R251" s="34" t="str">
        <f aca="false">"ZONE "&amp;$L251&amp;" / BAY "&amp;TEXT($N251,"00")&amp;" / SHELF "&amp;$O251&amp;" / BIN "&amp;TEXT($P251,"00")</f>
        <v>ZONE D / BAY 01 / SHELF 4 / BIN 02</v>
      </c>
      <c r="S251" s="34" t="s">
        <v>1847</v>
      </c>
      <c r="T251" s="34" t="s">
        <v>1844</v>
      </c>
      <c r="U251" s="27" t="n">
        <v>250</v>
      </c>
      <c r="V251" s="30" t="n">
        <v>46202</v>
      </c>
      <c r="W251" s="34" t="str">
        <f aca="false">IF($H251&gt;0,"Yes - "&amp;$H251&amp;" in stock at Store 0146 (size "&amp;$G251&amp;"). Back room location "&amp;$Q251&amp;" ("&amp;$R251&amp;"), "&amp;$S251&amp;". Back room "&amp;$J251&amp;" / sales floor "&amp;$I251&amp;".","Not currently in stock at Store 0146 (size "&amp;$G251&amp;"). Home location is "&amp;$Q251&amp;" ("&amp;$R251&amp;") when replenished.")</f>
        <v>Yes - 6 in stock at Store 0146 (size 5Y). Back room location D-01-4-02 (ZONE D / BAY 01 / SHELF 4 / BIN 02), Overhead - step stool. Back room 5 / sales floor 1.</v>
      </c>
    </row>
    <row r="252" customFormat="false" ht="15" hidden="false" customHeight="false" outlineLevel="0" collapsed="false">
      <c r="A252" s="34" t="s">
        <v>361</v>
      </c>
      <c r="B252" s="34" t="s">
        <v>362</v>
      </c>
      <c r="C252" s="34" t="s">
        <v>231</v>
      </c>
      <c r="D252" s="34" t="s">
        <v>123</v>
      </c>
      <c r="E252" s="34" t="s">
        <v>232</v>
      </c>
      <c r="F252" s="34" t="s">
        <v>234</v>
      </c>
      <c r="G252" s="24" t="s">
        <v>363</v>
      </c>
      <c r="H252" s="27" t="n">
        <f aca="false">IFERROR(INDEX('Inventory Master'!$T$2:$T$525,MATCH($A252,'Inventory Master'!$A$2:$A$525,0)),0)</f>
        <v>2</v>
      </c>
      <c r="I252" s="27" t="n">
        <v>1</v>
      </c>
      <c r="J252" s="27" t="n">
        <f aca="false">MAX(0,$H252-$I252)</f>
        <v>1</v>
      </c>
      <c r="K252" s="34" t="str">
        <f aca="false">IF($H252&gt;0,"In Stock","Out of Stock")</f>
        <v>In Stock</v>
      </c>
      <c r="L252" s="24" t="s">
        <v>1857</v>
      </c>
      <c r="M252" s="34" t="s">
        <v>1858</v>
      </c>
      <c r="N252" s="24" t="n">
        <v>1</v>
      </c>
      <c r="O252" s="24" t="n">
        <v>4</v>
      </c>
      <c r="P252" s="24" t="n">
        <v>3</v>
      </c>
      <c r="Q252" s="24" t="str">
        <f aca="false">$L252&amp;"-"&amp;TEXT($N252,"00")&amp;"-"&amp;$O252&amp;"-"&amp;TEXT($P252,"00")</f>
        <v>D-01-4-03</v>
      </c>
      <c r="R252" s="34" t="str">
        <f aca="false">"ZONE "&amp;$L252&amp;" / BAY "&amp;TEXT($N252,"00")&amp;" / SHELF "&amp;$O252&amp;" / BIN "&amp;TEXT($P252,"00")</f>
        <v>ZONE D / BAY 01 / SHELF 4 / BIN 03</v>
      </c>
      <c r="S252" s="34" t="s">
        <v>1847</v>
      </c>
      <c r="T252" s="34" t="s">
        <v>1844</v>
      </c>
      <c r="U252" s="27" t="n">
        <v>251</v>
      </c>
      <c r="V252" s="30" t="n">
        <v>46219</v>
      </c>
      <c r="W252" s="34" t="str">
        <f aca="false">IF($H252&gt;0,"Yes - "&amp;$H252&amp;" in stock at Store 0146 (size "&amp;$G252&amp;"). Back room location "&amp;$Q252&amp;" ("&amp;$R252&amp;"), "&amp;$S252&amp;". Back room "&amp;$J252&amp;" / sales floor "&amp;$I252&amp;".","Not currently in stock at Store 0146 (size "&amp;$G252&amp;"). Home location is "&amp;$Q252&amp;" ("&amp;$R252&amp;") when replenished.")</f>
        <v>Yes - 2 in stock at Store 0146 (size 5.5Y). Back room location D-01-4-03 (ZONE D / BAY 01 / SHELF 4 / BIN 03), Overhead - step stool. Back room 1 / sales floor 1.</v>
      </c>
    </row>
    <row r="253" customFormat="false" ht="15" hidden="false" customHeight="false" outlineLevel="0" collapsed="false">
      <c r="A253" s="34" t="s">
        <v>1215</v>
      </c>
      <c r="B253" s="34" t="s">
        <v>1216</v>
      </c>
      <c r="C253" s="34" t="s">
        <v>261</v>
      </c>
      <c r="D253" s="34" t="s">
        <v>123</v>
      </c>
      <c r="E253" s="34" t="s">
        <v>262</v>
      </c>
      <c r="F253" s="34" t="s">
        <v>264</v>
      </c>
      <c r="G253" s="24" t="s">
        <v>910</v>
      </c>
      <c r="H253" s="27" t="n">
        <f aca="false">IFERROR(INDEX('Inventory Master'!$T$2:$T$525,MATCH($A253,'Inventory Master'!$A$2:$A$525,0)),0)</f>
        <v>0</v>
      </c>
      <c r="I253" s="27" t="n">
        <v>0</v>
      </c>
      <c r="J253" s="27" t="n">
        <f aca="false">MAX(0,$H253-$I253)</f>
        <v>0</v>
      </c>
      <c r="K253" s="34" t="str">
        <f aca="false">IF($H253&gt;0,"In Stock","Out of Stock")</f>
        <v>Out of Stock</v>
      </c>
      <c r="L253" s="24" t="s">
        <v>1857</v>
      </c>
      <c r="M253" s="34" t="s">
        <v>1858</v>
      </c>
      <c r="N253" s="24" t="n">
        <v>1</v>
      </c>
      <c r="O253" s="24" t="n">
        <v>5</v>
      </c>
      <c r="P253" s="24" t="n">
        <v>1</v>
      </c>
      <c r="Q253" s="24" t="str">
        <f aca="false">$L253&amp;"-"&amp;TEXT($N253,"00")&amp;"-"&amp;$O253&amp;"-"&amp;TEXT($P253,"00")</f>
        <v>D-01-5-01</v>
      </c>
      <c r="R253" s="34" t="str">
        <f aca="false">"ZONE "&amp;$L253&amp;" / BAY "&amp;TEXT($N253,"00")&amp;" / SHELF "&amp;$O253&amp;" / BIN "&amp;TEXT($P253,"00")</f>
        <v>ZONE D / BAY 01 / SHELF 5 / BIN 01</v>
      </c>
      <c r="S253" s="34" t="s">
        <v>1848</v>
      </c>
      <c r="T253" s="34" t="s">
        <v>1844</v>
      </c>
      <c r="U253" s="27" t="n">
        <v>252</v>
      </c>
      <c r="V253" s="30" t="n">
        <v>46210</v>
      </c>
      <c r="W253" s="34" t="str">
        <f aca="false">IF($H253&gt;0,"Yes - "&amp;$H253&amp;" in stock at Store 0146 (size "&amp;$G253&amp;"). Back room location "&amp;$Q253&amp;" ("&amp;$R253&amp;"), "&amp;$S253&amp;". Back room "&amp;$J253&amp;" / sales floor "&amp;$I253&amp;".","Not currently in stock at Store 0146 (size "&amp;$G253&amp;"). Home location is "&amp;$Q253&amp;" ("&amp;$R253&amp;") when replenished.")</f>
        <v>Not currently in stock at Store 0146 (size 3.5Y). Home location is D-01-5-01 (ZONE D / BAY 01 / SHELF 5 / BIN 01) when replenished.</v>
      </c>
    </row>
    <row r="254" customFormat="false" ht="15" hidden="false" customHeight="false" outlineLevel="0" collapsed="false">
      <c r="A254" s="34" t="s">
        <v>1347</v>
      </c>
      <c r="B254" s="34" t="s">
        <v>1348</v>
      </c>
      <c r="C254" s="34" t="s">
        <v>261</v>
      </c>
      <c r="D254" s="34" t="s">
        <v>123</v>
      </c>
      <c r="E254" s="34" t="s">
        <v>262</v>
      </c>
      <c r="F254" s="34" t="s">
        <v>264</v>
      </c>
      <c r="G254" s="24" t="s">
        <v>915</v>
      </c>
      <c r="H254" s="27" t="n">
        <f aca="false">IFERROR(INDEX('Inventory Master'!$T$2:$T$525,MATCH($A254,'Inventory Master'!$A$2:$A$525,0)),0)</f>
        <v>3</v>
      </c>
      <c r="I254" s="27" t="n">
        <v>1</v>
      </c>
      <c r="J254" s="27" t="n">
        <f aca="false">MAX(0,$H254-$I254)</f>
        <v>2</v>
      </c>
      <c r="K254" s="34" t="str">
        <f aca="false">IF($H254&gt;0,"In Stock","Out of Stock")</f>
        <v>In Stock</v>
      </c>
      <c r="L254" s="24" t="s">
        <v>1857</v>
      </c>
      <c r="M254" s="34" t="s">
        <v>1858</v>
      </c>
      <c r="N254" s="24" t="n">
        <v>1</v>
      </c>
      <c r="O254" s="24" t="n">
        <v>5</v>
      </c>
      <c r="P254" s="24" t="n">
        <v>2</v>
      </c>
      <c r="Q254" s="24" t="str">
        <f aca="false">$L254&amp;"-"&amp;TEXT($N254,"00")&amp;"-"&amp;$O254&amp;"-"&amp;TEXT($P254,"00")</f>
        <v>D-01-5-02</v>
      </c>
      <c r="R254" s="34" t="str">
        <f aca="false">"ZONE "&amp;$L254&amp;" / BAY "&amp;TEXT($N254,"00")&amp;" / SHELF "&amp;$O254&amp;" / BIN "&amp;TEXT($P254,"00")</f>
        <v>ZONE D / BAY 01 / SHELF 5 / BIN 02</v>
      </c>
      <c r="S254" s="34" t="s">
        <v>1848</v>
      </c>
      <c r="T254" s="34" t="s">
        <v>1844</v>
      </c>
      <c r="U254" s="27" t="n">
        <v>253</v>
      </c>
      <c r="V254" s="30" t="n">
        <v>46190</v>
      </c>
      <c r="W254" s="34" t="str">
        <f aca="false">IF($H254&gt;0,"Yes - "&amp;$H254&amp;" in stock at Store 0146 (size "&amp;$G254&amp;"). Back room location "&amp;$Q254&amp;" ("&amp;$R254&amp;"), "&amp;$S254&amp;". Back room "&amp;$J254&amp;" / sales floor "&amp;$I254&amp;".","Not currently in stock at Store 0146 (size "&amp;$G254&amp;"). Home location is "&amp;$Q254&amp;" ("&amp;$R254&amp;") when replenished.")</f>
        <v>Yes - 3 in stock at Store 0146 (size 4Y). Back room location D-01-5-02 (ZONE D / BAY 01 / SHELF 5 / BIN 02), Top shelf - ladder required. Back room 2 / sales floor 1.</v>
      </c>
    </row>
    <row r="255" customFormat="false" ht="15" hidden="false" customHeight="false" outlineLevel="0" collapsed="false">
      <c r="A255" s="34" t="s">
        <v>259</v>
      </c>
      <c r="B255" s="34" t="s">
        <v>260</v>
      </c>
      <c r="C255" s="34" t="s">
        <v>261</v>
      </c>
      <c r="D255" s="34" t="s">
        <v>123</v>
      </c>
      <c r="E255" s="34" t="s">
        <v>262</v>
      </c>
      <c r="F255" s="34" t="s">
        <v>264</v>
      </c>
      <c r="G255" s="24" t="s">
        <v>237</v>
      </c>
      <c r="H255" s="27" t="n">
        <f aca="false">IFERROR(INDEX('Inventory Master'!$T$2:$T$525,MATCH($A255,'Inventory Master'!$A$2:$A$525,0)),0)</f>
        <v>0</v>
      </c>
      <c r="I255" s="27" t="n">
        <v>0</v>
      </c>
      <c r="J255" s="27" t="n">
        <f aca="false">MAX(0,$H255-$I255)</f>
        <v>0</v>
      </c>
      <c r="K255" s="34" t="str">
        <f aca="false">IF($H255&gt;0,"In Stock","Out of Stock")</f>
        <v>Out of Stock</v>
      </c>
      <c r="L255" s="24" t="s">
        <v>1857</v>
      </c>
      <c r="M255" s="34" t="s">
        <v>1858</v>
      </c>
      <c r="N255" s="24" t="n">
        <v>1</v>
      </c>
      <c r="O255" s="24" t="n">
        <v>5</v>
      </c>
      <c r="P255" s="24" t="n">
        <v>3</v>
      </c>
      <c r="Q255" s="24" t="str">
        <f aca="false">$L255&amp;"-"&amp;TEXT($N255,"00")&amp;"-"&amp;$O255&amp;"-"&amp;TEXT($P255,"00")</f>
        <v>D-01-5-03</v>
      </c>
      <c r="R255" s="34" t="str">
        <f aca="false">"ZONE "&amp;$L255&amp;" / BAY "&amp;TEXT($N255,"00")&amp;" / SHELF "&amp;$O255&amp;" / BIN "&amp;TEXT($P255,"00")</f>
        <v>ZONE D / BAY 01 / SHELF 5 / BIN 03</v>
      </c>
      <c r="S255" s="34" t="s">
        <v>1848</v>
      </c>
      <c r="T255" s="34" t="s">
        <v>1844</v>
      </c>
      <c r="U255" s="27" t="n">
        <v>254</v>
      </c>
      <c r="V255" s="30" t="n">
        <v>46174</v>
      </c>
      <c r="W255" s="34" t="str">
        <f aca="false">IF($H255&gt;0,"Yes - "&amp;$H255&amp;" in stock at Store 0146 (size "&amp;$G255&amp;"). Back room location "&amp;$Q255&amp;" ("&amp;$R255&amp;"), "&amp;$S255&amp;". Back room "&amp;$J255&amp;" / sales floor "&amp;$I255&amp;".","Not currently in stock at Store 0146 (size "&amp;$G255&amp;"). Home location is "&amp;$Q255&amp;" ("&amp;$R255&amp;") when replenished.")</f>
        <v>Not currently in stock at Store 0146 (size 4.5Y). Home location is D-01-5-03 (ZONE D / BAY 01 / SHELF 5 / BIN 03) when replenished.</v>
      </c>
    </row>
    <row r="256" customFormat="false" ht="15" hidden="false" customHeight="false" outlineLevel="0" collapsed="false">
      <c r="A256" s="34" t="s">
        <v>1496</v>
      </c>
      <c r="B256" s="34" t="s">
        <v>1497</v>
      </c>
      <c r="C256" s="34" t="s">
        <v>261</v>
      </c>
      <c r="D256" s="34" t="s">
        <v>123</v>
      </c>
      <c r="E256" s="34" t="s">
        <v>262</v>
      </c>
      <c r="F256" s="34" t="s">
        <v>264</v>
      </c>
      <c r="G256" s="24" t="s">
        <v>152</v>
      </c>
      <c r="H256" s="27" t="n">
        <f aca="false">IFERROR(INDEX('Inventory Master'!$T$2:$T$525,MATCH($A256,'Inventory Master'!$A$2:$A$525,0)),0)</f>
        <v>2</v>
      </c>
      <c r="I256" s="27" t="n">
        <v>1</v>
      </c>
      <c r="J256" s="27" t="n">
        <f aca="false">MAX(0,$H256-$I256)</f>
        <v>1</v>
      </c>
      <c r="K256" s="34" t="str">
        <f aca="false">IF($H256&gt;0,"In Stock","Out of Stock")</f>
        <v>In Stock</v>
      </c>
      <c r="L256" s="24" t="s">
        <v>1857</v>
      </c>
      <c r="M256" s="34" t="s">
        <v>1858</v>
      </c>
      <c r="N256" s="24" t="n">
        <v>1</v>
      </c>
      <c r="O256" s="24" t="n">
        <v>5</v>
      </c>
      <c r="P256" s="24" t="n">
        <v>4</v>
      </c>
      <c r="Q256" s="24" t="str">
        <f aca="false">$L256&amp;"-"&amp;TEXT($N256,"00")&amp;"-"&amp;$O256&amp;"-"&amp;TEXT($P256,"00")</f>
        <v>D-01-5-04</v>
      </c>
      <c r="R256" s="34" t="str">
        <f aca="false">"ZONE "&amp;$L256&amp;" / BAY "&amp;TEXT($N256,"00")&amp;" / SHELF "&amp;$O256&amp;" / BIN "&amp;TEXT($P256,"00")</f>
        <v>ZONE D / BAY 01 / SHELF 5 / BIN 04</v>
      </c>
      <c r="S256" s="34" t="s">
        <v>1848</v>
      </c>
      <c r="T256" s="34" t="s">
        <v>1844</v>
      </c>
      <c r="U256" s="27" t="n">
        <v>255</v>
      </c>
      <c r="V256" s="30" t="n">
        <v>46217</v>
      </c>
      <c r="W256" s="34" t="str">
        <f aca="false">IF($H256&gt;0,"Yes - "&amp;$H256&amp;" in stock at Store 0146 (size "&amp;$G256&amp;"). Back room location "&amp;$Q256&amp;" ("&amp;$R256&amp;"), "&amp;$S256&amp;". Back room "&amp;$J256&amp;" / sales floor "&amp;$I256&amp;".","Not currently in stock at Store 0146 (size "&amp;$G256&amp;"). Home location is "&amp;$Q256&amp;" ("&amp;$R256&amp;") when replenished.")</f>
        <v>Yes - 2 in stock at Store 0146 (size 5Y). Back room location D-01-5-04 (ZONE D / BAY 01 / SHELF 5 / BIN 04), Top shelf - ladder required. Back room 1 / sales floor 1.</v>
      </c>
    </row>
    <row r="257" customFormat="false" ht="15" hidden="false" customHeight="false" outlineLevel="0" collapsed="false">
      <c r="A257" s="34" t="s">
        <v>1202</v>
      </c>
      <c r="B257" s="34" t="s">
        <v>1203</v>
      </c>
      <c r="C257" s="34" t="s">
        <v>671</v>
      </c>
      <c r="D257" s="34" t="s">
        <v>123</v>
      </c>
      <c r="E257" s="34" t="s">
        <v>124</v>
      </c>
      <c r="F257" s="34" t="s">
        <v>673</v>
      </c>
      <c r="G257" s="24" t="s">
        <v>237</v>
      </c>
      <c r="H257" s="27" t="n">
        <f aca="false">IFERROR(INDEX('Inventory Master'!$T$2:$T$525,MATCH($A257,'Inventory Master'!$A$2:$A$525,0)),0)</f>
        <v>4</v>
      </c>
      <c r="I257" s="27" t="n">
        <v>1</v>
      </c>
      <c r="J257" s="27" t="n">
        <f aca="false">MAX(0,$H257-$I257)</f>
        <v>3</v>
      </c>
      <c r="K257" s="34" t="str">
        <f aca="false">IF($H257&gt;0,"In Stock","Out of Stock")</f>
        <v>In Stock</v>
      </c>
      <c r="L257" s="24" t="s">
        <v>1857</v>
      </c>
      <c r="M257" s="34" t="s">
        <v>1858</v>
      </c>
      <c r="N257" s="24" t="n">
        <v>2</v>
      </c>
      <c r="O257" s="24" t="n">
        <v>1</v>
      </c>
      <c r="P257" s="24" t="n">
        <v>1</v>
      </c>
      <c r="Q257" s="24" t="str">
        <f aca="false">$L257&amp;"-"&amp;TEXT($N257,"00")&amp;"-"&amp;$O257&amp;"-"&amp;TEXT($P257,"00")</f>
        <v>D-02-1-01</v>
      </c>
      <c r="R257" s="34" t="str">
        <f aca="false">"ZONE "&amp;$L257&amp;" / BAY "&amp;TEXT($N257,"00")&amp;" / SHELF "&amp;$O257&amp;" / BIN "&amp;TEXT($P257,"00")</f>
        <v>ZONE D / BAY 02 / SHELF 1 / BIN 01</v>
      </c>
      <c r="S257" s="34" t="s">
        <v>1843</v>
      </c>
      <c r="T257" s="34" t="s">
        <v>1844</v>
      </c>
      <c r="U257" s="27" t="n">
        <v>256</v>
      </c>
      <c r="V257" s="30" t="n">
        <v>46213</v>
      </c>
      <c r="W257" s="34" t="str">
        <f aca="false">IF($H257&gt;0,"Yes - "&amp;$H257&amp;" in stock at Store 0146 (size "&amp;$G257&amp;"). Back room location "&amp;$Q257&amp;" ("&amp;$R257&amp;"), "&amp;$S257&amp;". Back room "&amp;$J257&amp;" / sales floor "&amp;$I257&amp;".","Not currently in stock at Store 0146 (size "&amp;$G257&amp;"). Home location is "&amp;$Q257&amp;" ("&amp;$R257&amp;") when replenished.")</f>
        <v>Yes - 4 in stock at Store 0146 (size 4.5Y). Back room location D-02-1-01 (ZONE D / BAY 02 / SHELF 1 / BIN 01), Floor level - no reach. Back room 3 / sales floor 1.</v>
      </c>
    </row>
    <row r="258" customFormat="false" ht="15" hidden="false" customHeight="false" outlineLevel="0" collapsed="false">
      <c r="A258" s="34" t="s">
        <v>1761</v>
      </c>
      <c r="B258" s="34" t="s">
        <v>1762</v>
      </c>
      <c r="C258" s="34" t="s">
        <v>671</v>
      </c>
      <c r="D258" s="34" t="s">
        <v>123</v>
      </c>
      <c r="E258" s="34" t="s">
        <v>124</v>
      </c>
      <c r="F258" s="34" t="s">
        <v>673</v>
      </c>
      <c r="G258" s="24" t="s">
        <v>152</v>
      </c>
      <c r="H258" s="27" t="n">
        <f aca="false">IFERROR(INDEX('Inventory Master'!$T$2:$T$525,MATCH($A258,'Inventory Master'!$A$2:$A$525,0)),0)</f>
        <v>2</v>
      </c>
      <c r="I258" s="27" t="n">
        <v>1</v>
      </c>
      <c r="J258" s="27" t="n">
        <f aca="false">MAX(0,$H258-$I258)</f>
        <v>1</v>
      </c>
      <c r="K258" s="34" t="str">
        <f aca="false">IF($H258&gt;0,"In Stock","Out of Stock")</f>
        <v>In Stock</v>
      </c>
      <c r="L258" s="24" t="s">
        <v>1857</v>
      </c>
      <c r="M258" s="34" t="s">
        <v>1858</v>
      </c>
      <c r="N258" s="24" t="n">
        <v>2</v>
      </c>
      <c r="O258" s="24" t="n">
        <v>1</v>
      </c>
      <c r="P258" s="24" t="n">
        <v>2</v>
      </c>
      <c r="Q258" s="24" t="str">
        <f aca="false">$L258&amp;"-"&amp;TEXT($N258,"00")&amp;"-"&amp;$O258&amp;"-"&amp;TEXT($P258,"00")</f>
        <v>D-02-1-02</v>
      </c>
      <c r="R258" s="34" t="str">
        <f aca="false">"ZONE "&amp;$L258&amp;" / BAY "&amp;TEXT($N258,"00")&amp;" / SHELF "&amp;$O258&amp;" / BIN "&amp;TEXT($P258,"00")</f>
        <v>ZONE D / BAY 02 / SHELF 1 / BIN 02</v>
      </c>
      <c r="S258" s="34" t="s">
        <v>1843</v>
      </c>
      <c r="T258" s="34" t="s">
        <v>1844</v>
      </c>
      <c r="U258" s="27" t="n">
        <v>257</v>
      </c>
      <c r="V258" s="30" t="n">
        <v>46207</v>
      </c>
      <c r="W258" s="34" t="str">
        <f aca="false">IF($H258&gt;0,"Yes - "&amp;$H258&amp;" in stock at Store 0146 (size "&amp;$G258&amp;"). Back room location "&amp;$Q258&amp;" ("&amp;$R258&amp;"), "&amp;$S258&amp;". Back room "&amp;$J258&amp;" / sales floor "&amp;$I258&amp;".","Not currently in stock at Store 0146 (size "&amp;$G258&amp;"). Home location is "&amp;$Q258&amp;" ("&amp;$R258&amp;") when replenished.")</f>
        <v>Yes - 2 in stock at Store 0146 (size 5Y). Back room location D-02-1-02 (ZONE D / BAY 02 / SHELF 1 / BIN 02), Floor level - no reach. Back room 1 / sales floor 1.</v>
      </c>
    </row>
    <row r="259" customFormat="false" ht="15" hidden="false" customHeight="false" outlineLevel="0" collapsed="false">
      <c r="A259" s="34" t="s">
        <v>669</v>
      </c>
      <c r="B259" s="34" t="s">
        <v>670</v>
      </c>
      <c r="C259" s="34" t="s">
        <v>671</v>
      </c>
      <c r="D259" s="34" t="s">
        <v>123</v>
      </c>
      <c r="E259" s="34" t="s">
        <v>124</v>
      </c>
      <c r="F259" s="34" t="s">
        <v>673</v>
      </c>
      <c r="G259" s="24" t="s">
        <v>363</v>
      </c>
      <c r="H259" s="27" t="n">
        <f aca="false">IFERROR(INDEX('Inventory Master'!$T$2:$T$525,MATCH($A259,'Inventory Master'!$A$2:$A$525,0)),0)</f>
        <v>1</v>
      </c>
      <c r="I259" s="27" t="n">
        <v>0</v>
      </c>
      <c r="J259" s="27" t="n">
        <f aca="false">MAX(0,$H259-$I259)</f>
        <v>1</v>
      </c>
      <c r="K259" s="34" t="str">
        <f aca="false">IF($H259&gt;0,"In Stock","Out of Stock")</f>
        <v>In Stock</v>
      </c>
      <c r="L259" s="24" t="s">
        <v>1857</v>
      </c>
      <c r="M259" s="34" t="s">
        <v>1858</v>
      </c>
      <c r="N259" s="24" t="n">
        <v>2</v>
      </c>
      <c r="O259" s="24" t="n">
        <v>1</v>
      </c>
      <c r="P259" s="24" t="n">
        <v>3</v>
      </c>
      <c r="Q259" s="24" t="str">
        <f aca="false">$L259&amp;"-"&amp;TEXT($N259,"00")&amp;"-"&amp;$O259&amp;"-"&amp;TEXT($P259,"00")</f>
        <v>D-02-1-03</v>
      </c>
      <c r="R259" s="34" t="str">
        <f aca="false">"ZONE "&amp;$L259&amp;" / BAY "&amp;TEXT($N259,"00")&amp;" / SHELF "&amp;$O259&amp;" / BIN "&amp;TEXT($P259,"00")</f>
        <v>ZONE D / BAY 02 / SHELF 1 / BIN 03</v>
      </c>
      <c r="S259" s="34" t="s">
        <v>1843</v>
      </c>
      <c r="T259" s="34" t="s">
        <v>1844</v>
      </c>
      <c r="U259" s="27" t="n">
        <v>258</v>
      </c>
      <c r="V259" s="30" t="n">
        <v>46219</v>
      </c>
      <c r="W259" s="34" t="str">
        <f aca="false">IF($H259&gt;0,"Yes - "&amp;$H259&amp;" in stock at Store 0146 (size "&amp;$G259&amp;"). Back room location "&amp;$Q259&amp;" ("&amp;$R259&amp;"), "&amp;$S259&amp;". Back room "&amp;$J259&amp;" / sales floor "&amp;$I259&amp;".","Not currently in stock at Store 0146 (size "&amp;$G259&amp;"). Home location is "&amp;$Q259&amp;" ("&amp;$R259&amp;") when replenished.")</f>
        <v>Yes - 1 in stock at Store 0146 (size 5.5Y). Back room location D-02-1-03 (ZONE D / BAY 02 / SHELF 1 / BIN 03), Floor level - no reach. Back room 1 / sales floor 0.</v>
      </c>
    </row>
    <row r="260" customFormat="false" ht="15" hidden="false" customHeight="false" outlineLevel="0" collapsed="false">
      <c r="A260" s="34" t="s">
        <v>1697</v>
      </c>
      <c r="B260" s="34" t="s">
        <v>1698</v>
      </c>
      <c r="C260" s="34" t="s">
        <v>671</v>
      </c>
      <c r="D260" s="34" t="s">
        <v>123</v>
      </c>
      <c r="E260" s="34" t="s">
        <v>124</v>
      </c>
      <c r="F260" s="34" t="s">
        <v>673</v>
      </c>
      <c r="G260" s="24" t="s">
        <v>749</v>
      </c>
      <c r="H260" s="27" t="n">
        <f aca="false">IFERROR(INDEX('Inventory Master'!$T$2:$T$525,MATCH($A260,'Inventory Master'!$A$2:$A$525,0)),0)</f>
        <v>0</v>
      </c>
      <c r="I260" s="27" t="n">
        <v>0</v>
      </c>
      <c r="J260" s="27" t="n">
        <f aca="false">MAX(0,$H260-$I260)</f>
        <v>0</v>
      </c>
      <c r="K260" s="34" t="str">
        <f aca="false">IF($H260&gt;0,"In Stock","Out of Stock")</f>
        <v>Out of Stock</v>
      </c>
      <c r="L260" s="24" t="s">
        <v>1857</v>
      </c>
      <c r="M260" s="34" t="s">
        <v>1858</v>
      </c>
      <c r="N260" s="24" t="n">
        <v>2</v>
      </c>
      <c r="O260" s="24" t="n">
        <v>1</v>
      </c>
      <c r="P260" s="24" t="n">
        <v>4</v>
      </c>
      <c r="Q260" s="24" t="str">
        <f aca="false">$L260&amp;"-"&amp;TEXT($N260,"00")&amp;"-"&amp;$O260&amp;"-"&amp;TEXT($P260,"00")</f>
        <v>D-02-1-04</v>
      </c>
      <c r="R260" s="34" t="str">
        <f aca="false">"ZONE "&amp;$L260&amp;" / BAY "&amp;TEXT($N260,"00")&amp;" / SHELF "&amp;$O260&amp;" / BIN "&amp;TEXT($P260,"00")</f>
        <v>ZONE D / BAY 02 / SHELF 1 / BIN 04</v>
      </c>
      <c r="S260" s="34" t="s">
        <v>1843</v>
      </c>
      <c r="T260" s="34" t="s">
        <v>1844</v>
      </c>
      <c r="U260" s="27" t="n">
        <v>259</v>
      </c>
      <c r="V260" s="30" t="n">
        <v>46189</v>
      </c>
      <c r="W260" s="34" t="str">
        <f aca="false">IF($H260&gt;0,"Yes - "&amp;$H260&amp;" in stock at Store 0146 (size "&amp;$G260&amp;"). Back room location "&amp;$Q260&amp;" ("&amp;$R260&amp;"), "&amp;$S260&amp;". Back room "&amp;$J260&amp;" / sales floor "&amp;$I260&amp;".","Not currently in stock at Store 0146 (size "&amp;$G260&amp;"). Home location is "&amp;$Q260&amp;" ("&amp;$R260&amp;") when replenished.")</f>
        <v>Not currently in stock at Store 0146 (size 6Y). Home location is D-02-1-04 (ZONE D / BAY 02 / SHELF 1 / BIN 04) when replenished.</v>
      </c>
    </row>
    <row r="261" customFormat="false" ht="15" hidden="false" customHeight="false" outlineLevel="0" collapsed="false">
      <c r="A261" s="34" t="s">
        <v>1528</v>
      </c>
      <c r="B261" s="34" t="s">
        <v>1529</v>
      </c>
      <c r="C261" s="34" t="s">
        <v>671</v>
      </c>
      <c r="D261" s="34" t="s">
        <v>123</v>
      </c>
      <c r="E261" s="34" t="s">
        <v>124</v>
      </c>
      <c r="F261" s="34" t="s">
        <v>673</v>
      </c>
      <c r="G261" s="24" t="s">
        <v>1317</v>
      </c>
      <c r="H261" s="27" t="n">
        <f aca="false">IFERROR(INDEX('Inventory Master'!$T$2:$T$525,MATCH($A261,'Inventory Master'!$A$2:$A$525,0)),0)</f>
        <v>2</v>
      </c>
      <c r="I261" s="27" t="n">
        <v>2</v>
      </c>
      <c r="J261" s="27" t="n">
        <f aca="false">MAX(0,$H261-$I261)</f>
        <v>0</v>
      </c>
      <c r="K261" s="34" t="str">
        <f aca="false">IF($H261&gt;0,"In Stock","Out of Stock")</f>
        <v>In Stock</v>
      </c>
      <c r="L261" s="24" t="s">
        <v>1857</v>
      </c>
      <c r="M261" s="34" t="s">
        <v>1858</v>
      </c>
      <c r="N261" s="24" t="n">
        <v>2</v>
      </c>
      <c r="O261" s="24" t="n">
        <v>1</v>
      </c>
      <c r="P261" s="24" t="n">
        <v>5</v>
      </c>
      <c r="Q261" s="24" t="str">
        <f aca="false">$L261&amp;"-"&amp;TEXT($N261,"00")&amp;"-"&amp;$O261&amp;"-"&amp;TEXT($P261,"00")</f>
        <v>D-02-1-05</v>
      </c>
      <c r="R261" s="34" t="str">
        <f aca="false">"ZONE "&amp;$L261&amp;" / BAY "&amp;TEXT($N261,"00")&amp;" / SHELF "&amp;$O261&amp;" / BIN "&amp;TEXT($P261,"00")</f>
        <v>ZONE D / BAY 02 / SHELF 1 / BIN 05</v>
      </c>
      <c r="S261" s="34" t="s">
        <v>1843</v>
      </c>
      <c r="T261" s="34" t="s">
        <v>1844</v>
      </c>
      <c r="U261" s="27" t="n">
        <v>260</v>
      </c>
      <c r="V261" s="30" t="n">
        <v>46230</v>
      </c>
      <c r="W261" s="34" t="str">
        <f aca="false">IF($H261&gt;0,"Yes - "&amp;$H261&amp;" in stock at Store 0146 (size "&amp;$G261&amp;"). Back room location "&amp;$Q261&amp;" ("&amp;$R261&amp;"), "&amp;$S261&amp;". Back room "&amp;$J261&amp;" / sales floor "&amp;$I261&amp;".","Not currently in stock at Store 0146 (size "&amp;$G261&amp;"). Home location is "&amp;$Q261&amp;" ("&amp;$R261&amp;") when replenished.")</f>
        <v>Yes - 2 in stock at Store 0146 (size 6.5Y). Back room location D-02-1-05 (ZONE D / BAY 02 / SHELF 1 / BIN 05), Floor level - no reach. Back room 0 / sales floor 2.</v>
      </c>
    </row>
    <row r="262" customFormat="false" ht="15" hidden="false" customHeight="false" outlineLevel="0" collapsed="false">
      <c r="A262" s="34" t="s">
        <v>799</v>
      </c>
      <c r="B262" s="34" t="s">
        <v>800</v>
      </c>
      <c r="C262" s="34" t="s">
        <v>671</v>
      </c>
      <c r="D262" s="34" t="s">
        <v>123</v>
      </c>
      <c r="E262" s="34" t="s">
        <v>124</v>
      </c>
      <c r="F262" s="34" t="s">
        <v>673</v>
      </c>
      <c r="G262" s="24" t="s">
        <v>450</v>
      </c>
      <c r="H262" s="27" t="n">
        <f aca="false">IFERROR(INDEX('Inventory Master'!$T$2:$T$525,MATCH($A262,'Inventory Master'!$A$2:$A$525,0)),0)</f>
        <v>5</v>
      </c>
      <c r="I262" s="27" t="n">
        <v>1</v>
      </c>
      <c r="J262" s="27" t="n">
        <f aca="false">MAX(0,$H262-$I262)</f>
        <v>4</v>
      </c>
      <c r="K262" s="34" t="str">
        <f aca="false">IF($H262&gt;0,"In Stock","Out of Stock")</f>
        <v>In Stock</v>
      </c>
      <c r="L262" s="24" t="s">
        <v>1857</v>
      </c>
      <c r="M262" s="34" t="s">
        <v>1858</v>
      </c>
      <c r="N262" s="24" t="n">
        <v>2</v>
      </c>
      <c r="O262" s="24" t="n">
        <v>1</v>
      </c>
      <c r="P262" s="24" t="n">
        <v>6</v>
      </c>
      <c r="Q262" s="24" t="str">
        <f aca="false">$L262&amp;"-"&amp;TEXT($N262,"00")&amp;"-"&amp;$O262&amp;"-"&amp;TEXT($P262,"00")</f>
        <v>D-02-1-06</v>
      </c>
      <c r="R262" s="34" t="str">
        <f aca="false">"ZONE "&amp;$L262&amp;" / BAY "&amp;TEXT($N262,"00")&amp;" / SHELF "&amp;$O262&amp;" / BIN "&amp;TEXT($P262,"00")</f>
        <v>ZONE D / BAY 02 / SHELF 1 / BIN 06</v>
      </c>
      <c r="S262" s="34" t="s">
        <v>1843</v>
      </c>
      <c r="T262" s="34" t="s">
        <v>1844</v>
      </c>
      <c r="U262" s="27" t="n">
        <v>261</v>
      </c>
      <c r="V262" s="30" t="n">
        <v>46149</v>
      </c>
      <c r="W262" s="34" t="str">
        <f aca="false">IF($H262&gt;0,"Yes - "&amp;$H262&amp;" in stock at Store 0146 (size "&amp;$G262&amp;"). Back room location "&amp;$Q262&amp;" ("&amp;$R262&amp;"), "&amp;$S262&amp;". Back room "&amp;$J262&amp;" / sales floor "&amp;$I262&amp;".","Not currently in stock at Store 0146 (size "&amp;$G262&amp;"). Home location is "&amp;$Q262&amp;" ("&amp;$R262&amp;") when replenished.")</f>
        <v>Yes - 5 in stock at Store 0146 (size 7Y). Back room location D-02-1-06 (ZONE D / BAY 02 / SHELF 1 / BIN 06), Floor level - no reach. Back room 4 / sales floor 1.</v>
      </c>
    </row>
    <row r="263" customFormat="false" ht="15" hidden="false" customHeight="false" outlineLevel="0" collapsed="false">
      <c r="A263" s="34" t="s">
        <v>1225</v>
      </c>
      <c r="B263" s="34" t="s">
        <v>1226</v>
      </c>
      <c r="C263" s="34" t="s">
        <v>786</v>
      </c>
      <c r="D263" s="34" t="s">
        <v>146</v>
      </c>
      <c r="E263" s="34" t="s">
        <v>787</v>
      </c>
      <c r="F263" s="34" t="s">
        <v>789</v>
      </c>
      <c r="G263" s="24" t="s">
        <v>910</v>
      </c>
      <c r="H263" s="27" t="n">
        <f aca="false">IFERROR(INDEX('Inventory Master'!$T$2:$T$525,MATCH($A263,'Inventory Master'!$A$2:$A$525,0)),0)</f>
        <v>3</v>
      </c>
      <c r="I263" s="27" t="n">
        <v>1</v>
      </c>
      <c r="J263" s="27" t="n">
        <f aca="false">MAX(0,$H263-$I263)</f>
        <v>2</v>
      </c>
      <c r="K263" s="34" t="str">
        <f aca="false">IF($H263&gt;0,"In Stock","Out of Stock")</f>
        <v>In Stock</v>
      </c>
      <c r="L263" s="24" t="s">
        <v>1857</v>
      </c>
      <c r="M263" s="34" t="s">
        <v>1858</v>
      </c>
      <c r="N263" s="24" t="n">
        <v>2</v>
      </c>
      <c r="O263" s="24" t="n">
        <v>2</v>
      </c>
      <c r="P263" s="24" t="n">
        <v>1</v>
      </c>
      <c r="Q263" s="24" t="str">
        <f aca="false">$L263&amp;"-"&amp;TEXT($N263,"00")&amp;"-"&amp;$O263&amp;"-"&amp;TEXT($P263,"00")</f>
        <v>D-02-2-01</v>
      </c>
      <c r="R263" s="34" t="str">
        <f aca="false">"ZONE "&amp;$L263&amp;" / BAY "&amp;TEXT($N263,"00")&amp;" / SHELF "&amp;$O263&amp;" / BIN "&amp;TEXT($P263,"00")</f>
        <v>ZONE D / BAY 02 / SHELF 2 / BIN 01</v>
      </c>
      <c r="S263" s="34" t="s">
        <v>1845</v>
      </c>
      <c r="T263" s="34" t="s">
        <v>1844</v>
      </c>
      <c r="U263" s="27" t="n">
        <v>262</v>
      </c>
      <c r="V263" s="30" t="n">
        <v>46145</v>
      </c>
      <c r="W263" s="34" t="str">
        <f aca="false">IF($H263&gt;0,"Yes - "&amp;$H263&amp;" in stock at Store 0146 (size "&amp;$G263&amp;"). Back room location "&amp;$Q263&amp;" ("&amp;$R263&amp;"), "&amp;$S263&amp;". Back room "&amp;$J263&amp;" / sales floor "&amp;$I263&amp;".","Not currently in stock at Store 0146 (size "&amp;$G263&amp;"). Home location is "&amp;$Q263&amp;" ("&amp;$R263&amp;") when replenished.")</f>
        <v>Yes - 3 in stock at Store 0146 (size 3.5Y). Back room location D-02-2-01 (ZONE D / BAY 02 / SHELF 2 / BIN 01), Waist height. Back room 2 / sales floor 1.</v>
      </c>
    </row>
    <row r="264" customFormat="false" ht="15" hidden="false" customHeight="false" outlineLevel="0" collapsed="false">
      <c r="A264" s="34" t="s">
        <v>1466</v>
      </c>
      <c r="B264" s="34" t="s">
        <v>1467</v>
      </c>
      <c r="C264" s="34" t="s">
        <v>786</v>
      </c>
      <c r="D264" s="34" t="s">
        <v>146</v>
      </c>
      <c r="E264" s="34" t="s">
        <v>787</v>
      </c>
      <c r="F264" s="34" t="s">
        <v>789</v>
      </c>
      <c r="G264" s="24" t="s">
        <v>915</v>
      </c>
      <c r="H264" s="27" t="n">
        <f aca="false">IFERROR(INDEX('Inventory Master'!$T$2:$T$525,MATCH($A264,'Inventory Master'!$A$2:$A$525,0)),0)</f>
        <v>6</v>
      </c>
      <c r="I264" s="27" t="n">
        <v>1</v>
      </c>
      <c r="J264" s="27" t="n">
        <f aca="false">MAX(0,$H264-$I264)</f>
        <v>5</v>
      </c>
      <c r="K264" s="34" t="str">
        <f aca="false">IF($H264&gt;0,"In Stock","Out of Stock")</f>
        <v>In Stock</v>
      </c>
      <c r="L264" s="24" t="s">
        <v>1857</v>
      </c>
      <c r="M264" s="34" t="s">
        <v>1858</v>
      </c>
      <c r="N264" s="24" t="n">
        <v>2</v>
      </c>
      <c r="O264" s="24" t="n">
        <v>2</v>
      </c>
      <c r="P264" s="24" t="n">
        <v>2</v>
      </c>
      <c r="Q264" s="24" t="str">
        <f aca="false">$L264&amp;"-"&amp;TEXT($N264,"00")&amp;"-"&amp;$O264&amp;"-"&amp;TEXT($P264,"00")</f>
        <v>D-02-2-02</v>
      </c>
      <c r="R264" s="34" t="str">
        <f aca="false">"ZONE "&amp;$L264&amp;" / BAY "&amp;TEXT($N264,"00")&amp;" / SHELF "&amp;$O264&amp;" / BIN "&amp;TEXT($P264,"00")</f>
        <v>ZONE D / BAY 02 / SHELF 2 / BIN 02</v>
      </c>
      <c r="S264" s="34" t="s">
        <v>1845</v>
      </c>
      <c r="T264" s="34" t="s">
        <v>1844</v>
      </c>
      <c r="U264" s="27" t="n">
        <v>263</v>
      </c>
      <c r="V264" s="30" t="n">
        <v>46164</v>
      </c>
      <c r="W264" s="34" t="str">
        <f aca="false">IF($H264&gt;0,"Yes - "&amp;$H264&amp;" in stock at Store 0146 (size "&amp;$G264&amp;"). Back room location "&amp;$Q264&amp;" ("&amp;$R264&amp;"), "&amp;$S264&amp;". Back room "&amp;$J264&amp;" / sales floor "&amp;$I264&amp;".","Not currently in stock at Store 0146 (size "&amp;$G264&amp;"). Home location is "&amp;$Q264&amp;" ("&amp;$R264&amp;") when replenished.")</f>
        <v>Yes - 6 in stock at Store 0146 (size 4Y). Back room location D-02-2-02 (ZONE D / BAY 02 / SHELF 2 / BIN 02), Waist height. Back room 5 / sales floor 1.</v>
      </c>
    </row>
    <row r="265" customFormat="false" ht="15" hidden="false" customHeight="false" outlineLevel="0" collapsed="false">
      <c r="A265" s="34" t="s">
        <v>1162</v>
      </c>
      <c r="B265" s="34" t="s">
        <v>1163</v>
      </c>
      <c r="C265" s="34" t="s">
        <v>786</v>
      </c>
      <c r="D265" s="34" t="s">
        <v>146</v>
      </c>
      <c r="E265" s="34" t="s">
        <v>787</v>
      </c>
      <c r="F265" s="34" t="s">
        <v>789</v>
      </c>
      <c r="G265" s="24" t="s">
        <v>237</v>
      </c>
      <c r="H265" s="27" t="n">
        <f aca="false">IFERROR(INDEX('Inventory Master'!$T$2:$T$525,MATCH($A265,'Inventory Master'!$A$2:$A$525,0)),0)</f>
        <v>3</v>
      </c>
      <c r="I265" s="27" t="n">
        <v>1</v>
      </c>
      <c r="J265" s="27" t="n">
        <f aca="false">MAX(0,$H265-$I265)</f>
        <v>2</v>
      </c>
      <c r="K265" s="34" t="str">
        <f aca="false">IF($H265&gt;0,"In Stock","Out of Stock")</f>
        <v>In Stock</v>
      </c>
      <c r="L265" s="24" t="s">
        <v>1857</v>
      </c>
      <c r="M265" s="34" t="s">
        <v>1858</v>
      </c>
      <c r="N265" s="24" t="n">
        <v>2</v>
      </c>
      <c r="O265" s="24" t="n">
        <v>2</v>
      </c>
      <c r="P265" s="24" t="n">
        <v>3</v>
      </c>
      <c r="Q265" s="24" t="str">
        <f aca="false">$L265&amp;"-"&amp;TEXT($N265,"00")&amp;"-"&amp;$O265&amp;"-"&amp;TEXT($P265,"00")</f>
        <v>D-02-2-03</v>
      </c>
      <c r="R265" s="34" t="str">
        <f aca="false">"ZONE "&amp;$L265&amp;" / BAY "&amp;TEXT($N265,"00")&amp;" / SHELF "&amp;$O265&amp;" / BIN "&amp;TEXT($P265,"00")</f>
        <v>ZONE D / BAY 02 / SHELF 2 / BIN 03</v>
      </c>
      <c r="S265" s="34" t="s">
        <v>1845</v>
      </c>
      <c r="T265" s="34" t="s">
        <v>1844</v>
      </c>
      <c r="U265" s="27" t="n">
        <v>264</v>
      </c>
      <c r="V265" s="30" t="n">
        <v>46195</v>
      </c>
      <c r="W265" s="34" t="str">
        <f aca="false">IF($H265&gt;0,"Yes - "&amp;$H265&amp;" in stock at Store 0146 (size "&amp;$G265&amp;"). Back room location "&amp;$Q265&amp;" ("&amp;$R265&amp;"), "&amp;$S265&amp;". Back room "&amp;$J265&amp;" / sales floor "&amp;$I265&amp;".","Not currently in stock at Store 0146 (size "&amp;$G265&amp;"). Home location is "&amp;$Q265&amp;" ("&amp;$R265&amp;") when replenished.")</f>
        <v>Yes - 3 in stock at Store 0146 (size 4.5Y). Back room location D-02-2-03 (ZONE D / BAY 02 / SHELF 2 / BIN 03), Waist height. Back room 2 / sales floor 1.</v>
      </c>
    </row>
    <row r="266" customFormat="false" ht="15" hidden="false" customHeight="false" outlineLevel="0" collapsed="false">
      <c r="A266" s="34" t="s">
        <v>1805</v>
      </c>
      <c r="B266" s="34" t="s">
        <v>1806</v>
      </c>
      <c r="C266" s="34" t="s">
        <v>786</v>
      </c>
      <c r="D266" s="34" t="s">
        <v>146</v>
      </c>
      <c r="E266" s="34" t="s">
        <v>787</v>
      </c>
      <c r="F266" s="34" t="s">
        <v>789</v>
      </c>
      <c r="G266" s="24" t="s">
        <v>152</v>
      </c>
      <c r="H266" s="27" t="n">
        <f aca="false">IFERROR(INDEX('Inventory Master'!$T$2:$T$525,MATCH($A266,'Inventory Master'!$A$2:$A$525,0)),0)</f>
        <v>2</v>
      </c>
      <c r="I266" s="27" t="n">
        <v>2</v>
      </c>
      <c r="J266" s="27" t="n">
        <f aca="false">MAX(0,$H266-$I266)</f>
        <v>0</v>
      </c>
      <c r="K266" s="34" t="str">
        <f aca="false">IF($H266&gt;0,"In Stock","Out of Stock")</f>
        <v>In Stock</v>
      </c>
      <c r="L266" s="24" t="s">
        <v>1857</v>
      </c>
      <c r="M266" s="34" t="s">
        <v>1858</v>
      </c>
      <c r="N266" s="24" t="n">
        <v>2</v>
      </c>
      <c r="O266" s="24" t="n">
        <v>2</v>
      </c>
      <c r="P266" s="24" t="n">
        <v>4</v>
      </c>
      <c r="Q266" s="24" t="str">
        <f aca="false">$L266&amp;"-"&amp;TEXT($N266,"00")&amp;"-"&amp;$O266&amp;"-"&amp;TEXT($P266,"00")</f>
        <v>D-02-2-04</v>
      </c>
      <c r="R266" s="34" t="str">
        <f aca="false">"ZONE "&amp;$L266&amp;" / BAY "&amp;TEXT($N266,"00")&amp;" / SHELF "&amp;$O266&amp;" / BIN "&amp;TEXT($P266,"00")</f>
        <v>ZONE D / BAY 02 / SHELF 2 / BIN 04</v>
      </c>
      <c r="S266" s="34" t="s">
        <v>1845</v>
      </c>
      <c r="T266" s="34" t="s">
        <v>1844</v>
      </c>
      <c r="U266" s="27" t="n">
        <v>265</v>
      </c>
      <c r="V266" s="30" t="n">
        <v>46153</v>
      </c>
      <c r="W266" s="34" t="str">
        <f aca="false">IF($H266&gt;0,"Yes - "&amp;$H266&amp;" in stock at Store 0146 (size "&amp;$G266&amp;"). Back room location "&amp;$Q266&amp;" ("&amp;$R266&amp;"), "&amp;$S266&amp;". Back room "&amp;$J266&amp;" / sales floor "&amp;$I266&amp;".","Not currently in stock at Store 0146 (size "&amp;$G266&amp;"). Home location is "&amp;$Q266&amp;" ("&amp;$R266&amp;") when replenished.")</f>
        <v>Yes - 2 in stock at Store 0146 (size 5Y). Back room location D-02-2-04 (ZONE D / BAY 02 / SHELF 2 / BIN 04), Waist height. Back room 0 / sales floor 2.</v>
      </c>
    </row>
    <row r="267" customFormat="false" ht="15" hidden="false" customHeight="false" outlineLevel="0" collapsed="false">
      <c r="A267" s="34" t="s">
        <v>784</v>
      </c>
      <c r="B267" s="34" t="s">
        <v>785</v>
      </c>
      <c r="C267" s="34" t="s">
        <v>786</v>
      </c>
      <c r="D267" s="34" t="s">
        <v>146</v>
      </c>
      <c r="E267" s="34" t="s">
        <v>787</v>
      </c>
      <c r="F267" s="34" t="s">
        <v>789</v>
      </c>
      <c r="G267" s="24" t="s">
        <v>363</v>
      </c>
      <c r="H267" s="27" t="n">
        <f aca="false">IFERROR(INDEX('Inventory Master'!$T$2:$T$525,MATCH($A267,'Inventory Master'!$A$2:$A$525,0)),0)</f>
        <v>2</v>
      </c>
      <c r="I267" s="27" t="n">
        <v>1</v>
      </c>
      <c r="J267" s="27" t="n">
        <f aca="false">MAX(0,$H267-$I267)</f>
        <v>1</v>
      </c>
      <c r="K267" s="34" t="str">
        <f aca="false">IF($H267&gt;0,"In Stock","Out of Stock")</f>
        <v>In Stock</v>
      </c>
      <c r="L267" s="24" t="s">
        <v>1857</v>
      </c>
      <c r="M267" s="34" t="s">
        <v>1858</v>
      </c>
      <c r="N267" s="24" t="n">
        <v>2</v>
      </c>
      <c r="O267" s="24" t="n">
        <v>2</v>
      </c>
      <c r="P267" s="24" t="n">
        <v>5</v>
      </c>
      <c r="Q267" s="24" t="str">
        <f aca="false">$L267&amp;"-"&amp;TEXT($N267,"00")&amp;"-"&amp;$O267&amp;"-"&amp;TEXT($P267,"00")</f>
        <v>D-02-2-05</v>
      </c>
      <c r="R267" s="34" t="str">
        <f aca="false">"ZONE "&amp;$L267&amp;" / BAY "&amp;TEXT($N267,"00")&amp;" / SHELF "&amp;$O267&amp;" / BIN "&amp;TEXT($P267,"00")</f>
        <v>ZONE D / BAY 02 / SHELF 2 / BIN 05</v>
      </c>
      <c r="S267" s="34" t="s">
        <v>1845</v>
      </c>
      <c r="T267" s="34" t="s">
        <v>1844</v>
      </c>
      <c r="U267" s="27" t="n">
        <v>266</v>
      </c>
      <c r="V267" s="30" t="n">
        <v>46215</v>
      </c>
      <c r="W267" s="34" t="str">
        <f aca="false">IF($H267&gt;0,"Yes - "&amp;$H267&amp;" in stock at Store 0146 (size "&amp;$G267&amp;"). Back room location "&amp;$Q267&amp;" ("&amp;$R267&amp;"), "&amp;$S267&amp;". Back room "&amp;$J267&amp;" / sales floor "&amp;$I267&amp;".","Not currently in stock at Store 0146 (size "&amp;$G267&amp;"). Home location is "&amp;$Q267&amp;" ("&amp;$R267&amp;") when replenished.")</f>
        <v>Yes - 2 in stock at Store 0146 (size 5.5Y). Back room location D-02-2-05 (ZONE D / BAY 02 / SHELF 2 / BIN 05), Waist height. Back room 1 / sales floor 1.</v>
      </c>
    </row>
    <row r="268" customFormat="false" ht="15" hidden="false" customHeight="false" outlineLevel="0" collapsed="false">
      <c r="A268" s="34" t="s">
        <v>1713</v>
      </c>
      <c r="B268" s="34" t="s">
        <v>1714</v>
      </c>
      <c r="C268" s="34" t="s">
        <v>786</v>
      </c>
      <c r="D268" s="34" t="s">
        <v>146</v>
      </c>
      <c r="E268" s="34" t="s">
        <v>787</v>
      </c>
      <c r="F268" s="34" t="s">
        <v>789</v>
      </c>
      <c r="G268" s="24" t="s">
        <v>749</v>
      </c>
      <c r="H268" s="27" t="n">
        <f aca="false">IFERROR(INDEX('Inventory Master'!$T$2:$T$525,MATCH($A268,'Inventory Master'!$A$2:$A$525,0)),0)</f>
        <v>7</v>
      </c>
      <c r="I268" s="27" t="n">
        <v>1</v>
      </c>
      <c r="J268" s="27" t="n">
        <f aca="false">MAX(0,$H268-$I268)</f>
        <v>6</v>
      </c>
      <c r="K268" s="34" t="str">
        <f aca="false">IF($H268&gt;0,"In Stock","Out of Stock")</f>
        <v>In Stock</v>
      </c>
      <c r="L268" s="24" t="s">
        <v>1857</v>
      </c>
      <c r="M268" s="34" t="s">
        <v>1858</v>
      </c>
      <c r="N268" s="24" t="n">
        <v>2</v>
      </c>
      <c r="O268" s="24" t="n">
        <v>2</v>
      </c>
      <c r="P268" s="24" t="n">
        <v>6</v>
      </c>
      <c r="Q268" s="24" t="str">
        <f aca="false">$L268&amp;"-"&amp;TEXT($N268,"00")&amp;"-"&amp;$O268&amp;"-"&amp;TEXT($P268,"00")</f>
        <v>D-02-2-06</v>
      </c>
      <c r="R268" s="34" t="str">
        <f aca="false">"ZONE "&amp;$L268&amp;" / BAY "&amp;TEXT($N268,"00")&amp;" / SHELF "&amp;$O268&amp;" / BIN "&amp;TEXT($P268,"00")</f>
        <v>ZONE D / BAY 02 / SHELF 2 / BIN 06</v>
      </c>
      <c r="S268" s="34" t="s">
        <v>1845</v>
      </c>
      <c r="T268" s="34" t="s">
        <v>1859</v>
      </c>
      <c r="U268" s="27" t="n">
        <v>267</v>
      </c>
      <c r="V268" s="30" t="n">
        <v>46151</v>
      </c>
      <c r="W268" s="34" t="str">
        <f aca="false">IF($H268&gt;0,"Yes - "&amp;$H268&amp;" in stock at Store 0146 (size "&amp;$G268&amp;"). Back room location "&amp;$Q268&amp;" ("&amp;$R268&amp;"), "&amp;$S268&amp;". Back room "&amp;$J268&amp;" / sales floor "&amp;$I268&amp;".","Not currently in stock at Store 0146 (size "&amp;$G268&amp;"). Home location is "&amp;$Q268&amp;" ("&amp;$R268&amp;") when replenished.")</f>
        <v>Yes - 7 in stock at Store 0146 (size 6Y). Back room location D-02-2-06 (ZONE D / BAY 02 / SHELF 2 / BIN 06), Waist height. Back room 6 / sales floor 1.</v>
      </c>
    </row>
    <row r="269" customFormat="false" ht="15" hidden="false" customHeight="false" outlineLevel="0" collapsed="false">
      <c r="A269" s="34" t="s">
        <v>1158</v>
      </c>
      <c r="B269" s="34" t="s">
        <v>1159</v>
      </c>
      <c r="C269" s="34" t="s">
        <v>396</v>
      </c>
      <c r="D269" s="34" t="s">
        <v>107</v>
      </c>
      <c r="E269" s="34" t="s">
        <v>397</v>
      </c>
      <c r="F269" s="34" t="s">
        <v>399</v>
      </c>
      <c r="G269" s="24" t="s">
        <v>876</v>
      </c>
      <c r="H269" s="27" t="n">
        <f aca="false">IFERROR(INDEX('Inventory Master'!$T$2:$T$525,MATCH($A269,'Inventory Master'!$A$2:$A$525,0)),0)</f>
        <v>3</v>
      </c>
      <c r="I269" s="27" t="n">
        <v>0</v>
      </c>
      <c r="J269" s="27" t="n">
        <f aca="false">MAX(0,$H269-$I269)</f>
        <v>3</v>
      </c>
      <c r="K269" s="34" t="str">
        <f aca="false">IF($H269&gt;0,"In Stock","Out of Stock")</f>
        <v>In Stock</v>
      </c>
      <c r="L269" s="24" t="s">
        <v>1857</v>
      </c>
      <c r="M269" s="34" t="s">
        <v>1858</v>
      </c>
      <c r="N269" s="24" t="n">
        <v>2</v>
      </c>
      <c r="O269" s="24" t="n">
        <v>3</v>
      </c>
      <c r="P269" s="24" t="n">
        <v>1</v>
      </c>
      <c r="Q269" s="24" t="str">
        <f aca="false">$L269&amp;"-"&amp;TEXT($N269,"00")&amp;"-"&amp;$O269&amp;"-"&amp;TEXT($P269,"00")</f>
        <v>D-02-3-01</v>
      </c>
      <c r="R269" s="34" t="str">
        <f aca="false">"ZONE "&amp;$L269&amp;" / BAY "&amp;TEXT($N269,"00")&amp;" / SHELF "&amp;$O269&amp;" / BIN "&amp;TEXT($P269,"00")</f>
        <v>ZONE D / BAY 02 / SHELF 3 / BIN 01</v>
      </c>
      <c r="S269" s="34" t="s">
        <v>1846</v>
      </c>
      <c r="T269" s="34" t="s">
        <v>1844</v>
      </c>
      <c r="U269" s="27" t="n">
        <v>268</v>
      </c>
      <c r="V269" s="30" t="n">
        <v>46220</v>
      </c>
      <c r="W269" s="34" t="str">
        <f aca="false">IF($H269&gt;0,"Yes - "&amp;$H269&amp;" in stock at Store 0146 (size "&amp;$G269&amp;"). Back room location "&amp;$Q269&amp;" ("&amp;$R269&amp;"), "&amp;$S269&amp;". Back room "&amp;$J269&amp;" / sales floor "&amp;$I269&amp;".","Not currently in stock at Store 0146 (size "&amp;$G269&amp;"). Home location is "&amp;$Q269&amp;" ("&amp;$R269&amp;") when replenished.")</f>
        <v>Yes - 3 in stock at Store 0146 (size 11C). Back room location D-02-3-01 (ZONE D / BAY 02 / SHELF 3 / BIN 01), Eye level. Back room 3 / sales floor 0.</v>
      </c>
    </row>
    <row r="270" customFormat="false" ht="15" hidden="false" customHeight="false" outlineLevel="0" collapsed="false">
      <c r="A270" s="34" t="s">
        <v>1392</v>
      </c>
      <c r="B270" s="34" t="s">
        <v>1393</v>
      </c>
      <c r="C270" s="34" t="s">
        <v>396</v>
      </c>
      <c r="D270" s="34" t="s">
        <v>107</v>
      </c>
      <c r="E270" s="34" t="s">
        <v>397</v>
      </c>
      <c r="F270" s="34" t="s">
        <v>399</v>
      </c>
      <c r="G270" s="24" t="s">
        <v>633</v>
      </c>
      <c r="H270" s="27" t="n">
        <f aca="false">IFERROR(INDEX('Inventory Master'!$T$2:$T$525,MATCH($A270,'Inventory Master'!$A$2:$A$525,0)),0)</f>
        <v>7</v>
      </c>
      <c r="I270" s="27" t="n">
        <v>0</v>
      </c>
      <c r="J270" s="27" t="n">
        <f aca="false">MAX(0,$H270-$I270)</f>
        <v>7</v>
      </c>
      <c r="K270" s="34" t="str">
        <f aca="false">IF($H270&gt;0,"In Stock","Out of Stock")</f>
        <v>In Stock</v>
      </c>
      <c r="L270" s="24" t="s">
        <v>1857</v>
      </c>
      <c r="M270" s="34" t="s">
        <v>1858</v>
      </c>
      <c r="N270" s="24" t="n">
        <v>2</v>
      </c>
      <c r="O270" s="24" t="n">
        <v>3</v>
      </c>
      <c r="P270" s="24" t="n">
        <v>2</v>
      </c>
      <c r="Q270" s="24" t="str">
        <f aca="false">$L270&amp;"-"&amp;TEXT($N270,"00")&amp;"-"&amp;$O270&amp;"-"&amp;TEXT($P270,"00")</f>
        <v>D-02-3-02</v>
      </c>
      <c r="R270" s="34" t="str">
        <f aca="false">"ZONE "&amp;$L270&amp;" / BAY "&amp;TEXT($N270,"00")&amp;" / SHELF "&amp;$O270&amp;" / BIN "&amp;TEXT($P270,"00")</f>
        <v>ZONE D / BAY 02 / SHELF 3 / BIN 02</v>
      </c>
      <c r="S270" s="34" t="s">
        <v>1846</v>
      </c>
      <c r="T270" s="34" t="s">
        <v>1860</v>
      </c>
      <c r="U270" s="27" t="n">
        <v>269</v>
      </c>
      <c r="V270" s="30" t="n">
        <v>46152</v>
      </c>
      <c r="W270" s="34" t="str">
        <f aca="false">IF($H270&gt;0,"Yes - "&amp;$H270&amp;" in stock at Store 0146 (size "&amp;$G270&amp;"). Back room location "&amp;$Q270&amp;" ("&amp;$R270&amp;"), "&amp;$S270&amp;". Back room "&amp;$J270&amp;" / sales floor "&amp;$I270&amp;".","Not currently in stock at Store 0146 (size "&amp;$G270&amp;"). Home location is "&amp;$Q270&amp;" ("&amp;$R270&amp;") when replenished.")</f>
        <v>Yes - 7 in stock at Store 0146 (size 12C). Back room location D-02-3-02 (ZONE D / BAY 02 / SHELF 3 / BIN 02), Eye level. Back room 7 / sales floor 0.</v>
      </c>
    </row>
    <row r="271" customFormat="false" ht="15" hidden="false" customHeight="false" outlineLevel="0" collapsed="false">
      <c r="A271" s="34" t="s">
        <v>1269</v>
      </c>
      <c r="B271" s="34" t="s">
        <v>1270</v>
      </c>
      <c r="C271" s="34" t="s">
        <v>396</v>
      </c>
      <c r="D271" s="34" t="s">
        <v>107</v>
      </c>
      <c r="E271" s="34" t="s">
        <v>397</v>
      </c>
      <c r="F271" s="34" t="s">
        <v>399</v>
      </c>
      <c r="G271" s="24" t="s">
        <v>810</v>
      </c>
      <c r="H271" s="27" t="n">
        <f aca="false">IFERROR(INDEX('Inventory Master'!$T$2:$T$525,MATCH($A271,'Inventory Master'!$A$2:$A$525,0)),0)</f>
        <v>6</v>
      </c>
      <c r="I271" s="27" t="n">
        <v>2</v>
      </c>
      <c r="J271" s="27" t="n">
        <f aca="false">MAX(0,$H271-$I271)</f>
        <v>4</v>
      </c>
      <c r="K271" s="34" t="str">
        <f aca="false">IF($H271&gt;0,"In Stock","Out of Stock")</f>
        <v>In Stock</v>
      </c>
      <c r="L271" s="24" t="s">
        <v>1857</v>
      </c>
      <c r="M271" s="34" t="s">
        <v>1858</v>
      </c>
      <c r="N271" s="24" t="n">
        <v>2</v>
      </c>
      <c r="O271" s="24" t="n">
        <v>3</v>
      </c>
      <c r="P271" s="24" t="n">
        <v>3</v>
      </c>
      <c r="Q271" s="24" t="str">
        <f aca="false">$L271&amp;"-"&amp;TEXT($N271,"00")&amp;"-"&amp;$O271&amp;"-"&amp;TEXT($P271,"00")</f>
        <v>D-02-3-03</v>
      </c>
      <c r="R271" s="34" t="str">
        <f aca="false">"ZONE "&amp;$L271&amp;" / BAY "&amp;TEXT($N271,"00")&amp;" / SHELF "&amp;$O271&amp;" / BIN "&amp;TEXT($P271,"00")</f>
        <v>ZONE D / BAY 02 / SHELF 3 / BIN 03</v>
      </c>
      <c r="S271" s="34" t="s">
        <v>1846</v>
      </c>
      <c r="T271" s="34" t="s">
        <v>1844</v>
      </c>
      <c r="U271" s="27" t="n">
        <v>270</v>
      </c>
      <c r="V271" s="30" t="n">
        <v>46152</v>
      </c>
      <c r="W271" s="34" t="str">
        <f aca="false">IF($H271&gt;0,"Yes - "&amp;$H271&amp;" in stock at Store 0146 (size "&amp;$G271&amp;"). Back room location "&amp;$Q271&amp;" ("&amp;$R271&amp;"), "&amp;$S271&amp;". Back room "&amp;$J271&amp;" / sales floor "&amp;$I271&amp;".","Not currently in stock at Store 0146 (size "&amp;$G271&amp;"). Home location is "&amp;$Q271&amp;" ("&amp;$R271&amp;") when replenished.")</f>
        <v>Yes - 6 in stock at Store 0146 (size 13C). Back room location D-02-3-03 (ZONE D / BAY 02 / SHELF 3 / BIN 03), Eye level. Back room 4 / sales floor 2.</v>
      </c>
    </row>
    <row r="272" customFormat="false" ht="15" hidden="false" customHeight="false" outlineLevel="0" collapsed="false">
      <c r="A272" s="34" t="s">
        <v>1611</v>
      </c>
      <c r="B272" s="34" t="s">
        <v>1612</v>
      </c>
      <c r="C272" s="34" t="s">
        <v>396</v>
      </c>
      <c r="D272" s="34" t="s">
        <v>107</v>
      </c>
      <c r="E272" s="34" t="s">
        <v>397</v>
      </c>
      <c r="F272" s="34" t="s">
        <v>399</v>
      </c>
      <c r="G272" s="24" t="s">
        <v>1145</v>
      </c>
      <c r="H272" s="27" t="n">
        <f aca="false">IFERROR(INDEX('Inventory Master'!$T$2:$T$525,MATCH($A272,'Inventory Master'!$A$2:$A$525,0)),0)</f>
        <v>4</v>
      </c>
      <c r="I272" s="27" t="n">
        <v>2</v>
      </c>
      <c r="J272" s="27" t="n">
        <f aca="false">MAX(0,$H272-$I272)</f>
        <v>2</v>
      </c>
      <c r="K272" s="34" t="str">
        <f aca="false">IF($H272&gt;0,"In Stock","Out of Stock")</f>
        <v>In Stock</v>
      </c>
      <c r="L272" s="24" t="s">
        <v>1857</v>
      </c>
      <c r="M272" s="34" t="s">
        <v>1858</v>
      </c>
      <c r="N272" s="24" t="n">
        <v>2</v>
      </c>
      <c r="O272" s="24" t="n">
        <v>3</v>
      </c>
      <c r="P272" s="24" t="n">
        <v>4</v>
      </c>
      <c r="Q272" s="24" t="str">
        <f aca="false">$L272&amp;"-"&amp;TEXT($N272,"00")&amp;"-"&amp;$O272&amp;"-"&amp;TEXT($P272,"00")</f>
        <v>D-02-3-04</v>
      </c>
      <c r="R272" s="34" t="str">
        <f aca="false">"ZONE "&amp;$L272&amp;" / BAY "&amp;TEXT($N272,"00")&amp;" / SHELF "&amp;$O272&amp;" / BIN "&amp;TEXT($P272,"00")</f>
        <v>ZONE D / BAY 02 / SHELF 3 / BIN 04</v>
      </c>
      <c r="S272" s="34" t="s">
        <v>1846</v>
      </c>
      <c r="T272" s="34" t="s">
        <v>1844</v>
      </c>
      <c r="U272" s="27" t="n">
        <v>271</v>
      </c>
      <c r="V272" s="30" t="n">
        <v>46196</v>
      </c>
      <c r="W272" s="34" t="str">
        <f aca="false">IF($H272&gt;0,"Yes - "&amp;$H272&amp;" in stock at Store 0146 (size "&amp;$G272&amp;"). Back room location "&amp;$Q272&amp;" ("&amp;$R272&amp;"), "&amp;$S272&amp;". Back room "&amp;$J272&amp;" / sales floor "&amp;$I272&amp;".","Not currently in stock at Store 0146 (size "&amp;$G272&amp;"). Home location is "&amp;$Q272&amp;" ("&amp;$R272&amp;") when replenished.")</f>
        <v>Yes - 4 in stock at Store 0146 (size 1Y). Back room location D-02-3-04 (ZONE D / BAY 02 / SHELF 3 / BIN 04), Eye level. Back room 2 / sales floor 2.</v>
      </c>
    </row>
    <row r="273" customFormat="false" ht="15" hidden="false" customHeight="false" outlineLevel="0" collapsed="false">
      <c r="A273" s="34" t="s">
        <v>1037</v>
      </c>
      <c r="B273" s="34" t="s">
        <v>1038</v>
      </c>
      <c r="C273" s="34" t="s">
        <v>396</v>
      </c>
      <c r="D273" s="34" t="s">
        <v>107</v>
      </c>
      <c r="E273" s="34" t="s">
        <v>397</v>
      </c>
      <c r="F273" s="34" t="s">
        <v>399</v>
      </c>
      <c r="G273" s="24" t="s">
        <v>201</v>
      </c>
      <c r="H273" s="27" t="n">
        <f aca="false">IFERROR(INDEX('Inventory Master'!$T$2:$T$525,MATCH($A273,'Inventory Master'!$A$2:$A$525,0)),0)</f>
        <v>0</v>
      </c>
      <c r="I273" s="27" t="n">
        <v>0</v>
      </c>
      <c r="J273" s="27" t="n">
        <f aca="false">MAX(0,$H273-$I273)</f>
        <v>0</v>
      </c>
      <c r="K273" s="34" t="str">
        <f aca="false">IF($H273&gt;0,"In Stock","Out of Stock")</f>
        <v>Out of Stock</v>
      </c>
      <c r="L273" s="24" t="s">
        <v>1857</v>
      </c>
      <c r="M273" s="34" t="s">
        <v>1858</v>
      </c>
      <c r="N273" s="24" t="n">
        <v>2</v>
      </c>
      <c r="O273" s="24" t="n">
        <v>3</v>
      </c>
      <c r="P273" s="24" t="n">
        <v>5</v>
      </c>
      <c r="Q273" s="24" t="str">
        <f aca="false">$L273&amp;"-"&amp;TEXT($N273,"00")&amp;"-"&amp;$O273&amp;"-"&amp;TEXT($P273,"00")</f>
        <v>D-02-3-05</v>
      </c>
      <c r="R273" s="34" t="str">
        <f aca="false">"ZONE "&amp;$L273&amp;" / BAY "&amp;TEXT($N273,"00")&amp;" / SHELF "&amp;$O273&amp;" / BIN "&amp;TEXT($P273,"00")</f>
        <v>ZONE D / BAY 02 / SHELF 3 / BIN 05</v>
      </c>
      <c r="S273" s="34" t="s">
        <v>1846</v>
      </c>
      <c r="T273" s="34" t="s">
        <v>1844</v>
      </c>
      <c r="U273" s="27" t="n">
        <v>272</v>
      </c>
      <c r="V273" s="30" t="n">
        <v>46136</v>
      </c>
      <c r="W273" s="34" t="str">
        <f aca="false">IF($H273&gt;0,"Yes - "&amp;$H273&amp;" in stock at Store 0146 (size "&amp;$G273&amp;"). Back room location "&amp;$Q273&amp;" ("&amp;$R273&amp;"), "&amp;$S273&amp;". Back room "&amp;$J273&amp;" / sales floor "&amp;$I273&amp;".","Not currently in stock at Store 0146 (size "&amp;$G273&amp;"). Home location is "&amp;$Q273&amp;" ("&amp;$R273&amp;") when replenished.")</f>
        <v>Not currently in stock at Store 0146 (size 2Y). Home location is D-02-3-05 (ZONE D / BAY 02 / SHELF 3 / BIN 05) when replenished.</v>
      </c>
    </row>
    <row r="274" customFormat="false" ht="15" hidden="false" customHeight="false" outlineLevel="0" collapsed="false">
      <c r="A274" s="34" t="s">
        <v>394</v>
      </c>
      <c r="B274" s="34" t="s">
        <v>395</v>
      </c>
      <c r="C274" s="34" t="s">
        <v>396</v>
      </c>
      <c r="D274" s="34" t="s">
        <v>107</v>
      </c>
      <c r="E274" s="34" t="s">
        <v>397</v>
      </c>
      <c r="F274" s="34" t="s">
        <v>399</v>
      </c>
      <c r="G274" s="24" t="s">
        <v>401</v>
      </c>
      <c r="H274" s="27" t="n">
        <f aca="false">IFERROR(INDEX('Inventory Master'!$T$2:$T$525,MATCH($A274,'Inventory Master'!$A$2:$A$525,0)),0)</f>
        <v>0</v>
      </c>
      <c r="I274" s="27" t="n">
        <v>0</v>
      </c>
      <c r="J274" s="27" t="n">
        <f aca="false">MAX(0,$H274-$I274)</f>
        <v>0</v>
      </c>
      <c r="K274" s="34" t="str">
        <f aca="false">IF($H274&gt;0,"In Stock","Out of Stock")</f>
        <v>Out of Stock</v>
      </c>
      <c r="L274" s="24" t="s">
        <v>1857</v>
      </c>
      <c r="M274" s="34" t="s">
        <v>1858</v>
      </c>
      <c r="N274" s="24" t="n">
        <v>2</v>
      </c>
      <c r="O274" s="24" t="n">
        <v>3</v>
      </c>
      <c r="P274" s="24" t="n">
        <v>6</v>
      </c>
      <c r="Q274" s="24" t="str">
        <f aca="false">$L274&amp;"-"&amp;TEXT($N274,"00")&amp;"-"&amp;$O274&amp;"-"&amp;TEXT($P274,"00")</f>
        <v>D-02-3-06</v>
      </c>
      <c r="R274" s="34" t="str">
        <f aca="false">"ZONE "&amp;$L274&amp;" / BAY "&amp;TEXT($N274,"00")&amp;" / SHELF "&amp;$O274&amp;" / BIN "&amp;TEXT($P274,"00")</f>
        <v>ZONE D / BAY 02 / SHELF 3 / BIN 06</v>
      </c>
      <c r="S274" s="34" t="s">
        <v>1846</v>
      </c>
      <c r="T274" s="34" t="s">
        <v>1844</v>
      </c>
      <c r="U274" s="27" t="n">
        <v>273</v>
      </c>
      <c r="V274" s="30" t="n">
        <v>46211</v>
      </c>
      <c r="W274" s="34" t="str">
        <f aca="false">IF($H274&gt;0,"Yes - "&amp;$H274&amp;" in stock at Store 0146 (size "&amp;$G274&amp;"). Back room location "&amp;$Q274&amp;" ("&amp;$R274&amp;"), "&amp;$S274&amp;". Back room "&amp;$J274&amp;" / sales floor "&amp;$I274&amp;".","Not currently in stock at Store 0146 (size "&amp;$G274&amp;"). Home location is "&amp;$Q274&amp;" ("&amp;$R274&amp;") when replenished.")</f>
        <v>Not currently in stock at Store 0146 (size 3Y). Home location is D-02-3-06 (ZONE D / BAY 02 / SHELF 3 / BIN 06) when replenished.</v>
      </c>
    </row>
    <row r="275" customFormat="false" ht="15" hidden="false" customHeight="false" outlineLevel="0" collapsed="false">
      <c r="A275" s="34" t="s">
        <v>1538</v>
      </c>
      <c r="B275" s="34" t="s">
        <v>1539</v>
      </c>
      <c r="C275" s="34" t="s">
        <v>722</v>
      </c>
      <c r="D275" s="34" t="s">
        <v>107</v>
      </c>
      <c r="E275" s="34" t="s">
        <v>723</v>
      </c>
      <c r="F275" s="34" t="s">
        <v>725</v>
      </c>
      <c r="G275" s="24" t="s">
        <v>237</v>
      </c>
      <c r="H275" s="27" t="n">
        <f aca="false">IFERROR(INDEX('Inventory Master'!$T$2:$T$525,MATCH($A275,'Inventory Master'!$A$2:$A$525,0)),0)</f>
        <v>5</v>
      </c>
      <c r="I275" s="27" t="n">
        <v>2</v>
      </c>
      <c r="J275" s="27" t="n">
        <f aca="false">MAX(0,$H275-$I275)</f>
        <v>3</v>
      </c>
      <c r="K275" s="34" t="str">
        <f aca="false">IF($H275&gt;0,"In Stock","Out of Stock")</f>
        <v>In Stock</v>
      </c>
      <c r="L275" s="24" t="s">
        <v>1857</v>
      </c>
      <c r="M275" s="34" t="s">
        <v>1858</v>
      </c>
      <c r="N275" s="24" t="n">
        <v>2</v>
      </c>
      <c r="O275" s="24" t="n">
        <v>4</v>
      </c>
      <c r="P275" s="24" t="n">
        <v>1</v>
      </c>
      <c r="Q275" s="24" t="str">
        <f aca="false">$L275&amp;"-"&amp;TEXT($N275,"00")&amp;"-"&amp;$O275&amp;"-"&amp;TEXT($P275,"00")</f>
        <v>D-02-4-01</v>
      </c>
      <c r="R275" s="34" t="str">
        <f aca="false">"ZONE "&amp;$L275&amp;" / BAY "&amp;TEXT($N275,"00")&amp;" / SHELF "&amp;$O275&amp;" / BIN "&amp;TEXT($P275,"00")</f>
        <v>ZONE D / BAY 02 / SHELF 4 / BIN 01</v>
      </c>
      <c r="S275" s="34" t="s">
        <v>1847</v>
      </c>
      <c r="T275" s="34" t="s">
        <v>1844</v>
      </c>
      <c r="U275" s="27" t="n">
        <v>274</v>
      </c>
      <c r="V275" s="30" t="n">
        <v>46231</v>
      </c>
      <c r="W275" s="34" t="str">
        <f aca="false">IF($H275&gt;0,"Yes - "&amp;$H275&amp;" in stock at Store 0146 (size "&amp;$G275&amp;"). Back room location "&amp;$Q275&amp;" ("&amp;$R275&amp;"), "&amp;$S275&amp;". Back room "&amp;$J275&amp;" / sales floor "&amp;$I275&amp;".","Not currently in stock at Store 0146 (size "&amp;$G275&amp;"). Home location is "&amp;$Q275&amp;" ("&amp;$R275&amp;") when replenished.")</f>
        <v>Yes - 5 in stock at Store 0146 (size 4.5Y). Back room location D-02-4-01 (ZONE D / BAY 02 / SHELF 4 / BIN 01), Overhead - step stool. Back room 3 / sales floor 2.</v>
      </c>
    </row>
    <row r="276" customFormat="false" ht="15" hidden="false" customHeight="false" outlineLevel="0" collapsed="false">
      <c r="A276" s="34" t="s">
        <v>1152</v>
      </c>
      <c r="B276" s="34" t="s">
        <v>1153</v>
      </c>
      <c r="C276" s="34" t="s">
        <v>722</v>
      </c>
      <c r="D276" s="34" t="s">
        <v>107</v>
      </c>
      <c r="E276" s="34" t="s">
        <v>723</v>
      </c>
      <c r="F276" s="34" t="s">
        <v>725</v>
      </c>
      <c r="G276" s="24" t="s">
        <v>152</v>
      </c>
      <c r="H276" s="27" t="n">
        <f aca="false">IFERROR(INDEX('Inventory Master'!$T$2:$T$525,MATCH($A276,'Inventory Master'!$A$2:$A$525,0)),0)</f>
        <v>0</v>
      </c>
      <c r="I276" s="27" t="n">
        <v>0</v>
      </c>
      <c r="J276" s="27" t="n">
        <f aca="false">MAX(0,$H276-$I276)</f>
        <v>0</v>
      </c>
      <c r="K276" s="34" t="str">
        <f aca="false">IF($H276&gt;0,"In Stock","Out of Stock")</f>
        <v>Out of Stock</v>
      </c>
      <c r="L276" s="24" t="s">
        <v>1857</v>
      </c>
      <c r="M276" s="34" t="s">
        <v>1858</v>
      </c>
      <c r="N276" s="24" t="n">
        <v>2</v>
      </c>
      <c r="O276" s="24" t="n">
        <v>4</v>
      </c>
      <c r="P276" s="24" t="n">
        <v>2</v>
      </c>
      <c r="Q276" s="24" t="str">
        <f aca="false">$L276&amp;"-"&amp;TEXT($N276,"00")&amp;"-"&amp;$O276&amp;"-"&amp;TEXT($P276,"00")</f>
        <v>D-02-4-02</v>
      </c>
      <c r="R276" s="34" t="str">
        <f aca="false">"ZONE "&amp;$L276&amp;" / BAY "&amp;TEXT($N276,"00")&amp;" / SHELF "&amp;$O276&amp;" / BIN "&amp;TEXT($P276,"00")</f>
        <v>ZONE D / BAY 02 / SHELF 4 / BIN 02</v>
      </c>
      <c r="S276" s="34" t="s">
        <v>1847</v>
      </c>
      <c r="T276" s="34" t="s">
        <v>1844</v>
      </c>
      <c r="U276" s="27" t="n">
        <v>275</v>
      </c>
      <c r="V276" s="30" t="n">
        <v>46224</v>
      </c>
      <c r="W276" s="34" t="str">
        <f aca="false">IF($H276&gt;0,"Yes - "&amp;$H276&amp;" in stock at Store 0146 (size "&amp;$G276&amp;"). Back room location "&amp;$Q276&amp;" ("&amp;$R276&amp;"), "&amp;$S276&amp;". Back room "&amp;$J276&amp;" / sales floor "&amp;$I276&amp;".","Not currently in stock at Store 0146 (size "&amp;$G276&amp;"). Home location is "&amp;$Q276&amp;" ("&amp;$R276&amp;") when replenished.")</f>
        <v>Not currently in stock at Store 0146 (size 5Y). Home location is D-02-4-02 (ZONE D / BAY 02 / SHELF 4 / BIN 02) when replenished.</v>
      </c>
    </row>
    <row r="277" customFormat="false" ht="15" hidden="false" customHeight="false" outlineLevel="0" collapsed="false">
      <c r="A277" s="34" t="s">
        <v>720</v>
      </c>
      <c r="B277" s="34" t="s">
        <v>721</v>
      </c>
      <c r="C277" s="34" t="s">
        <v>722</v>
      </c>
      <c r="D277" s="34" t="s">
        <v>107</v>
      </c>
      <c r="E277" s="34" t="s">
        <v>723</v>
      </c>
      <c r="F277" s="34" t="s">
        <v>725</v>
      </c>
      <c r="G277" s="24" t="s">
        <v>363</v>
      </c>
      <c r="H277" s="27" t="n">
        <f aca="false">IFERROR(INDEX('Inventory Master'!$T$2:$T$525,MATCH($A277,'Inventory Master'!$A$2:$A$525,0)),0)</f>
        <v>1</v>
      </c>
      <c r="I277" s="27" t="n">
        <v>1</v>
      </c>
      <c r="J277" s="27" t="n">
        <f aca="false">MAX(0,$H277-$I277)</f>
        <v>0</v>
      </c>
      <c r="K277" s="34" t="str">
        <f aca="false">IF($H277&gt;0,"In Stock","Out of Stock")</f>
        <v>In Stock</v>
      </c>
      <c r="L277" s="24" t="s">
        <v>1857</v>
      </c>
      <c r="M277" s="34" t="s">
        <v>1858</v>
      </c>
      <c r="N277" s="24" t="n">
        <v>2</v>
      </c>
      <c r="O277" s="24" t="n">
        <v>4</v>
      </c>
      <c r="P277" s="24" t="n">
        <v>3</v>
      </c>
      <c r="Q277" s="24" t="str">
        <f aca="false">$L277&amp;"-"&amp;TEXT($N277,"00")&amp;"-"&amp;$O277&amp;"-"&amp;TEXT($P277,"00")</f>
        <v>D-02-4-03</v>
      </c>
      <c r="R277" s="34" t="str">
        <f aca="false">"ZONE "&amp;$L277&amp;" / BAY "&amp;TEXT($N277,"00")&amp;" / SHELF "&amp;$O277&amp;" / BIN "&amp;TEXT($P277,"00")</f>
        <v>ZONE D / BAY 02 / SHELF 4 / BIN 03</v>
      </c>
      <c r="S277" s="34" t="s">
        <v>1847</v>
      </c>
      <c r="T277" s="34" t="s">
        <v>1844</v>
      </c>
      <c r="U277" s="27" t="n">
        <v>276</v>
      </c>
      <c r="V277" s="30" t="n">
        <v>46230</v>
      </c>
      <c r="W277" s="34" t="str">
        <f aca="false">IF($H277&gt;0,"Yes - "&amp;$H277&amp;" in stock at Store 0146 (size "&amp;$G277&amp;"). Back room location "&amp;$Q277&amp;" ("&amp;$R277&amp;"), "&amp;$S277&amp;". Back room "&amp;$J277&amp;" / sales floor "&amp;$I277&amp;".","Not currently in stock at Store 0146 (size "&amp;$G277&amp;"). Home location is "&amp;$Q277&amp;" ("&amp;$R277&amp;") when replenished.")</f>
        <v>Yes - 1 in stock at Store 0146 (size 5.5Y). Back room location D-02-4-03 (ZONE D / BAY 02 / SHELF 4 / BIN 03), Overhead - step stool. Back room 0 / sales floor 1.</v>
      </c>
    </row>
    <row r="278" customFormat="false" ht="15" hidden="false" customHeight="false" outlineLevel="0" collapsed="false">
      <c r="A278" s="34" t="s">
        <v>1709</v>
      </c>
      <c r="B278" s="34" t="s">
        <v>1710</v>
      </c>
      <c r="C278" s="34" t="s">
        <v>744</v>
      </c>
      <c r="D278" s="34" t="s">
        <v>157</v>
      </c>
      <c r="E278" s="34" t="s">
        <v>745</v>
      </c>
      <c r="F278" s="34" t="s">
        <v>747</v>
      </c>
      <c r="G278" s="24" t="s">
        <v>915</v>
      </c>
      <c r="H278" s="27" t="n">
        <f aca="false">IFERROR(INDEX('Inventory Master'!$T$2:$T$525,MATCH($A278,'Inventory Master'!$A$2:$A$525,0)),0)</f>
        <v>2</v>
      </c>
      <c r="I278" s="27" t="n">
        <v>1</v>
      </c>
      <c r="J278" s="27" t="n">
        <f aca="false">MAX(0,$H278-$I278)</f>
        <v>1</v>
      </c>
      <c r="K278" s="34" t="str">
        <f aca="false">IF($H278&gt;0,"In Stock","Out of Stock")</f>
        <v>In Stock</v>
      </c>
      <c r="L278" s="24" t="s">
        <v>1857</v>
      </c>
      <c r="M278" s="34" t="s">
        <v>1858</v>
      </c>
      <c r="N278" s="24" t="n">
        <v>2</v>
      </c>
      <c r="O278" s="24" t="n">
        <v>5</v>
      </c>
      <c r="P278" s="24" t="n">
        <v>1</v>
      </c>
      <c r="Q278" s="24" t="str">
        <f aca="false">$L278&amp;"-"&amp;TEXT($N278,"00")&amp;"-"&amp;$O278&amp;"-"&amp;TEXT($P278,"00")</f>
        <v>D-02-5-01</v>
      </c>
      <c r="R278" s="34" t="str">
        <f aca="false">"ZONE "&amp;$L278&amp;" / BAY "&amp;TEXT($N278,"00")&amp;" / SHELF "&amp;$O278&amp;" / BIN "&amp;TEXT($P278,"00")</f>
        <v>ZONE D / BAY 02 / SHELF 5 / BIN 01</v>
      </c>
      <c r="S278" s="34" t="s">
        <v>1848</v>
      </c>
      <c r="T278" s="34" t="s">
        <v>1844</v>
      </c>
      <c r="U278" s="27" t="n">
        <v>277</v>
      </c>
      <c r="V278" s="30" t="n">
        <v>46194</v>
      </c>
      <c r="W278" s="34" t="str">
        <f aca="false">IF($H278&gt;0,"Yes - "&amp;$H278&amp;" in stock at Store 0146 (size "&amp;$G278&amp;"). Back room location "&amp;$Q278&amp;" ("&amp;$R278&amp;"), "&amp;$S278&amp;". Back room "&amp;$J278&amp;" / sales floor "&amp;$I278&amp;".","Not currently in stock at Store 0146 (size "&amp;$G278&amp;"). Home location is "&amp;$Q278&amp;" ("&amp;$R278&amp;") when replenished.")</f>
        <v>Yes - 2 in stock at Store 0146 (size 4Y). Back room location D-02-5-01 (ZONE D / BAY 02 / SHELF 5 / BIN 01), Top shelf - ladder required. Back room 1 / sales floor 1.</v>
      </c>
    </row>
    <row r="279" customFormat="false" ht="15" hidden="false" customHeight="false" outlineLevel="0" collapsed="false">
      <c r="A279" s="34" t="s">
        <v>1472</v>
      </c>
      <c r="B279" s="34" t="s">
        <v>1473</v>
      </c>
      <c r="C279" s="34" t="s">
        <v>744</v>
      </c>
      <c r="D279" s="34" t="s">
        <v>157</v>
      </c>
      <c r="E279" s="34" t="s">
        <v>745</v>
      </c>
      <c r="F279" s="34" t="s">
        <v>747</v>
      </c>
      <c r="G279" s="24" t="s">
        <v>237</v>
      </c>
      <c r="H279" s="27" t="n">
        <f aca="false">IFERROR(INDEX('Inventory Master'!$T$2:$T$525,MATCH($A279,'Inventory Master'!$A$2:$A$525,0)),0)</f>
        <v>2</v>
      </c>
      <c r="I279" s="27" t="n">
        <v>0</v>
      </c>
      <c r="J279" s="27" t="n">
        <f aca="false">MAX(0,$H279-$I279)</f>
        <v>2</v>
      </c>
      <c r="K279" s="34" t="str">
        <f aca="false">IF($H279&gt;0,"In Stock","Out of Stock")</f>
        <v>In Stock</v>
      </c>
      <c r="L279" s="24" t="s">
        <v>1857</v>
      </c>
      <c r="M279" s="34" t="s">
        <v>1858</v>
      </c>
      <c r="N279" s="24" t="n">
        <v>2</v>
      </c>
      <c r="O279" s="24" t="n">
        <v>5</v>
      </c>
      <c r="P279" s="24" t="n">
        <v>2</v>
      </c>
      <c r="Q279" s="24" t="str">
        <f aca="false">$L279&amp;"-"&amp;TEXT($N279,"00")&amp;"-"&amp;$O279&amp;"-"&amp;TEXT($P279,"00")</f>
        <v>D-02-5-02</v>
      </c>
      <c r="R279" s="34" t="str">
        <f aca="false">"ZONE "&amp;$L279&amp;" / BAY "&amp;TEXT($N279,"00")&amp;" / SHELF "&amp;$O279&amp;" / BIN "&amp;TEXT($P279,"00")</f>
        <v>ZONE D / BAY 02 / SHELF 5 / BIN 02</v>
      </c>
      <c r="S279" s="34" t="s">
        <v>1848</v>
      </c>
      <c r="T279" s="34" t="s">
        <v>1844</v>
      </c>
      <c r="U279" s="27" t="n">
        <v>278</v>
      </c>
      <c r="V279" s="30" t="n">
        <v>46153</v>
      </c>
      <c r="W279" s="34" t="str">
        <f aca="false">IF($H279&gt;0,"Yes - "&amp;$H279&amp;" in stock at Store 0146 (size "&amp;$G279&amp;"). Back room location "&amp;$Q279&amp;" ("&amp;$R279&amp;"), "&amp;$S279&amp;". Back room "&amp;$J279&amp;" / sales floor "&amp;$I279&amp;".","Not currently in stock at Store 0146 (size "&amp;$G279&amp;"). Home location is "&amp;$Q279&amp;" ("&amp;$R279&amp;") when replenished.")</f>
        <v>Yes - 2 in stock at Store 0146 (size 4.5Y). Back room location D-02-5-02 (ZONE D / BAY 02 / SHELF 5 / BIN 02), Top shelf - ladder required. Back room 2 / sales floor 0.</v>
      </c>
    </row>
    <row r="280" customFormat="false" ht="15" hidden="false" customHeight="false" outlineLevel="0" collapsed="false">
      <c r="A280" s="34" t="s">
        <v>1361</v>
      </c>
      <c r="B280" s="34" t="s">
        <v>1362</v>
      </c>
      <c r="C280" s="34" t="s">
        <v>744</v>
      </c>
      <c r="D280" s="34" t="s">
        <v>157</v>
      </c>
      <c r="E280" s="34" t="s">
        <v>745</v>
      </c>
      <c r="F280" s="34" t="s">
        <v>747</v>
      </c>
      <c r="G280" s="24" t="s">
        <v>152</v>
      </c>
      <c r="H280" s="27" t="n">
        <f aca="false">IFERROR(INDEX('Inventory Master'!$T$2:$T$525,MATCH($A280,'Inventory Master'!$A$2:$A$525,0)),0)</f>
        <v>3</v>
      </c>
      <c r="I280" s="27" t="n">
        <v>0</v>
      </c>
      <c r="J280" s="27" t="n">
        <f aca="false">MAX(0,$H280-$I280)</f>
        <v>3</v>
      </c>
      <c r="K280" s="34" t="str">
        <f aca="false">IF($H280&gt;0,"In Stock","Out of Stock")</f>
        <v>In Stock</v>
      </c>
      <c r="L280" s="24" t="s">
        <v>1857</v>
      </c>
      <c r="M280" s="34" t="s">
        <v>1858</v>
      </c>
      <c r="N280" s="24" t="n">
        <v>2</v>
      </c>
      <c r="O280" s="24" t="n">
        <v>5</v>
      </c>
      <c r="P280" s="24" t="n">
        <v>3</v>
      </c>
      <c r="Q280" s="24" t="str">
        <f aca="false">$L280&amp;"-"&amp;TEXT($N280,"00")&amp;"-"&amp;$O280&amp;"-"&amp;TEXT($P280,"00")</f>
        <v>D-02-5-03</v>
      </c>
      <c r="R280" s="34" t="str">
        <f aca="false">"ZONE "&amp;$L280&amp;" / BAY "&amp;TEXT($N280,"00")&amp;" / SHELF "&amp;$O280&amp;" / BIN "&amp;TEXT($P280,"00")</f>
        <v>ZONE D / BAY 02 / SHELF 5 / BIN 03</v>
      </c>
      <c r="S280" s="34" t="s">
        <v>1848</v>
      </c>
      <c r="T280" s="34" t="s">
        <v>1844</v>
      </c>
      <c r="U280" s="27" t="n">
        <v>279</v>
      </c>
      <c r="V280" s="30" t="n">
        <v>46201</v>
      </c>
      <c r="W280" s="34" t="str">
        <f aca="false">IF($H280&gt;0,"Yes - "&amp;$H280&amp;" in stock at Store 0146 (size "&amp;$G280&amp;"). Back room location "&amp;$Q280&amp;" ("&amp;$R280&amp;"), "&amp;$S280&amp;". Back room "&amp;$J280&amp;" / sales floor "&amp;$I280&amp;".","Not currently in stock at Store 0146 (size "&amp;$G280&amp;"). Home location is "&amp;$Q280&amp;" ("&amp;$R280&amp;") when replenished.")</f>
        <v>Yes - 3 in stock at Store 0146 (size 5Y). Back room location D-02-5-03 (ZONE D / BAY 02 / SHELF 5 / BIN 03), Top shelf - ladder required. Back room 3 / sales floor 0.</v>
      </c>
    </row>
    <row r="281" customFormat="false" ht="15" hidden="false" customHeight="false" outlineLevel="0" collapsed="false">
      <c r="A281" s="34" t="s">
        <v>1657</v>
      </c>
      <c r="B281" s="34" t="s">
        <v>1658</v>
      </c>
      <c r="C281" s="34" t="s">
        <v>744</v>
      </c>
      <c r="D281" s="34" t="s">
        <v>157</v>
      </c>
      <c r="E281" s="34" t="s">
        <v>745</v>
      </c>
      <c r="F281" s="34" t="s">
        <v>747</v>
      </c>
      <c r="G281" s="24" t="s">
        <v>363</v>
      </c>
      <c r="H281" s="27" t="n">
        <f aca="false">IFERROR(INDEX('Inventory Master'!$T$2:$T$525,MATCH($A281,'Inventory Master'!$A$2:$A$525,0)),0)</f>
        <v>5</v>
      </c>
      <c r="I281" s="27" t="n">
        <v>1</v>
      </c>
      <c r="J281" s="27" t="n">
        <f aca="false">MAX(0,$H281-$I281)</f>
        <v>4</v>
      </c>
      <c r="K281" s="34" t="str">
        <f aca="false">IF($H281&gt;0,"In Stock","Out of Stock")</f>
        <v>In Stock</v>
      </c>
      <c r="L281" s="24" t="s">
        <v>1857</v>
      </c>
      <c r="M281" s="34" t="s">
        <v>1858</v>
      </c>
      <c r="N281" s="24" t="n">
        <v>2</v>
      </c>
      <c r="O281" s="24" t="n">
        <v>5</v>
      </c>
      <c r="P281" s="24" t="n">
        <v>4</v>
      </c>
      <c r="Q281" s="24" t="str">
        <f aca="false">$L281&amp;"-"&amp;TEXT($N281,"00")&amp;"-"&amp;$O281&amp;"-"&amp;TEXT($P281,"00")</f>
        <v>D-02-5-04</v>
      </c>
      <c r="R281" s="34" t="str">
        <f aca="false">"ZONE "&amp;$L281&amp;" / BAY "&amp;TEXT($N281,"00")&amp;" / SHELF "&amp;$O281&amp;" / BIN "&amp;TEXT($P281,"00")</f>
        <v>ZONE D / BAY 02 / SHELF 5 / BIN 04</v>
      </c>
      <c r="S281" s="34" t="s">
        <v>1848</v>
      </c>
      <c r="T281" s="34" t="s">
        <v>1844</v>
      </c>
      <c r="U281" s="27" t="n">
        <v>280</v>
      </c>
      <c r="V281" s="30" t="n">
        <v>46156</v>
      </c>
      <c r="W281" s="34" t="str">
        <f aca="false">IF($H281&gt;0,"Yes - "&amp;$H281&amp;" in stock at Store 0146 (size "&amp;$G281&amp;"). Back room location "&amp;$Q281&amp;" ("&amp;$R281&amp;"), "&amp;$S281&amp;". Back room "&amp;$J281&amp;" / sales floor "&amp;$I281&amp;".","Not currently in stock at Store 0146 (size "&amp;$G281&amp;"). Home location is "&amp;$Q281&amp;" ("&amp;$R281&amp;") when replenished.")</f>
        <v>Yes - 5 in stock at Store 0146 (size 5.5Y). Back room location D-02-5-04 (ZONE D / BAY 02 / SHELF 5 / BIN 04), Top shelf - ladder required. Back room 4 / sales floor 1.</v>
      </c>
    </row>
    <row r="282" customFormat="false" ht="15" hidden="false" customHeight="false" outlineLevel="0" collapsed="false">
      <c r="A282" s="34" t="s">
        <v>742</v>
      </c>
      <c r="B282" s="34" t="s">
        <v>743</v>
      </c>
      <c r="C282" s="34" t="s">
        <v>744</v>
      </c>
      <c r="D282" s="34" t="s">
        <v>157</v>
      </c>
      <c r="E282" s="34" t="s">
        <v>745</v>
      </c>
      <c r="F282" s="34" t="s">
        <v>747</v>
      </c>
      <c r="G282" s="24" t="s">
        <v>749</v>
      </c>
      <c r="H282" s="27" t="n">
        <f aca="false">IFERROR(INDEX('Inventory Master'!$T$2:$T$525,MATCH($A282,'Inventory Master'!$A$2:$A$525,0)),0)</f>
        <v>3</v>
      </c>
      <c r="I282" s="27" t="n">
        <v>1</v>
      </c>
      <c r="J282" s="27" t="n">
        <f aca="false">MAX(0,$H282-$I282)</f>
        <v>2</v>
      </c>
      <c r="K282" s="34" t="str">
        <f aca="false">IF($H282&gt;0,"In Stock","Out of Stock")</f>
        <v>In Stock</v>
      </c>
      <c r="L282" s="24" t="s">
        <v>1857</v>
      </c>
      <c r="M282" s="34" t="s">
        <v>1858</v>
      </c>
      <c r="N282" s="24" t="n">
        <v>2</v>
      </c>
      <c r="O282" s="24" t="n">
        <v>5</v>
      </c>
      <c r="P282" s="24" t="n">
        <v>5</v>
      </c>
      <c r="Q282" s="24" t="str">
        <f aca="false">$L282&amp;"-"&amp;TEXT($N282,"00")&amp;"-"&amp;$O282&amp;"-"&amp;TEXT($P282,"00")</f>
        <v>D-02-5-05</v>
      </c>
      <c r="R282" s="34" t="str">
        <f aca="false">"ZONE "&amp;$L282&amp;" / BAY "&amp;TEXT($N282,"00")&amp;" / SHELF "&amp;$O282&amp;" / BIN "&amp;TEXT($P282,"00")</f>
        <v>ZONE D / BAY 02 / SHELF 5 / BIN 05</v>
      </c>
      <c r="S282" s="34" t="s">
        <v>1848</v>
      </c>
      <c r="T282" s="34" t="s">
        <v>1844</v>
      </c>
      <c r="U282" s="27" t="n">
        <v>281</v>
      </c>
      <c r="V282" s="30" t="n">
        <v>46155</v>
      </c>
      <c r="W282" s="34" t="str">
        <f aca="false">IF($H282&gt;0,"Yes - "&amp;$H282&amp;" in stock at Store 0146 (size "&amp;$G282&amp;"). Back room location "&amp;$Q282&amp;" ("&amp;$R282&amp;"), "&amp;$S282&amp;". Back room "&amp;$J282&amp;" / sales floor "&amp;$I282&amp;".","Not currently in stock at Store 0146 (size "&amp;$G282&amp;"). Home location is "&amp;$Q282&amp;" ("&amp;$R282&amp;") when replenished.")</f>
        <v>Yes - 3 in stock at Store 0146 (size 6Y). Back room location D-02-5-05 (ZONE D / BAY 02 / SHELF 5 / BIN 05), Top shelf - ladder required. Back room 2 / sales floor 1.</v>
      </c>
    </row>
    <row r="283" customFormat="false" ht="15" hidden="false" customHeight="false" outlineLevel="0" collapsed="false">
      <c r="A283" s="34" t="s">
        <v>1420</v>
      </c>
      <c r="B283" s="34" t="s">
        <v>1421</v>
      </c>
      <c r="C283" s="34" t="s">
        <v>1119</v>
      </c>
      <c r="D283" s="34" t="s">
        <v>584</v>
      </c>
      <c r="E283" s="34" t="s">
        <v>1120</v>
      </c>
      <c r="F283" s="34" t="s">
        <v>1122</v>
      </c>
      <c r="G283" s="24" t="s">
        <v>442</v>
      </c>
      <c r="H283" s="27" t="n">
        <f aca="false">IFERROR(INDEX('Inventory Master'!$T$2:$T$525,MATCH($A283,'Inventory Master'!$A$2:$A$525,0)),0)</f>
        <v>0</v>
      </c>
      <c r="I283" s="27" t="n">
        <v>0</v>
      </c>
      <c r="J283" s="27" t="n">
        <f aca="false">MAX(0,$H283-$I283)</f>
        <v>0</v>
      </c>
      <c r="K283" s="34" t="str">
        <f aca="false">IF($H283&gt;0,"In Stock","Out of Stock")</f>
        <v>Out of Stock</v>
      </c>
      <c r="L283" s="24" t="s">
        <v>1861</v>
      </c>
      <c r="M283" s="34" t="s">
        <v>1862</v>
      </c>
      <c r="N283" s="24" t="n">
        <v>1</v>
      </c>
      <c r="O283" s="24" t="n">
        <v>1</v>
      </c>
      <c r="P283" s="24" t="n">
        <v>1</v>
      </c>
      <c r="Q283" s="24" t="str">
        <f aca="false">$L283&amp;"-"&amp;TEXT($N283,"00")&amp;"-"&amp;$O283&amp;"-"&amp;TEXT($P283,"00")</f>
        <v>E-01-1-01</v>
      </c>
      <c r="R283" s="34" t="str">
        <f aca="false">"ZONE "&amp;$L283&amp;" / BAY "&amp;TEXT($N283,"00")&amp;" / SHELF "&amp;$O283&amp;" / BIN "&amp;TEXT($P283,"00")</f>
        <v>ZONE E / BAY 01 / SHELF 1 / BIN 01</v>
      </c>
      <c r="S283" s="34" t="s">
        <v>1843</v>
      </c>
      <c r="T283" s="34" t="s">
        <v>1844</v>
      </c>
      <c r="U283" s="27" t="n">
        <v>282</v>
      </c>
      <c r="V283" s="30" t="n">
        <v>46137</v>
      </c>
      <c r="W283" s="34" t="str">
        <f aca="false">IF($H283&gt;0,"Yes - "&amp;$H283&amp;" in stock at Store 0146 (size "&amp;$G283&amp;"). Back room location "&amp;$Q283&amp;" ("&amp;$R283&amp;"), "&amp;$S283&amp;". Back room "&amp;$J283&amp;" / sales floor "&amp;$I283&amp;".","Not currently in stock at Store 0146 (size "&amp;$G283&amp;"). Home location is "&amp;$Q283&amp;" ("&amp;$R283&amp;") when replenished.")</f>
        <v>Not currently in stock at Store 0146 (size 5). Home location is E-01-1-01 (ZONE E / BAY 01 / SHELF 1 / BIN 01) when replenished.</v>
      </c>
    </row>
    <row r="284" customFormat="false" ht="15" hidden="false" customHeight="false" outlineLevel="0" collapsed="false">
      <c r="A284" s="34" t="s">
        <v>1117</v>
      </c>
      <c r="B284" s="34" t="s">
        <v>1118</v>
      </c>
      <c r="C284" s="34" t="s">
        <v>1119</v>
      </c>
      <c r="D284" s="34" t="s">
        <v>584</v>
      </c>
      <c r="E284" s="34" t="s">
        <v>1120</v>
      </c>
      <c r="F284" s="34" t="s">
        <v>1122</v>
      </c>
      <c r="G284" s="24" t="s">
        <v>538</v>
      </c>
      <c r="H284" s="27" t="n">
        <f aca="false">IFERROR(INDEX('Inventory Master'!$T$2:$T$525,MATCH($A284,'Inventory Master'!$A$2:$A$525,0)),0)</f>
        <v>4</v>
      </c>
      <c r="I284" s="27" t="n">
        <v>1</v>
      </c>
      <c r="J284" s="27" t="n">
        <f aca="false">MAX(0,$H284-$I284)</f>
        <v>3</v>
      </c>
      <c r="K284" s="34" t="str">
        <f aca="false">IF($H284&gt;0,"In Stock","Out of Stock")</f>
        <v>In Stock</v>
      </c>
      <c r="L284" s="24" t="s">
        <v>1861</v>
      </c>
      <c r="M284" s="34" t="s">
        <v>1862</v>
      </c>
      <c r="N284" s="24" t="n">
        <v>1</v>
      </c>
      <c r="O284" s="24" t="n">
        <v>1</v>
      </c>
      <c r="P284" s="24" t="n">
        <v>2</v>
      </c>
      <c r="Q284" s="24" t="str">
        <f aca="false">$L284&amp;"-"&amp;TEXT($N284,"00")&amp;"-"&amp;$O284&amp;"-"&amp;TEXT($P284,"00")</f>
        <v>E-01-1-02</v>
      </c>
      <c r="R284" s="34" t="str">
        <f aca="false">"ZONE "&amp;$L284&amp;" / BAY "&amp;TEXT($N284,"00")&amp;" / SHELF "&amp;$O284&amp;" / BIN "&amp;TEXT($P284,"00")</f>
        <v>ZONE E / BAY 01 / SHELF 1 / BIN 02</v>
      </c>
      <c r="S284" s="34" t="s">
        <v>1843</v>
      </c>
      <c r="T284" s="34" t="s">
        <v>1844</v>
      </c>
      <c r="U284" s="27" t="n">
        <v>283</v>
      </c>
      <c r="V284" s="30" t="n">
        <v>46185</v>
      </c>
      <c r="W284" s="34" t="str">
        <f aca="false">IF($H284&gt;0,"Yes - "&amp;$H284&amp;" in stock at Store 0146 (size "&amp;$G284&amp;"). Back room location "&amp;$Q284&amp;" ("&amp;$R284&amp;"), "&amp;$S284&amp;". Back room "&amp;$J284&amp;" / sales floor "&amp;$I284&amp;".","Not currently in stock at Store 0146 (size "&amp;$G284&amp;"). Home location is "&amp;$Q284&amp;" ("&amp;$R284&amp;") when replenished.")</f>
        <v>Yes - 4 in stock at Store 0146 (size 6). Back room location E-01-1-02 (ZONE E / BAY 01 / SHELF 1 / BIN 02), Floor level - no reach. Back room 3 / sales floor 1.</v>
      </c>
    </row>
    <row r="285" customFormat="false" ht="15" hidden="false" customHeight="false" outlineLevel="0" collapsed="false">
      <c r="A285" s="34" t="s">
        <v>1562</v>
      </c>
      <c r="B285" s="34" t="s">
        <v>1563</v>
      </c>
      <c r="C285" s="34" t="s">
        <v>1119</v>
      </c>
      <c r="D285" s="34" t="s">
        <v>584</v>
      </c>
      <c r="E285" s="34" t="s">
        <v>1120</v>
      </c>
      <c r="F285" s="34" t="s">
        <v>1122</v>
      </c>
      <c r="G285" s="24" t="s">
        <v>338</v>
      </c>
      <c r="H285" s="27" t="n">
        <f aca="false">IFERROR(INDEX('Inventory Master'!$T$2:$T$525,MATCH($A285,'Inventory Master'!$A$2:$A$525,0)),0)</f>
        <v>6</v>
      </c>
      <c r="I285" s="27" t="n">
        <v>1</v>
      </c>
      <c r="J285" s="27" t="n">
        <f aca="false">MAX(0,$H285-$I285)</f>
        <v>5</v>
      </c>
      <c r="K285" s="34" t="str">
        <f aca="false">IF($H285&gt;0,"In Stock","Out of Stock")</f>
        <v>In Stock</v>
      </c>
      <c r="L285" s="24" t="s">
        <v>1861</v>
      </c>
      <c r="M285" s="34" t="s">
        <v>1862</v>
      </c>
      <c r="N285" s="24" t="n">
        <v>1</v>
      </c>
      <c r="O285" s="24" t="n">
        <v>1</v>
      </c>
      <c r="P285" s="24" t="n">
        <v>3</v>
      </c>
      <c r="Q285" s="24" t="str">
        <f aca="false">$L285&amp;"-"&amp;TEXT($N285,"00")&amp;"-"&amp;$O285&amp;"-"&amp;TEXT($P285,"00")</f>
        <v>E-01-1-03</v>
      </c>
      <c r="R285" s="34" t="str">
        <f aca="false">"ZONE "&amp;$L285&amp;" / BAY "&amp;TEXT($N285,"00")&amp;" / SHELF "&amp;$O285&amp;" / BIN "&amp;TEXT($P285,"00")</f>
        <v>ZONE E / BAY 01 / SHELF 1 / BIN 03</v>
      </c>
      <c r="S285" s="34" t="s">
        <v>1843</v>
      </c>
      <c r="T285" s="34" t="s">
        <v>1844</v>
      </c>
      <c r="U285" s="27" t="n">
        <v>284</v>
      </c>
      <c r="V285" s="30" t="n">
        <v>46184</v>
      </c>
      <c r="W285" s="34" t="str">
        <f aca="false">IF($H285&gt;0,"Yes - "&amp;$H285&amp;" in stock at Store 0146 (size "&amp;$G285&amp;"). Back room location "&amp;$Q285&amp;" ("&amp;$R285&amp;"), "&amp;$S285&amp;". Back room "&amp;$J285&amp;" / sales floor "&amp;$I285&amp;".","Not currently in stock at Store 0146 (size "&amp;$G285&amp;"). Home location is "&amp;$Q285&amp;" ("&amp;$R285&amp;") when replenished.")</f>
        <v>Yes - 6 in stock at Store 0146 (size 7). Back room location E-01-1-03 (ZONE E / BAY 01 / SHELF 1 / BIN 03), Floor level - no reach. Back room 5 / sales floor 1.</v>
      </c>
    </row>
    <row r="286" customFormat="false" ht="15" hidden="false" customHeight="false" outlineLevel="0" collapsed="false">
      <c r="A286" s="34" t="s">
        <v>1174</v>
      </c>
      <c r="B286" s="34" t="s">
        <v>1175</v>
      </c>
      <c r="C286" s="34" t="s">
        <v>1176</v>
      </c>
      <c r="D286" s="34" t="s">
        <v>584</v>
      </c>
      <c r="E286" s="34" t="s">
        <v>1177</v>
      </c>
      <c r="F286" s="34" t="s">
        <v>1179</v>
      </c>
      <c r="G286" s="24" t="s">
        <v>442</v>
      </c>
      <c r="H286" s="27" t="n">
        <f aca="false">IFERROR(INDEX('Inventory Master'!$T$2:$T$525,MATCH($A286,'Inventory Master'!$A$2:$A$525,0)),0)</f>
        <v>4</v>
      </c>
      <c r="I286" s="27" t="n">
        <v>1</v>
      </c>
      <c r="J286" s="27" t="n">
        <f aca="false">MAX(0,$H286-$I286)</f>
        <v>3</v>
      </c>
      <c r="K286" s="34" t="str">
        <f aca="false">IF($H286&gt;0,"In Stock","Out of Stock")</f>
        <v>In Stock</v>
      </c>
      <c r="L286" s="24" t="s">
        <v>1861</v>
      </c>
      <c r="M286" s="34" t="s">
        <v>1862</v>
      </c>
      <c r="N286" s="24" t="n">
        <v>1</v>
      </c>
      <c r="O286" s="24" t="n">
        <v>2</v>
      </c>
      <c r="P286" s="24" t="n">
        <v>1</v>
      </c>
      <c r="Q286" s="24" t="str">
        <f aca="false">$L286&amp;"-"&amp;TEXT($N286,"00")&amp;"-"&amp;$O286&amp;"-"&amp;TEXT($P286,"00")</f>
        <v>E-01-2-01</v>
      </c>
      <c r="R286" s="34" t="str">
        <f aca="false">"ZONE "&amp;$L286&amp;" / BAY "&amp;TEXT($N286,"00")&amp;" / SHELF "&amp;$O286&amp;" / BIN "&amp;TEXT($P286,"00")</f>
        <v>ZONE E / BAY 01 / SHELF 2 / BIN 01</v>
      </c>
      <c r="S286" s="34" t="s">
        <v>1845</v>
      </c>
      <c r="T286" s="34" t="s">
        <v>1844</v>
      </c>
      <c r="U286" s="27" t="n">
        <v>285</v>
      </c>
      <c r="V286" s="30" t="n">
        <v>46189</v>
      </c>
      <c r="W286" s="34" t="str">
        <f aca="false">IF($H286&gt;0,"Yes - "&amp;$H286&amp;" in stock at Store 0146 (size "&amp;$G286&amp;"). Back room location "&amp;$Q286&amp;" ("&amp;$R286&amp;"), "&amp;$S286&amp;". Back room "&amp;$J286&amp;" / sales floor "&amp;$I286&amp;".","Not currently in stock at Store 0146 (size "&amp;$G286&amp;"). Home location is "&amp;$Q286&amp;" ("&amp;$R286&amp;") when replenished.")</f>
        <v>Yes - 4 in stock at Store 0146 (size 5). Back room location E-01-2-01 (ZONE E / BAY 01 / SHELF 2 / BIN 01), Waist height. Back room 3 / sales floor 1.</v>
      </c>
    </row>
    <row r="287" customFormat="false" ht="15" hidden="false" customHeight="false" outlineLevel="0" collapsed="false">
      <c r="A287" s="34" t="s">
        <v>1302</v>
      </c>
      <c r="B287" s="34" t="s">
        <v>1303</v>
      </c>
      <c r="C287" s="34" t="s">
        <v>1176</v>
      </c>
      <c r="D287" s="34" t="s">
        <v>584</v>
      </c>
      <c r="E287" s="34" t="s">
        <v>1177</v>
      </c>
      <c r="F287" s="34" t="s">
        <v>1179</v>
      </c>
      <c r="G287" s="24" t="s">
        <v>538</v>
      </c>
      <c r="H287" s="27" t="n">
        <f aca="false">IFERROR(INDEX('Inventory Master'!$T$2:$T$525,MATCH($A287,'Inventory Master'!$A$2:$A$525,0)),0)</f>
        <v>2</v>
      </c>
      <c r="I287" s="27" t="n">
        <v>2</v>
      </c>
      <c r="J287" s="27" t="n">
        <f aca="false">MAX(0,$H287-$I287)</f>
        <v>0</v>
      </c>
      <c r="K287" s="34" t="str">
        <f aca="false">IF($H287&gt;0,"In Stock","Out of Stock")</f>
        <v>In Stock</v>
      </c>
      <c r="L287" s="24" t="s">
        <v>1861</v>
      </c>
      <c r="M287" s="34" t="s">
        <v>1862</v>
      </c>
      <c r="N287" s="24" t="n">
        <v>1</v>
      </c>
      <c r="O287" s="24" t="n">
        <v>2</v>
      </c>
      <c r="P287" s="24" t="n">
        <v>2</v>
      </c>
      <c r="Q287" s="24" t="str">
        <f aca="false">$L287&amp;"-"&amp;TEXT($N287,"00")&amp;"-"&amp;$O287&amp;"-"&amp;TEXT($P287,"00")</f>
        <v>E-01-2-02</v>
      </c>
      <c r="R287" s="34" t="str">
        <f aca="false">"ZONE "&amp;$L287&amp;" / BAY "&amp;TEXT($N287,"00")&amp;" / SHELF "&amp;$O287&amp;" / BIN "&amp;TEXT($P287,"00")</f>
        <v>ZONE E / BAY 01 / SHELF 2 / BIN 02</v>
      </c>
      <c r="S287" s="34" t="s">
        <v>1845</v>
      </c>
      <c r="T287" s="34" t="s">
        <v>1844</v>
      </c>
      <c r="U287" s="27" t="n">
        <v>286</v>
      </c>
      <c r="V287" s="30" t="n">
        <v>46171</v>
      </c>
      <c r="W287" s="34" t="str">
        <f aca="false">IF($H287&gt;0,"Yes - "&amp;$H287&amp;" in stock at Store 0146 (size "&amp;$G287&amp;"). Back room location "&amp;$Q287&amp;" ("&amp;$R287&amp;"), "&amp;$S287&amp;". Back room "&amp;$J287&amp;" / sales floor "&amp;$I287&amp;".","Not currently in stock at Store 0146 (size "&amp;$G287&amp;"). Home location is "&amp;$Q287&amp;" ("&amp;$R287&amp;") when replenished.")</f>
        <v>Yes - 2 in stock at Store 0146 (size 6). Back room location E-01-2-02 (ZONE E / BAY 01 / SHELF 2 / BIN 02), Waist height. Back room 0 / sales floor 2.</v>
      </c>
    </row>
    <row r="288" customFormat="false" ht="15" hidden="false" customHeight="false" outlineLevel="0" collapsed="false">
      <c r="A288" s="34" t="s">
        <v>1386</v>
      </c>
      <c r="B288" s="34" t="s">
        <v>1387</v>
      </c>
      <c r="C288" s="34" t="s">
        <v>1176</v>
      </c>
      <c r="D288" s="34" t="s">
        <v>584</v>
      </c>
      <c r="E288" s="34" t="s">
        <v>1177</v>
      </c>
      <c r="F288" s="34" t="s">
        <v>1179</v>
      </c>
      <c r="G288" s="24" t="s">
        <v>338</v>
      </c>
      <c r="H288" s="27" t="n">
        <f aca="false">IFERROR(INDEX('Inventory Master'!$T$2:$T$525,MATCH($A288,'Inventory Master'!$A$2:$A$525,0)),0)</f>
        <v>3</v>
      </c>
      <c r="I288" s="27" t="n">
        <v>1</v>
      </c>
      <c r="J288" s="27" t="n">
        <f aca="false">MAX(0,$H288-$I288)</f>
        <v>2</v>
      </c>
      <c r="K288" s="34" t="str">
        <f aca="false">IF($H288&gt;0,"In Stock","Out of Stock")</f>
        <v>In Stock</v>
      </c>
      <c r="L288" s="24" t="s">
        <v>1861</v>
      </c>
      <c r="M288" s="34" t="s">
        <v>1862</v>
      </c>
      <c r="N288" s="24" t="n">
        <v>1</v>
      </c>
      <c r="O288" s="24" t="n">
        <v>2</v>
      </c>
      <c r="P288" s="24" t="n">
        <v>3</v>
      </c>
      <c r="Q288" s="24" t="str">
        <f aca="false">$L288&amp;"-"&amp;TEXT($N288,"00")&amp;"-"&amp;$O288&amp;"-"&amp;TEXT($P288,"00")</f>
        <v>E-01-2-03</v>
      </c>
      <c r="R288" s="34" t="str">
        <f aca="false">"ZONE "&amp;$L288&amp;" / BAY "&amp;TEXT($N288,"00")&amp;" / SHELF "&amp;$O288&amp;" / BIN "&amp;TEXT($P288,"00")</f>
        <v>ZONE E / BAY 01 / SHELF 2 / BIN 03</v>
      </c>
      <c r="S288" s="34" t="s">
        <v>1845</v>
      </c>
      <c r="T288" s="34" t="s">
        <v>1844</v>
      </c>
      <c r="U288" s="27" t="n">
        <v>287</v>
      </c>
      <c r="V288" s="30" t="n">
        <v>46189</v>
      </c>
      <c r="W288" s="34" t="str">
        <f aca="false">IF($H288&gt;0,"Yes - "&amp;$H288&amp;" in stock at Store 0146 (size "&amp;$G288&amp;"). Back room location "&amp;$Q288&amp;" ("&amp;$R288&amp;"), "&amp;$S288&amp;". Back room "&amp;$J288&amp;" / sales floor "&amp;$I288&amp;".","Not currently in stock at Store 0146 (size "&amp;$G288&amp;"). Home location is "&amp;$Q288&amp;" ("&amp;$R288&amp;") when replenished.")</f>
        <v>Yes - 3 in stock at Store 0146 (size 7). Back room location E-01-2-03 (ZONE E / BAY 01 / SHELF 2 / BIN 03), Waist height. Back room 2 / sales floor 1.</v>
      </c>
    </row>
    <row r="289" customFormat="false" ht="15" hidden="false" customHeight="false" outlineLevel="0" collapsed="false">
      <c r="A289" s="34" t="s">
        <v>895</v>
      </c>
      <c r="B289" s="34" t="s">
        <v>896</v>
      </c>
      <c r="C289" s="34" t="s">
        <v>897</v>
      </c>
      <c r="D289" s="34" t="s">
        <v>476</v>
      </c>
      <c r="E289" s="34" t="s">
        <v>898</v>
      </c>
      <c r="F289" s="34" t="s">
        <v>900</v>
      </c>
      <c r="G289" s="24" t="s">
        <v>442</v>
      </c>
      <c r="H289" s="27" t="n">
        <f aca="false">IFERROR(INDEX('Inventory Master'!$T$2:$T$525,MATCH($A289,'Inventory Master'!$A$2:$A$525,0)),0)</f>
        <v>0</v>
      </c>
      <c r="I289" s="27" t="n">
        <v>0</v>
      </c>
      <c r="J289" s="27" t="n">
        <f aca="false">MAX(0,$H289-$I289)</f>
        <v>0</v>
      </c>
      <c r="K289" s="34" t="str">
        <f aca="false">IF($H289&gt;0,"In Stock","Out of Stock")</f>
        <v>Out of Stock</v>
      </c>
      <c r="L289" s="24" t="s">
        <v>1861</v>
      </c>
      <c r="M289" s="34" t="s">
        <v>1862</v>
      </c>
      <c r="N289" s="24" t="n">
        <v>1</v>
      </c>
      <c r="O289" s="24" t="n">
        <v>3</v>
      </c>
      <c r="P289" s="24" t="n">
        <v>1</v>
      </c>
      <c r="Q289" s="24" t="str">
        <f aca="false">$L289&amp;"-"&amp;TEXT($N289,"00")&amp;"-"&amp;$O289&amp;"-"&amp;TEXT($P289,"00")</f>
        <v>E-01-3-01</v>
      </c>
      <c r="R289" s="34" t="str">
        <f aca="false">"ZONE "&amp;$L289&amp;" / BAY "&amp;TEXT($N289,"00")&amp;" / SHELF "&amp;$O289&amp;" / BIN "&amp;TEXT($P289,"00")</f>
        <v>ZONE E / BAY 01 / SHELF 3 / BIN 01</v>
      </c>
      <c r="S289" s="34" t="s">
        <v>1846</v>
      </c>
      <c r="T289" s="34" t="s">
        <v>1844</v>
      </c>
      <c r="U289" s="27" t="n">
        <v>288</v>
      </c>
      <c r="V289" s="30" t="n">
        <v>46220</v>
      </c>
      <c r="W289" s="34" t="str">
        <f aca="false">IF($H289&gt;0,"Yes - "&amp;$H289&amp;" in stock at Store 0146 (size "&amp;$G289&amp;"). Back room location "&amp;$Q289&amp;" ("&amp;$R289&amp;"), "&amp;$S289&amp;". Back room "&amp;$J289&amp;" / sales floor "&amp;$I289&amp;".","Not currently in stock at Store 0146 (size "&amp;$G289&amp;"). Home location is "&amp;$Q289&amp;" ("&amp;$R289&amp;") when replenished.")</f>
        <v>Not currently in stock at Store 0146 (size 5). Home location is E-01-3-01 (ZONE E / BAY 01 / SHELF 3 / BIN 01) when replenished.</v>
      </c>
    </row>
    <row r="290" customFormat="false" ht="15" hidden="false" customHeight="false" outlineLevel="0" collapsed="false">
      <c r="A290" s="34" t="s">
        <v>1039</v>
      </c>
      <c r="B290" s="34" t="s">
        <v>1040</v>
      </c>
      <c r="C290" s="34" t="s">
        <v>897</v>
      </c>
      <c r="D290" s="34" t="s">
        <v>476</v>
      </c>
      <c r="E290" s="34" t="s">
        <v>898</v>
      </c>
      <c r="F290" s="34" t="s">
        <v>900</v>
      </c>
      <c r="G290" s="24" t="s">
        <v>538</v>
      </c>
      <c r="H290" s="27" t="n">
        <f aca="false">IFERROR(INDEX('Inventory Master'!$T$2:$T$525,MATCH($A290,'Inventory Master'!$A$2:$A$525,0)),0)</f>
        <v>6</v>
      </c>
      <c r="I290" s="27" t="n">
        <v>0</v>
      </c>
      <c r="J290" s="27" t="n">
        <f aca="false">MAX(0,$H290-$I290)</f>
        <v>6</v>
      </c>
      <c r="K290" s="34" t="str">
        <f aca="false">IF($H290&gt;0,"In Stock","Out of Stock")</f>
        <v>In Stock</v>
      </c>
      <c r="L290" s="24" t="s">
        <v>1861</v>
      </c>
      <c r="M290" s="34" t="s">
        <v>1862</v>
      </c>
      <c r="N290" s="24" t="n">
        <v>1</v>
      </c>
      <c r="O290" s="24" t="n">
        <v>3</v>
      </c>
      <c r="P290" s="24" t="n">
        <v>2</v>
      </c>
      <c r="Q290" s="24" t="str">
        <f aca="false">$L290&amp;"-"&amp;TEXT($N290,"00")&amp;"-"&amp;$O290&amp;"-"&amp;TEXT($P290,"00")</f>
        <v>E-01-3-02</v>
      </c>
      <c r="R290" s="34" t="str">
        <f aca="false">"ZONE "&amp;$L290&amp;" / BAY "&amp;TEXT($N290,"00")&amp;" / SHELF "&amp;$O290&amp;" / BIN "&amp;TEXT($P290,"00")</f>
        <v>ZONE E / BAY 01 / SHELF 3 / BIN 02</v>
      </c>
      <c r="S290" s="34" t="s">
        <v>1846</v>
      </c>
      <c r="T290" s="34" t="s">
        <v>1863</v>
      </c>
      <c r="U290" s="27" t="n">
        <v>289</v>
      </c>
      <c r="V290" s="30" t="n">
        <v>46160</v>
      </c>
      <c r="W290" s="34" t="str">
        <f aca="false">IF($H290&gt;0,"Yes - "&amp;$H290&amp;" in stock at Store 0146 (size "&amp;$G290&amp;"). Back room location "&amp;$Q290&amp;" ("&amp;$R290&amp;"), "&amp;$S290&amp;". Back room "&amp;$J290&amp;" / sales floor "&amp;$I290&amp;".","Not currently in stock at Store 0146 (size "&amp;$G290&amp;"). Home location is "&amp;$Q290&amp;" ("&amp;$R290&amp;") when replenished.")</f>
        <v>Yes - 6 in stock at Store 0146 (size 6). Back room location E-01-3-02 (ZONE E / BAY 01 / SHELF 3 / BIN 02), Eye level. Back room 6 / sales floor 0.</v>
      </c>
    </row>
    <row r="291" customFormat="false" ht="15" hidden="false" customHeight="false" outlineLevel="0" collapsed="false">
      <c r="A291" s="34" t="s">
        <v>1566</v>
      </c>
      <c r="B291" s="34" t="s">
        <v>1567</v>
      </c>
      <c r="C291" s="34" t="s">
        <v>897</v>
      </c>
      <c r="D291" s="34" t="s">
        <v>476</v>
      </c>
      <c r="E291" s="34" t="s">
        <v>898</v>
      </c>
      <c r="F291" s="34" t="s">
        <v>900</v>
      </c>
      <c r="G291" s="24" t="s">
        <v>338</v>
      </c>
      <c r="H291" s="27" t="n">
        <f aca="false">IFERROR(INDEX('Inventory Master'!$T$2:$T$525,MATCH($A291,'Inventory Master'!$A$2:$A$525,0)),0)</f>
        <v>0</v>
      </c>
      <c r="I291" s="27" t="n">
        <v>0</v>
      </c>
      <c r="J291" s="27" t="n">
        <f aca="false">MAX(0,$H291-$I291)</f>
        <v>0</v>
      </c>
      <c r="K291" s="34" t="str">
        <f aca="false">IF($H291&gt;0,"In Stock","Out of Stock")</f>
        <v>Out of Stock</v>
      </c>
      <c r="L291" s="24" t="s">
        <v>1861</v>
      </c>
      <c r="M291" s="34" t="s">
        <v>1862</v>
      </c>
      <c r="N291" s="24" t="n">
        <v>1</v>
      </c>
      <c r="O291" s="24" t="n">
        <v>3</v>
      </c>
      <c r="P291" s="24" t="n">
        <v>3</v>
      </c>
      <c r="Q291" s="24" t="str">
        <f aca="false">$L291&amp;"-"&amp;TEXT($N291,"00")&amp;"-"&amp;$O291&amp;"-"&amp;TEXT($P291,"00")</f>
        <v>E-01-3-03</v>
      </c>
      <c r="R291" s="34" t="str">
        <f aca="false">"ZONE "&amp;$L291&amp;" / BAY "&amp;TEXT($N291,"00")&amp;" / SHELF "&amp;$O291&amp;" / BIN "&amp;TEXT($P291,"00")</f>
        <v>ZONE E / BAY 01 / SHELF 3 / BIN 03</v>
      </c>
      <c r="S291" s="34" t="s">
        <v>1846</v>
      </c>
      <c r="T291" s="34" t="s">
        <v>1844</v>
      </c>
      <c r="U291" s="27" t="n">
        <v>290</v>
      </c>
      <c r="V291" s="30" t="n">
        <v>46171</v>
      </c>
      <c r="W291" s="34" t="str">
        <f aca="false">IF($H291&gt;0,"Yes - "&amp;$H291&amp;" in stock at Store 0146 (size "&amp;$G291&amp;"). Back room location "&amp;$Q291&amp;" ("&amp;$R291&amp;"), "&amp;$S291&amp;". Back room "&amp;$J291&amp;" / sales floor "&amp;$I291&amp;".","Not currently in stock at Store 0146 (size "&amp;$G291&amp;"). Home location is "&amp;$Q291&amp;" ("&amp;$R291&amp;") when replenished.")</f>
        <v>Not currently in stock at Store 0146 (size 7). Home location is E-01-3-03 (ZONE E / BAY 01 / SHELF 3 / BIN 03) when replenished.</v>
      </c>
    </row>
    <row r="292" customFormat="false" ht="15" hidden="false" customHeight="false" outlineLevel="0" collapsed="false">
      <c r="A292" s="34" t="s">
        <v>1721</v>
      </c>
      <c r="B292" s="34" t="s">
        <v>1722</v>
      </c>
      <c r="C292" s="34" t="s">
        <v>897</v>
      </c>
      <c r="D292" s="34" t="s">
        <v>476</v>
      </c>
      <c r="E292" s="34" t="s">
        <v>898</v>
      </c>
      <c r="F292" s="34" t="s">
        <v>900</v>
      </c>
      <c r="G292" s="24" t="s">
        <v>356</v>
      </c>
      <c r="H292" s="27" t="n">
        <f aca="false">IFERROR(INDEX('Inventory Master'!$T$2:$T$525,MATCH($A292,'Inventory Master'!$A$2:$A$525,0)),0)</f>
        <v>7</v>
      </c>
      <c r="I292" s="27" t="n">
        <v>0</v>
      </c>
      <c r="J292" s="27" t="n">
        <f aca="false">MAX(0,$H292-$I292)</f>
        <v>7</v>
      </c>
      <c r="K292" s="34" t="str">
        <f aca="false">IF($H292&gt;0,"In Stock","Out of Stock")</f>
        <v>In Stock</v>
      </c>
      <c r="L292" s="24" t="s">
        <v>1861</v>
      </c>
      <c r="M292" s="34" t="s">
        <v>1862</v>
      </c>
      <c r="N292" s="24" t="n">
        <v>1</v>
      </c>
      <c r="O292" s="24" t="n">
        <v>3</v>
      </c>
      <c r="P292" s="24" t="n">
        <v>4</v>
      </c>
      <c r="Q292" s="24" t="str">
        <f aca="false">$L292&amp;"-"&amp;TEXT($N292,"00")&amp;"-"&amp;$O292&amp;"-"&amp;TEXT($P292,"00")</f>
        <v>E-01-3-04</v>
      </c>
      <c r="R292" s="34" t="str">
        <f aca="false">"ZONE "&amp;$L292&amp;" / BAY "&amp;TEXT($N292,"00")&amp;" / SHELF "&amp;$O292&amp;" / BIN "&amp;TEXT($P292,"00")</f>
        <v>ZONE E / BAY 01 / SHELF 3 / BIN 04</v>
      </c>
      <c r="S292" s="34" t="s">
        <v>1846</v>
      </c>
      <c r="T292" s="34" t="s">
        <v>1864</v>
      </c>
      <c r="U292" s="27" t="n">
        <v>291</v>
      </c>
      <c r="V292" s="30" t="n">
        <v>46225</v>
      </c>
      <c r="W292" s="34" t="str">
        <f aca="false">IF($H292&gt;0,"Yes - "&amp;$H292&amp;" in stock at Store 0146 (size "&amp;$G292&amp;"). Back room location "&amp;$Q292&amp;" ("&amp;$R292&amp;"), "&amp;$S292&amp;". Back room "&amp;$J292&amp;" / sales floor "&amp;$I292&amp;".","Not currently in stock at Store 0146 (size "&amp;$G292&amp;"). Home location is "&amp;$Q292&amp;" ("&amp;$R292&amp;") when replenished.")</f>
        <v>Yes - 7 in stock at Store 0146 (size 8). Back room location E-01-3-04 (ZONE E / BAY 01 / SHELF 3 / BIN 04), Eye level. Back room 7 / sales floor 0.</v>
      </c>
    </row>
    <row r="293" customFormat="false" ht="15" hidden="false" customHeight="false" outlineLevel="0" collapsed="false">
      <c r="A293" s="34" t="s">
        <v>1219</v>
      </c>
      <c r="B293" s="34" t="s">
        <v>1220</v>
      </c>
      <c r="C293" s="34" t="s">
        <v>897</v>
      </c>
      <c r="D293" s="34" t="s">
        <v>476</v>
      </c>
      <c r="E293" s="34" t="s">
        <v>898</v>
      </c>
      <c r="F293" s="34" t="s">
        <v>900</v>
      </c>
      <c r="G293" s="24" t="s">
        <v>164</v>
      </c>
      <c r="H293" s="27" t="n">
        <f aca="false">IFERROR(INDEX('Inventory Master'!$T$2:$T$525,MATCH($A293,'Inventory Master'!$A$2:$A$525,0)),0)</f>
        <v>4</v>
      </c>
      <c r="I293" s="27" t="n">
        <v>1</v>
      </c>
      <c r="J293" s="27" t="n">
        <f aca="false">MAX(0,$H293-$I293)</f>
        <v>3</v>
      </c>
      <c r="K293" s="34" t="str">
        <f aca="false">IF($H293&gt;0,"In Stock","Out of Stock")</f>
        <v>In Stock</v>
      </c>
      <c r="L293" s="24" t="s">
        <v>1861</v>
      </c>
      <c r="M293" s="34" t="s">
        <v>1862</v>
      </c>
      <c r="N293" s="24" t="n">
        <v>1</v>
      </c>
      <c r="O293" s="24" t="n">
        <v>3</v>
      </c>
      <c r="P293" s="24" t="n">
        <v>5</v>
      </c>
      <c r="Q293" s="24" t="str">
        <f aca="false">$L293&amp;"-"&amp;TEXT($N293,"00")&amp;"-"&amp;$O293&amp;"-"&amp;TEXT($P293,"00")</f>
        <v>E-01-3-05</v>
      </c>
      <c r="R293" s="34" t="str">
        <f aca="false">"ZONE "&amp;$L293&amp;" / BAY "&amp;TEXT($N293,"00")&amp;" / SHELF "&amp;$O293&amp;" / BIN "&amp;TEXT($P293,"00")</f>
        <v>ZONE E / BAY 01 / SHELF 3 / BIN 05</v>
      </c>
      <c r="S293" s="34" t="s">
        <v>1846</v>
      </c>
      <c r="T293" s="34" t="s">
        <v>1844</v>
      </c>
      <c r="U293" s="27" t="n">
        <v>292</v>
      </c>
      <c r="V293" s="30" t="n">
        <v>46185</v>
      </c>
      <c r="W293" s="34" t="str">
        <f aca="false">IF($H293&gt;0,"Yes - "&amp;$H293&amp;" in stock at Store 0146 (size "&amp;$G293&amp;"). Back room location "&amp;$Q293&amp;" ("&amp;$R293&amp;"), "&amp;$S293&amp;". Back room "&amp;$J293&amp;" / sales floor "&amp;$I293&amp;".","Not currently in stock at Store 0146 (size "&amp;$G293&amp;"). Home location is "&amp;$Q293&amp;" ("&amp;$R293&amp;") when replenished.")</f>
        <v>Yes - 4 in stock at Store 0146 (size 9). Back room location E-01-3-05 (ZONE E / BAY 01 / SHELF 3 / BIN 05), Eye level. Back room 3 / sales floor 1.</v>
      </c>
    </row>
    <row r="294" customFormat="false" ht="15" hidden="false" customHeight="false" outlineLevel="0" collapsed="false">
      <c r="A294" s="34" t="s">
        <v>975</v>
      </c>
      <c r="B294" s="34" t="s">
        <v>976</v>
      </c>
      <c r="C294" s="34" t="s">
        <v>861</v>
      </c>
      <c r="D294" s="34" t="s">
        <v>476</v>
      </c>
      <c r="E294" s="34" t="s">
        <v>862</v>
      </c>
      <c r="F294" s="34" t="s">
        <v>864</v>
      </c>
      <c r="G294" s="24" t="s">
        <v>538</v>
      </c>
      <c r="H294" s="27" t="n">
        <f aca="false">IFERROR(INDEX('Inventory Master'!$T$2:$T$525,MATCH($A294,'Inventory Master'!$A$2:$A$525,0)),0)</f>
        <v>3</v>
      </c>
      <c r="I294" s="27" t="n">
        <v>1</v>
      </c>
      <c r="J294" s="27" t="n">
        <f aca="false">MAX(0,$H294-$I294)</f>
        <v>2</v>
      </c>
      <c r="K294" s="34" t="str">
        <f aca="false">IF($H294&gt;0,"In Stock","Out of Stock")</f>
        <v>In Stock</v>
      </c>
      <c r="L294" s="24" t="s">
        <v>1861</v>
      </c>
      <c r="M294" s="34" t="s">
        <v>1862</v>
      </c>
      <c r="N294" s="24" t="n">
        <v>1</v>
      </c>
      <c r="O294" s="24" t="n">
        <v>4</v>
      </c>
      <c r="P294" s="24" t="n">
        <v>1</v>
      </c>
      <c r="Q294" s="24" t="str">
        <f aca="false">$L294&amp;"-"&amp;TEXT($N294,"00")&amp;"-"&amp;$O294&amp;"-"&amp;TEXT($P294,"00")</f>
        <v>E-01-4-01</v>
      </c>
      <c r="R294" s="34" t="str">
        <f aca="false">"ZONE "&amp;$L294&amp;" / BAY "&amp;TEXT($N294,"00")&amp;" / SHELF "&amp;$O294&amp;" / BIN "&amp;TEXT($P294,"00")</f>
        <v>ZONE E / BAY 01 / SHELF 4 / BIN 01</v>
      </c>
      <c r="S294" s="34" t="s">
        <v>1847</v>
      </c>
      <c r="T294" s="34" t="s">
        <v>1844</v>
      </c>
      <c r="U294" s="27" t="n">
        <v>293</v>
      </c>
      <c r="V294" s="30" t="n">
        <v>46140</v>
      </c>
      <c r="W294" s="34" t="str">
        <f aca="false">IF($H294&gt;0,"Yes - "&amp;$H294&amp;" in stock at Store 0146 (size "&amp;$G294&amp;"). Back room location "&amp;$Q294&amp;" ("&amp;$R294&amp;"), "&amp;$S294&amp;". Back room "&amp;$J294&amp;" / sales floor "&amp;$I294&amp;".","Not currently in stock at Store 0146 (size "&amp;$G294&amp;"). Home location is "&amp;$Q294&amp;" ("&amp;$R294&amp;") when replenished.")</f>
        <v>Yes - 3 in stock at Store 0146 (size 6). Back room location E-01-4-01 (ZONE E / BAY 01 / SHELF 4 / BIN 01), Overhead - step stool. Back room 2 / sales floor 1.</v>
      </c>
    </row>
    <row r="295" customFormat="false" ht="15" hidden="false" customHeight="false" outlineLevel="0" collapsed="false">
      <c r="A295" s="34" t="s">
        <v>1265</v>
      </c>
      <c r="B295" s="34" t="s">
        <v>1266</v>
      </c>
      <c r="C295" s="34" t="s">
        <v>861</v>
      </c>
      <c r="D295" s="34" t="s">
        <v>476</v>
      </c>
      <c r="E295" s="34" t="s">
        <v>862</v>
      </c>
      <c r="F295" s="34" t="s">
        <v>864</v>
      </c>
      <c r="G295" s="24" t="s">
        <v>338</v>
      </c>
      <c r="H295" s="27" t="n">
        <f aca="false">IFERROR(INDEX('Inventory Master'!$T$2:$T$525,MATCH($A295,'Inventory Master'!$A$2:$A$525,0)),0)</f>
        <v>3</v>
      </c>
      <c r="I295" s="27" t="n">
        <v>1</v>
      </c>
      <c r="J295" s="27" t="n">
        <f aca="false">MAX(0,$H295-$I295)</f>
        <v>2</v>
      </c>
      <c r="K295" s="34" t="str">
        <f aca="false">IF($H295&gt;0,"In Stock","Out of Stock")</f>
        <v>In Stock</v>
      </c>
      <c r="L295" s="24" t="s">
        <v>1861</v>
      </c>
      <c r="M295" s="34" t="s">
        <v>1862</v>
      </c>
      <c r="N295" s="24" t="n">
        <v>1</v>
      </c>
      <c r="O295" s="24" t="n">
        <v>4</v>
      </c>
      <c r="P295" s="24" t="n">
        <v>2</v>
      </c>
      <c r="Q295" s="24" t="str">
        <f aca="false">$L295&amp;"-"&amp;TEXT($N295,"00")&amp;"-"&amp;$O295&amp;"-"&amp;TEXT($P295,"00")</f>
        <v>E-01-4-02</v>
      </c>
      <c r="R295" s="34" t="str">
        <f aca="false">"ZONE "&amp;$L295&amp;" / BAY "&amp;TEXT($N295,"00")&amp;" / SHELF "&amp;$O295&amp;" / BIN "&amp;TEXT($P295,"00")</f>
        <v>ZONE E / BAY 01 / SHELF 4 / BIN 02</v>
      </c>
      <c r="S295" s="34" t="s">
        <v>1847</v>
      </c>
      <c r="T295" s="34" t="s">
        <v>1844</v>
      </c>
      <c r="U295" s="27" t="n">
        <v>294</v>
      </c>
      <c r="V295" s="30" t="n">
        <v>46142</v>
      </c>
      <c r="W295" s="34" t="str">
        <f aca="false">IF($H295&gt;0,"Yes - "&amp;$H295&amp;" in stock at Store 0146 (size "&amp;$G295&amp;"). Back room location "&amp;$Q295&amp;" ("&amp;$R295&amp;"), "&amp;$S295&amp;". Back room "&amp;$J295&amp;" / sales floor "&amp;$I295&amp;".","Not currently in stock at Store 0146 (size "&amp;$G295&amp;"). Home location is "&amp;$Q295&amp;" ("&amp;$R295&amp;") when replenished.")</f>
        <v>Yes - 3 in stock at Store 0146 (size 7). Back room location E-01-4-02 (ZONE E / BAY 01 / SHELF 4 / BIN 02), Overhead - step stool. Back room 2 / sales floor 1.</v>
      </c>
    </row>
    <row r="296" customFormat="false" ht="15" hidden="false" customHeight="false" outlineLevel="0" collapsed="false">
      <c r="A296" s="34" t="s">
        <v>859</v>
      </c>
      <c r="B296" s="34" t="s">
        <v>860</v>
      </c>
      <c r="C296" s="34" t="s">
        <v>861</v>
      </c>
      <c r="D296" s="34" t="s">
        <v>476</v>
      </c>
      <c r="E296" s="34" t="s">
        <v>862</v>
      </c>
      <c r="F296" s="34" t="s">
        <v>864</v>
      </c>
      <c r="G296" s="24" t="s">
        <v>356</v>
      </c>
      <c r="H296" s="27" t="n">
        <f aca="false">IFERROR(INDEX('Inventory Master'!$T$2:$T$525,MATCH($A296,'Inventory Master'!$A$2:$A$525,0)),0)</f>
        <v>1</v>
      </c>
      <c r="I296" s="27" t="n">
        <v>1</v>
      </c>
      <c r="J296" s="27" t="n">
        <f aca="false">MAX(0,$H296-$I296)</f>
        <v>0</v>
      </c>
      <c r="K296" s="34" t="str">
        <f aca="false">IF($H296&gt;0,"In Stock","Out of Stock")</f>
        <v>In Stock</v>
      </c>
      <c r="L296" s="24" t="s">
        <v>1861</v>
      </c>
      <c r="M296" s="34" t="s">
        <v>1862</v>
      </c>
      <c r="N296" s="24" t="n">
        <v>1</v>
      </c>
      <c r="O296" s="24" t="n">
        <v>4</v>
      </c>
      <c r="P296" s="24" t="n">
        <v>3</v>
      </c>
      <c r="Q296" s="24" t="str">
        <f aca="false">$L296&amp;"-"&amp;TEXT($N296,"00")&amp;"-"&amp;$O296&amp;"-"&amp;TEXT($P296,"00")</f>
        <v>E-01-4-03</v>
      </c>
      <c r="R296" s="34" t="str">
        <f aca="false">"ZONE "&amp;$L296&amp;" / BAY "&amp;TEXT($N296,"00")&amp;" / SHELF "&amp;$O296&amp;" / BIN "&amp;TEXT($P296,"00")</f>
        <v>ZONE E / BAY 01 / SHELF 4 / BIN 03</v>
      </c>
      <c r="S296" s="34" t="s">
        <v>1847</v>
      </c>
      <c r="T296" s="34" t="s">
        <v>1844</v>
      </c>
      <c r="U296" s="27" t="n">
        <v>295</v>
      </c>
      <c r="V296" s="30" t="n">
        <v>46207</v>
      </c>
      <c r="W296" s="34" t="str">
        <f aca="false">IF($H296&gt;0,"Yes - "&amp;$H296&amp;" in stock at Store 0146 (size "&amp;$G296&amp;"). Back room location "&amp;$Q296&amp;" ("&amp;$R296&amp;"), "&amp;$S296&amp;". Back room "&amp;$J296&amp;" / sales floor "&amp;$I296&amp;".","Not currently in stock at Store 0146 (size "&amp;$G296&amp;"). Home location is "&amp;$Q296&amp;" ("&amp;$R296&amp;") when replenished.")</f>
        <v>Yes - 1 in stock at Store 0146 (size 8). Back room location E-01-4-03 (ZONE E / BAY 01 / SHELF 4 / BIN 03), Overhead - step stool. Back room 0 / sales floor 1.</v>
      </c>
    </row>
    <row r="297" customFormat="false" ht="15" hidden="false" customHeight="false" outlineLevel="0" collapsed="false">
      <c r="A297" s="34" t="s">
        <v>1187</v>
      </c>
      <c r="B297" s="34" t="s">
        <v>1188</v>
      </c>
      <c r="C297" s="34" t="s">
        <v>861</v>
      </c>
      <c r="D297" s="34" t="s">
        <v>476</v>
      </c>
      <c r="E297" s="34" t="s">
        <v>862</v>
      </c>
      <c r="F297" s="34" t="s">
        <v>864</v>
      </c>
      <c r="G297" s="24" t="s">
        <v>164</v>
      </c>
      <c r="H297" s="27" t="n">
        <f aca="false">IFERROR(INDEX('Inventory Master'!$T$2:$T$525,MATCH($A297,'Inventory Master'!$A$2:$A$525,0)),0)</f>
        <v>5</v>
      </c>
      <c r="I297" s="27" t="n">
        <v>2</v>
      </c>
      <c r="J297" s="27" t="n">
        <f aca="false">MAX(0,$H297-$I297)</f>
        <v>3</v>
      </c>
      <c r="K297" s="34" t="str">
        <f aca="false">IF($H297&gt;0,"In Stock","Out of Stock")</f>
        <v>In Stock</v>
      </c>
      <c r="L297" s="24" t="s">
        <v>1861</v>
      </c>
      <c r="M297" s="34" t="s">
        <v>1862</v>
      </c>
      <c r="N297" s="24" t="n">
        <v>1</v>
      </c>
      <c r="O297" s="24" t="n">
        <v>4</v>
      </c>
      <c r="P297" s="24" t="n">
        <v>4</v>
      </c>
      <c r="Q297" s="24" t="str">
        <f aca="false">$L297&amp;"-"&amp;TEXT($N297,"00")&amp;"-"&amp;$O297&amp;"-"&amp;TEXT($P297,"00")</f>
        <v>E-01-4-04</v>
      </c>
      <c r="R297" s="34" t="str">
        <f aca="false">"ZONE "&amp;$L297&amp;" / BAY "&amp;TEXT($N297,"00")&amp;" / SHELF "&amp;$O297&amp;" / BIN "&amp;TEXT($P297,"00")</f>
        <v>ZONE E / BAY 01 / SHELF 4 / BIN 04</v>
      </c>
      <c r="S297" s="34" t="s">
        <v>1847</v>
      </c>
      <c r="T297" s="34" t="s">
        <v>1844</v>
      </c>
      <c r="U297" s="27" t="n">
        <v>296</v>
      </c>
      <c r="V297" s="30" t="n">
        <v>46216</v>
      </c>
      <c r="W297" s="34" t="str">
        <f aca="false">IF($H297&gt;0,"Yes - "&amp;$H297&amp;" in stock at Store 0146 (size "&amp;$G297&amp;"). Back room location "&amp;$Q297&amp;" ("&amp;$R297&amp;"), "&amp;$S297&amp;". Back room "&amp;$J297&amp;" / sales floor "&amp;$I297&amp;".","Not currently in stock at Store 0146 (size "&amp;$G297&amp;"). Home location is "&amp;$Q297&amp;" ("&amp;$R297&amp;") when replenished.")</f>
        <v>Yes - 5 in stock at Store 0146 (size 9). Back room location E-01-4-04 (ZONE E / BAY 01 / SHELF 4 / BIN 04), Overhead - step stool. Back room 3 / sales floor 2.</v>
      </c>
    </row>
    <row r="298" customFormat="false" ht="15" hidden="false" customHeight="false" outlineLevel="0" collapsed="false">
      <c r="A298" s="34" t="s">
        <v>1482</v>
      </c>
      <c r="B298" s="34" t="s">
        <v>1483</v>
      </c>
      <c r="C298" s="34" t="s">
        <v>861</v>
      </c>
      <c r="D298" s="34" t="s">
        <v>476</v>
      </c>
      <c r="E298" s="34" t="s">
        <v>862</v>
      </c>
      <c r="F298" s="34" t="s">
        <v>864</v>
      </c>
      <c r="G298" s="24" t="s">
        <v>211</v>
      </c>
      <c r="H298" s="27" t="n">
        <f aca="false">IFERROR(INDEX('Inventory Master'!$T$2:$T$525,MATCH($A298,'Inventory Master'!$A$2:$A$525,0)),0)</f>
        <v>2</v>
      </c>
      <c r="I298" s="27" t="n">
        <v>1</v>
      </c>
      <c r="J298" s="27" t="n">
        <f aca="false">MAX(0,$H298-$I298)</f>
        <v>1</v>
      </c>
      <c r="K298" s="34" t="str">
        <f aca="false">IF($H298&gt;0,"In Stock","Out of Stock")</f>
        <v>In Stock</v>
      </c>
      <c r="L298" s="24" t="s">
        <v>1861</v>
      </c>
      <c r="M298" s="34" t="s">
        <v>1862</v>
      </c>
      <c r="N298" s="24" t="n">
        <v>1</v>
      </c>
      <c r="O298" s="24" t="n">
        <v>4</v>
      </c>
      <c r="P298" s="24" t="n">
        <v>5</v>
      </c>
      <c r="Q298" s="24" t="str">
        <f aca="false">$L298&amp;"-"&amp;TEXT($N298,"00")&amp;"-"&amp;$O298&amp;"-"&amp;TEXT($P298,"00")</f>
        <v>E-01-4-05</v>
      </c>
      <c r="R298" s="34" t="str">
        <f aca="false">"ZONE "&amp;$L298&amp;" / BAY "&amp;TEXT($N298,"00")&amp;" / SHELF "&amp;$O298&amp;" / BIN "&amp;TEXT($P298,"00")</f>
        <v>ZONE E / BAY 01 / SHELF 4 / BIN 05</v>
      </c>
      <c r="S298" s="34" t="s">
        <v>1847</v>
      </c>
      <c r="T298" s="34" t="s">
        <v>1844</v>
      </c>
      <c r="U298" s="27" t="n">
        <v>297</v>
      </c>
      <c r="V298" s="30" t="n">
        <v>46152</v>
      </c>
      <c r="W298" s="34" t="str">
        <f aca="false">IF($H298&gt;0,"Yes - "&amp;$H298&amp;" in stock at Store 0146 (size "&amp;$G298&amp;"). Back room location "&amp;$Q298&amp;" ("&amp;$R298&amp;"), "&amp;$S298&amp;". Back room "&amp;$J298&amp;" / sales floor "&amp;$I298&amp;".","Not currently in stock at Store 0146 (size "&amp;$G298&amp;"). Home location is "&amp;$Q298&amp;" ("&amp;$R298&amp;") when replenished.")</f>
        <v>Yes - 2 in stock at Store 0146 (size 10). Back room location E-01-4-05 (ZONE E / BAY 01 / SHELF 4 / BIN 05), Overhead - step stool. Back room 1 / sales floor 1.</v>
      </c>
    </row>
    <row r="299" customFormat="false" ht="15" hidden="false" customHeight="false" outlineLevel="0" collapsed="false">
      <c r="A299" s="34" t="s">
        <v>1675</v>
      </c>
      <c r="B299" s="34" t="s">
        <v>1676</v>
      </c>
      <c r="C299" s="34" t="s">
        <v>861</v>
      </c>
      <c r="D299" s="34" t="s">
        <v>476</v>
      </c>
      <c r="E299" s="34" t="s">
        <v>862</v>
      </c>
      <c r="F299" s="34" t="s">
        <v>864</v>
      </c>
      <c r="G299" s="24" t="s">
        <v>258</v>
      </c>
      <c r="H299" s="27" t="n">
        <f aca="false">IFERROR(INDEX('Inventory Master'!$T$2:$T$525,MATCH($A299,'Inventory Master'!$A$2:$A$525,0)),0)</f>
        <v>4</v>
      </c>
      <c r="I299" s="27" t="n">
        <v>1</v>
      </c>
      <c r="J299" s="27" t="n">
        <f aca="false">MAX(0,$H299-$I299)</f>
        <v>3</v>
      </c>
      <c r="K299" s="34" t="str">
        <f aca="false">IF($H299&gt;0,"In Stock","Out of Stock")</f>
        <v>In Stock</v>
      </c>
      <c r="L299" s="24" t="s">
        <v>1861</v>
      </c>
      <c r="M299" s="34" t="s">
        <v>1862</v>
      </c>
      <c r="N299" s="24" t="n">
        <v>1</v>
      </c>
      <c r="O299" s="24" t="n">
        <v>4</v>
      </c>
      <c r="P299" s="24" t="n">
        <v>6</v>
      </c>
      <c r="Q299" s="24" t="str">
        <f aca="false">$L299&amp;"-"&amp;TEXT($N299,"00")&amp;"-"&amp;$O299&amp;"-"&amp;TEXT($P299,"00")</f>
        <v>E-01-4-06</v>
      </c>
      <c r="R299" s="34" t="str">
        <f aca="false">"ZONE "&amp;$L299&amp;" / BAY "&amp;TEXT($N299,"00")&amp;" / SHELF "&amp;$O299&amp;" / BIN "&amp;TEXT($P299,"00")</f>
        <v>ZONE E / BAY 01 / SHELF 4 / BIN 06</v>
      </c>
      <c r="S299" s="34" t="s">
        <v>1847</v>
      </c>
      <c r="T299" s="34" t="s">
        <v>1844</v>
      </c>
      <c r="U299" s="27" t="n">
        <v>298</v>
      </c>
      <c r="V299" s="30" t="n">
        <v>46213</v>
      </c>
      <c r="W299" s="34" t="str">
        <f aca="false">IF($H299&gt;0,"Yes - "&amp;$H299&amp;" in stock at Store 0146 (size "&amp;$G299&amp;"). Back room location "&amp;$Q299&amp;" ("&amp;$R299&amp;"), "&amp;$S299&amp;". Back room "&amp;$J299&amp;" / sales floor "&amp;$I299&amp;".","Not currently in stock at Store 0146 (size "&amp;$G299&amp;"). Home location is "&amp;$Q299&amp;" ("&amp;$R299&amp;") when replenished.")</f>
        <v>Yes - 4 in stock at Store 0146 (size 11). Back room location E-01-4-06 (ZONE E / BAY 01 / SHELF 4 / BIN 06), Overhead - step stool. Back room 3 / sales floor 1.</v>
      </c>
    </row>
    <row r="300" customFormat="false" ht="15" hidden="false" customHeight="false" outlineLevel="0" collapsed="false">
      <c r="A300" s="34" t="s">
        <v>1747</v>
      </c>
      <c r="B300" s="34" t="s">
        <v>1748</v>
      </c>
      <c r="C300" s="34" t="s">
        <v>591</v>
      </c>
      <c r="D300" s="34" t="s">
        <v>285</v>
      </c>
      <c r="E300" s="34" t="s">
        <v>286</v>
      </c>
      <c r="F300" s="34" t="s">
        <v>593</v>
      </c>
      <c r="G300" s="24" t="s">
        <v>258</v>
      </c>
      <c r="H300" s="27" t="n">
        <f aca="false">IFERROR(INDEX('Inventory Master'!$T$2:$T$525,MATCH($A300,'Inventory Master'!$A$2:$A$525,0)),0)</f>
        <v>3</v>
      </c>
      <c r="I300" s="27" t="n">
        <v>0</v>
      </c>
      <c r="J300" s="27" t="n">
        <f aca="false">MAX(0,$H300-$I300)</f>
        <v>3</v>
      </c>
      <c r="K300" s="34" t="str">
        <f aca="false">IF($H300&gt;0,"In Stock","Out of Stock")</f>
        <v>In Stock</v>
      </c>
      <c r="L300" s="24" t="s">
        <v>1861</v>
      </c>
      <c r="M300" s="34" t="s">
        <v>1862</v>
      </c>
      <c r="N300" s="24" t="n">
        <v>1</v>
      </c>
      <c r="O300" s="24" t="n">
        <v>5</v>
      </c>
      <c r="P300" s="24" t="n">
        <v>1</v>
      </c>
      <c r="Q300" s="24" t="str">
        <f aca="false">$L300&amp;"-"&amp;TEXT($N300,"00")&amp;"-"&amp;$O300&amp;"-"&amp;TEXT($P300,"00")</f>
        <v>E-01-5-01</v>
      </c>
      <c r="R300" s="34" t="str">
        <f aca="false">"ZONE "&amp;$L300&amp;" / BAY "&amp;TEXT($N300,"00")&amp;" / SHELF "&amp;$O300&amp;" / BIN "&amp;TEXT($P300,"00")</f>
        <v>ZONE E / BAY 01 / SHELF 5 / BIN 01</v>
      </c>
      <c r="S300" s="34" t="s">
        <v>1848</v>
      </c>
      <c r="T300" s="34" t="s">
        <v>1844</v>
      </c>
      <c r="U300" s="27" t="n">
        <v>299</v>
      </c>
      <c r="V300" s="30" t="n">
        <v>46176</v>
      </c>
      <c r="W300" s="34" t="str">
        <f aca="false">IF($H300&gt;0,"Yes - "&amp;$H300&amp;" in stock at Store 0146 (size "&amp;$G300&amp;"). Back room location "&amp;$Q300&amp;" ("&amp;$R300&amp;"), "&amp;$S300&amp;". Back room "&amp;$J300&amp;" / sales floor "&amp;$I300&amp;".","Not currently in stock at Store 0146 (size "&amp;$G300&amp;"). Home location is "&amp;$Q300&amp;" ("&amp;$R300&amp;") when replenished.")</f>
        <v>Yes - 3 in stock at Store 0146 (size 11). Back room location E-01-5-01 (ZONE E / BAY 01 / SHELF 5 / BIN 01), Top shelf - ladder required. Back room 3 / sales floor 0.</v>
      </c>
    </row>
    <row r="301" customFormat="false" ht="15" hidden="false" customHeight="false" outlineLevel="0" collapsed="false">
      <c r="A301" s="34" t="s">
        <v>1434</v>
      </c>
      <c r="B301" s="34" t="s">
        <v>1435</v>
      </c>
      <c r="C301" s="34" t="s">
        <v>591</v>
      </c>
      <c r="D301" s="34" t="s">
        <v>285</v>
      </c>
      <c r="E301" s="34" t="s">
        <v>286</v>
      </c>
      <c r="F301" s="34" t="s">
        <v>593</v>
      </c>
      <c r="G301" s="24" t="s">
        <v>141</v>
      </c>
      <c r="H301" s="27" t="n">
        <f aca="false">IFERROR(INDEX('Inventory Master'!$T$2:$T$525,MATCH($A301,'Inventory Master'!$A$2:$A$525,0)),0)</f>
        <v>0</v>
      </c>
      <c r="I301" s="27" t="n">
        <v>0</v>
      </c>
      <c r="J301" s="27" t="n">
        <f aca="false">MAX(0,$H301-$I301)</f>
        <v>0</v>
      </c>
      <c r="K301" s="34" t="str">
        <f aca="false">IF($H301&gt;0,"In Stock","Out of Stock")</f>
        <v>Out of Stock</v>
      </c>
      <c r="L301" s="24" t="s">
        <v>1861</v>
      </c>
      <c r="M301" s="34" t="s">
        <v>1862</v>
      </c>
      <c r="N301" s="24" t="n">
        <v>1</v>
      </c>
      <c r="O301" s="24" t="n">
        <v>5</v>
      </c>
      <c r="P301" s="24" t="n">
        <v>2</v>
      </c>
      <c r="Q301" s="24" t="str">
        <f aca="false">$L301&amp;"-"&amp;TEXT($N301,"00")&amp;"-"&amp;$O301&amp;"-"&amp;TEXT($P301,"00")</f>
        <v>E-01-5-02</v>
      </c>
      <c r="R301" s="34" t="str">
        <f aca="false">"ZONE "&amp;$L301&amp;" / BAY "&amp;TEXT($N301,"00")&amp;" / SHELF "&amp;$O301&amp;" / BIN "&amp;TEXT($P301,"00")</f>
        <v>ZONE E / BAY 01 / SHELF 5 / BIN 02</v>
      </c>
      <c r="S301" s="34" t="s">
        <v>1848</v>
      </c>
      <c r="T301" s="34" t="s">
        <v>1844</v>
      </c>
      <c r="U301" s="27" t="n">
        <v>300</v>
      </c>
      <c r="V301" s="30" t="n">
        <v>46195</v>
      </c>
      <c r="W301" s="34" t="str">
        <f aca="false">IF($H301&gt;0,"Yes - "&amp;$H301&amp;" in stock at Store 0146 (size "&amp;$G301&amp;"). Back room location "&amp;$Q301&amp;" ("&amp;$R301&amp;"), "&amp;$S301&amp;". Back room "&amp;$J301&amp;" / sales floor "&amp;$I301&amp;".","Not currently in stock at Store 0146 (size "&amp;$G301&amp;"). Home location is "&amp;$Q301&amp;" ("&amp;$R301&amp;") when replenished.")</f>
        <v>Not currently in stock at Store 0146 (size 11.5). Home location is E-01-5-02 (ZONE E / BAY 01 / SHELF 5 / BIN 02) when replenished.</v>
      </c>
    </row>
    <row r="302" customFormat="false" ht="15" hidden="false" customHeight="false" outlineLevel="0" collapsed="false">
      <c r="A302" s="34" t="s">
        <v>589</v>
      </c>
      <c r="B302" s="34" t="s">
        <v>590</v>
      </c>
      <c r="C302" s="34" t="s">
        <v>591</v>
      </c>
      <c r="D302" s="34" t="s">
        <v>285</v>
      </c>
      <c r="E302" s="34" t="s">
        <v>286</v>
      </c>
      <c r="F302" s="34" t="s">
        <v>593</v>
      </c>
      <c r="G302" s="24" t="s">
        <v>130</v>
      </c>
      <c r="H302" s="27" t="n">
        <f aca="false">IFERROR(INDEX('Inventory Master'!$T$2:$T$525,MATCH($A302,'Inventory Master'!$A$2:$A$525,0)),0)</f>
        <v>2</v>
      </c>
      <c r="I302" s="27" t="n">
        <v>1</v>
      </c>
      <c r="J302" s="27" t="n">
        <f aca="false">MAX(0,$H302-$I302)</f>
        <v>1</v>
      </c>
      <c r="K302" s="34" t="str">
        <f aca="false">IF($H302&gt;0,"In Stock","Out of Stock")</f>
        <v>In Stock</v>
      </c>
      <c r="L302" s="24" t="s">
        <v>1861</v>
      </c>
      <c r="M302" s="34" t="s">
        <v>1862</v>
      </c>
      <c r="N302" s="24" t="n">
        <v>1</v>
      </c>
      <c r="O302" s="24" t="n">
        <v>5</v>
      </c>
      <c r="P302" s="24" t="n">
        <v>3</v>
      </c>
      <c r="Q302" s="24" t="str">
        <f aca="false">$L302&amp;"-"&amp;TEXT($N302,"00")&amp;"-"&amp;$O302&amp;"-"&amp;TEXT($P302,"00")</f>
        <v>E-01-5-03</v>
      </c>
      <c r="R302" s="34" t="str">
        <f aca="false">"ZONE "&amp;$L302&amp;" / BAY "&amp;TEXT($N302,"00")&amp;" / SHELF "&amp;$O302&amp;" / BIN "&amp;TEXT($P302,"00")</f>
        <v>ZONE E / BAY 01 / SHELF 5 / BIN 03</v>
      </c>
      <c r="S302" s="34" t="s">
        <v>1848</v>
      </c>
      <c r="T302" s="34" t="s">
        <v>1844</v>
      </c>
      <c r="U302" s="27" t="n">
        <v>301</v>
      </c>
      <c r="V302" s="30" t="n">
        <v>46202</v>
      </c>
      <c r="W302" s="34" t="str">
        <f aca="false">IF($H302&gt;0,"Yes - "&amp;$H302&amp;" in stock at Store 0146 (size "&amp;$G302&amp;"). Back room location "&amp;$Q302&amp;" ("&amp;$R302&amp;"), "&amp;$S302&amp;". Back room "&amp;$J302&amp;" / sales floor "&amp;$I302&amp;".","Not currently in stock at Store 0146 (size "&amp;$G302&amp;"). Home location is "&amp;$Q302&amp;" ("&amp;$R302&amp;") when replenished.")</f>
        <v>Yes - 2 in stock at Store 0146 (size 12). Back room location E-01-5-03 (ZONE E / BAY 01 / SHELF 5 / BIN 03), Top shelf - ladder required. Back room 1 / sales floor 1.</v>
      </c>
    </row>
    <row r="303" customFormat="false" ht="15" hidden="false" customHeight="false" outlineLevel="0" collapsed="false">
      <c r="A303" s="34" t="s">
        <v>1530</v>
      </c>
      <c r="B303" s="34" t="s">
        <v>1531</v>
      </c>
      <c r="C303" s="34" t="s">
        <v>591</v>
      </c>
      <c r="D303" s="34" t="s">
        <v>285</v>
      </c>
      <c r="E303" s="34" t="s">
        <v>286</v>
      </c>
      <c r="F303" s="34" t="s">
        <v>593</v>
      </c>
      <c r="G303" s="24" t="s">
        <v>115</v>
      </c>
      <c r="H303" s="27" t="n">
        <f aca="false">IFERROR(INDEX('Inventory Master'!$T$2:$T$525,MATCH($A303,'Inventory Master'!$A$2:$A$525,0)),0)</f>
        <v>0</v>
      </c>
      <c r="I303" s="27" t="n">
        <v>0</v>
      </c>
      <c r="J303" s="27" t="n">
        <f aca="false">MAX(0,$H303-$I303)</f>
        <v>0</v>
      </c>
      <c r="K303" s="34" t="str">
        <f aca="false">IF($H303&gt;0,"In Stock","Out of Stock")</f>
        <v>Out of Stock</v>
      </c>
      <c r="L303" s="24" t="s">
        <v>1861</v>
      </c>
      <c r="M303" s="34" t="s">
        <v>1862</v>
      </c>
      <c r="N303" s="24" t="n">
        <v>1</v>
      </c>
      <c r="O303" s="24" t="n">
        <v>5</v>
      </c>
      <c r="P303" s="24" t="n">
        <v>4</v>
      </c>
      <c r="Q303" s="24" t="str">
        <f aca="false">$L303&amp;"-"&amp;TEXT($N303,"00")&amp;"-"&amp;$O303&amp;"-"&amp;TEXT($P303,"00")</f>
        <v>E-01-5-04</v>
      </c>
      <c r="R303" s="34" t="str">
        <f aca="false">"ZONE "&amp;$L303&amp;" / BAY "&amp;TEXT($N303,"00")&amp;" / SHELF "&amp;$O303&amp;" / BIN "&amp;TEXT($P303,"00")</f>
        <v>ZONE E / BAY 01 / SHELF 5 / BIN 04</v>
      </c>
      <c r="S303" s="34" t="s">
        <v>1848</v>
      </c>
      <c r="T303" s="34" t="s">
        <v>1844</v>
      </c>
      <c r="U303" s="27" t="n">
        <v>302</v>
      </c>
      <c r="V303" s="30" t="n">
        <v>46228</v>
      </c>
      <c r="W303" s="34" t="str">
        <f aca="false">IF($H303&gt;0,"Yes - "&amp;$H303&amp;" in stock at Store 0146 (size "&amp;$G303&amp;"). Back room location "&amp;$Q303&amp;" ("&amp;$R303&amp;"), "&amp;$S303&amp;". Back room "&amp;$J303&amp;" / sales floor "&amp;$I303&amp;".","Not currently in stock at Store 0146 (size "&amp;$G303&amp;"). Home location is "&amp;$Q303&amp;" ("&amp;$R303&amp;") when replenished.")</f>
        <v>Not currently in stock at Store 0146 (size 13). Home location is E-01-5-04 (ZONE E / BAY 01 / SHELF 5 / BIN 04) when replenished.</v>
      </c>
    </row>
    <row r="304" customFormat="false" ht="15" hidden="false" customHeight="false" outlineLevel="0" collapsed="false">
      <c r="A304" s="34" t="s">
        <v>1012</v>
      </c>
      <c r="B304" s="34" t="s">
        <v>1013</v>
      </c>
      <c r="C304" s="34" t="s">
        <v>1014</v>
      </c>
      <c r="D304" s="34" t="s">
        <v>285</v>
      </c>
      <c r="E304" s="34" t="s">
        <v>1015</v>
      </c>
      <c r="F304" s="34" t="s">
        <v>1017</v>
      </c>
      <c r="G304" s="24" t="s">
        <v>356</v>
      </c>
      <c r="H304" s="27" t="n">
        <f aca="false">IFERROR(INDEX('Inventory Master'!$T$2:$T$525,MATCH($A304,'Inventory Master'!$A$2:$A$525,0)),0)</f>
        <v>5</v>
      </c>
      <c r="I304" s="27" t="n">
        <v>2</v>
      </c>
      <c r="J304" s="27" t="n">
        <f aca="false">MAX(0,$H304-$I304)</f>
        <v>3</v>
      </c>
      <c r="K304" s="34" t="str">
        <f aca="false">IF($H304&gt;0,"In Stock","Out of Stock")</f>
        <v>In Stock</v>
      </c>
      <c r="L304" s="24" t="s">
        <v>1861</v>
      </c>
      <c r="M304" s="34" t="s">
        <v>1862</v>
      </c>
      <c r="N304" s="24" t="n">
        <v>2</v>
      </c>
      <c r="O304" s="24" t="n">
        <v>1</v>
      </c>
      <c r="P304" s="24" t="n">
        <v>1</v>
      </c>
      <c r="Q304" s="24" t="str">
        <f aca="false">$L304&amp;"-"&amp;TEXT($N304,"00")&amp;"-"&amp;$O304&amp;"-"&amp;TEXT($P304,"00")</f>
        <v>E-02-1-01</v>
      </c>
      <c r="R304" s="34" t="str">
        <f aca="false">"ZONE "&amp;$L304&amp;" / BAY "&amp;TEXT($N304,"00")&amp;" / SHELF "&amp;$O304&amp;" / BIN "&amp;TEXT($P304,"00")</f>
        <v>ZONE E / BAY 02 / SHELF 1 / BIN 01</v>
      </c>
      <c r="S304" s="34" t="s">
        <v>1843</v>
      </c>
      <c r="T304" s="34" t="s">
        <v>1844</v>
      </c>
      <c r="U304" s="27" t="n">
        <v>303</v>
      </c>
      <c r="V304" s="30" t="n">
        <v>46160</v>
      </c>
      <c r="W304" s="34" t="str">
        <f aca="false">IF($H304&gt;0,"Yes - "&amp;$H304&amp;" in stock at Store 0146 (size "&amp;$G304&amp;"). Back room location "&amp;$Q304&amp;" ("&amp;$R304&amp;"), "&amp;$S304&amp;". Back room "&amp;$J304&amp;" / sales floor "&amp;$I304&amp;".","Not currently in stock at Store 0146 (size "&amp;$G304&amp;"). Home location is "&amp;$Q304&amp;" ("&amp;$R304&amp;") when replenished.")</f>
        <v>Yes - 5 in stock at Store 0146 (size 8). Back room location E-02-1-01 (ZONE E / BAY 02 / SHELF 1 / BIN 01), Floor level - no reach. Back room 3 / sales floor 2.</v>
      </c>
    </row>
    <row r="305" customFormat="false" ht="15" hidden="false" customHeight="false" outlineLevel="0" collapsed="false">
      <c r="A305" s="34" t="s">
        <v>1412</v>
      </c>
      <c r="B305" s="34" t="s">
        <v>1413</v>
      </c>
      <c r="C305" s="34" t="s">
        <v>1014</v>
      </c>
      <c r="D305" s="34" t="s">
        <v>285</v>
      </c>
      <c r="E305" s="34" t="s">
        <v>1015</v>
      </c>
      <c r="F305" s="34" t="s">
        <v>1017</v>
      </c>
      <c r="G305" s="24" t="s">
        <v>188</v>
      </c>
      <c r="H305" s="27" t="n">
        <f aca="false">IFERROR(INDEX('Inventory Master'!$T$2:$T$525,MATCH($A305,'Inventory Master'!$A$2:$A$525,0)),0)</f>
        <v>1</v>
      </c>
      <c r="I305" s="27" t="n">
        <v>1</v>
      </c>
      <c r="J305" s="27" t="n">
        <f aca="false">MAX(0,$H305-$I305)</f>
        <v>0</v>
      </c>
      <c r="K305" s="34" t="str">
        <f aca="false">IF($H305&gt;0,"In Stock","Out of Stock")</f>
        <v>In Stock</v>
      </c>
      <c r="L305" s="24" t="s">
        <v>1861</v>
      </c>
      <c r="M305" s="34" t="s">
        <v>1862</v>
      </c>
      <c r="N305" s="24" t="n">
        <v>2</v>
      </c>
      <c r="O305" s="24" t="n">
        <v>1</v>
      </c>
      <c r="P305" s="24" t="n">
        <v>2</v>
      </c>
      <c r="Q305" s="24" t="str">
        <f aca="false">$L305&amp;"-"&amp;TEXT($N305,"00")&amp;"-"&amp;$O305&amp;"-"&amp;TEXT($P305,"00")</f>
        <v>E-02-1-02</v>
      </c>
      <c r="R305" s="34" t="str">
        <f aca="false">"ZONE "&amp;$L305&amp;" / BAY "&amp;TEXT($N305,"00")&amp;" / SHELF "&amp;$O305&amp;" / BIN "&amp;TEXT($P305,"00")</f>
        <v>ZONE E / BAY 02 / SHELF 1 / BIN 02</v>
      </c>
      <c r="S305" s="34" t="s">
        <v>1843</v>
      </c>
      <c r="T305" s="34" t="s">
        <v>1844</v>
      </c>
      <c r="U305" s="27" t="n">
        <v>304</v>
      </c>
      <c r="V305" s="30" t="n">
        <v>46211</v>
      </c>
      <c r="W305" s="34" t="str">
        <f aca="false">IF($H305&gt;0,"Yes - "&amp;$H305&amp;" in stock at Store 0146 (size "&amp;$G305&amp;"). Back room location "&amp;$Q305&amp;" ("&amp;$R305&amp;"), "&amp;$S305&amp;". Back room "&amp;$J305&amp;" / sales floor "&amp;$I305&amp;".","Not currently in stock at Store 0146 (size "&amp;$G305&amp;"). Home location is "&amp;$Q305&amp;" ("&amp;$R305&amp;") when replenished.")</f>
        <v>Yes - 1 in stock at Store 0146 (size 8.5). Back room location E-02-1-02 (ZONE E / BAY 02 / SHELF 1 / BIN 02), Floor level - no reach. Back room 0 / sales floor 1.</v>
      </c>
    </row>
    <row r="306" customFormat="false" ht="15" hidden="false" customHeight="false" outlineLevel="0" collapsed="false">
      <c r="A306" s="34" t="s">
        <v>1300</v>
      </c>
      <c r="B306" s="34" t="s">
        <v>1301</v>
      </c>
      <c r="C306" s="34" t="s">
        <v>1014</v>
      </c>
      <c r="D306" s="34" t="s">
        <v>285</v>
      </c>
      <c r="E306" s="34" t="s">
        <v>1015</v>
      </c>
      <c r="F306" s="34" t="s">
        <v>1017</v>
      </c>
      <c r="G306" s="24" t="s">
        <v>164</v>
      </c>
      <c r="H306" s="27" t="n">
        <f aca="false">IFERROR(INDEX('Inventory Master'!$T$2:$T$525,MATCH($A306,'Inventory Master'!$A$2:$A$525,0)),0)</f>
        <v>2</v>
      </c>
      <c r="I306" s="27" t="n">
        <v>1</v>
      </c>
      <c r="J306" s="27" t="n">
        <f aca="false">MAX(0,$H306-$I306)</f>
        <v>1</v>
      </c>
      <c r="K306" s="34" t="str">
        <f aca="false">IF($H306&gt;0,"In Stock","Out of Stock")</f>
        <v>In Stock</v>
      </c>
      <c r="L306" s="24" t="s">
        <v>1861</v>
      </c>
      <c r="M306" s="34" t="s">
        <v>1862</v>
      </c>
      <c r="N306" s="24" t="n">
        <v>2</v>
      </c>
      <c r="O306" s="24" t="n">
        <v>1</v>
      </c>
      <c r="P306" s="24" t="n">
        <v>3</v>
      </c>
      <c r="Q306" s="24" t="str">
        <f aca="false">$L306&amp;"-"&amp;TEXT($N306,"00")&amp;"-"&amp;$O306&amp;"-"&amp;TEXT($P306,"00")</f>
        <v>E-02-1-03</v>
      </c>
      <c r="R306" s="34" t="str">
        <f aca="false">"ZONE "&amp;$L306&amp;" / BAY "&amp;TEXT($N306,"00")&amp;" / SHELF "&amp;$O306&amp;" / BIN "&amp;TEXT($P306,"00")</f>
        <v>ZONE E / BAY 02 / SHELF 1 / BIN 03</v>
      </c>
      <c r="S306" s="34" t="s">
        <v>1843</v>
      </c>
      <c r="T306" s="34" t="s">
        <v>1844</v>
      </c>
      <c r="U306" s="27" t="n">
        <v>305</v>
      </c>
      <c r="V306" s="30" t="n">
        <v>46149</v>
      </c>
      <c r="W306" s="34" t="str">
        <f aca="false">IF($H306&gt;0,"Yes - "&amp;$H306&amp;" in stock at Store 0146 (size "&amp;$G306&amp;"). Back room location "&amp;$Q306&amp;" ("&amp;$R306&amp;"), "&amp;$S306&amp;". Back room "&amp;$J306&amp;" / sales floor "&amp;$I306&amp;".","Not currently in stock at Store 0146 (size "&amp;$G306&amp;"). Home location is "&amp;$Q306&amp;" ("&amp;$R306&amp;") when replenished.")</f>
        <v>Yes - 2 in stock at Store 0146 (size 9). Back room location E-02-1-03 (ZONE E / BAY 02 / SHELF 1 / BIN 03), Floor level - no reach. Back room 1 / sales floor 1.</v>
      </c>
    </row>
    <row r="307" customFormat="false" ht="15" hidden="false" customHeight="false" outlineLevel="0" collapsed="false">
      <c r="A307" s="34" t="s">
        <v>1281</v>
      </c>
      <c r="B307" s="34" t="s">
        <v>1282</v>
      </c>
      <c r="C307" s="34" t="s">
        <v>1014</v>
      </c>
      <c r="D307" s="34" t="s">
        <v>285</v>
      </c>
      <c r="E307" s="34" t="s">
        <v>1015</v>
      </c>
      <c r="F307" s="34" t="s">
        <v>1017</v>
      </c>
      <c r="G307" s="24" t="s">
        <v>177</v>
      </c>
      <c r="H307" s="27" t="n">
        <f aca="false">IFERROR(INDEX('Inventory Master'!$T$2:$T$525,MATCH($A307,'Inventory Master'!$A$2:$A$525,0)),0)</f>
        <v>1</v>
      </c>
      <c r="I307" s="27" t="n">
        <v>1</v>
      </c>
      <c r="J307" s="27" t="n">
        <f aca="false">MAX(0,$H307-$I307)</f>
        <v>0</v>
      </c>
      <c r="K307" s="34" t="str">
        <f aca="false">IF($H307&gt;0,"In Stock","Out of Stock")</f>
        <v>In Stock</v>
      </c>
      <c r="L307" s="24" t="s">
        <v>1861</v>
      </c>
      <c r="M307" s="34" t="s">
        <v>1862</v>
      </c>
      <c r="N307" s="24" t="n">
        <v>2</v>
      </c>
      <c r="O307" s="24" t="n">
        <v>1</v>
      </c>
      <c r="P307" s="24" t="n">
        <v>4</v>
      </c>
      <c r="Q307" s="24" t="str">
        <f aca="false">$L307&amp;"-"&amp;TEXT($N307,"00")&amp;"-"&amp;$O307&amp;"-"&amp;TEXT($P307,"00")</f>
        <v>E-02-1-04</v>
      </c>
      <c r="R307" s="34" t="str">
        <f aca="false">"ZONE "&amp;$L307&amp;" / BAY "&amp;TEXT($N307,"00")&amp;" / SHELF "&amp;$O307&amp;" / BIN "&amp;TEXT($P307,"00")</f>
        <v>ZONE E / BAY 02 / SHELF 1 / BIN 04</v>
      </c>
      <c r="S307" s="34" t="s">
        <v>1843</v>
      </c>
      <c r="T307" s="34" t="s">
        <v>1844</v>
      </c>
      <c r="U307" s="27" t="n">
        <v>306</v>
      </c>
      <c r="V307" s="30" t="n">
        <v>46152</v>
      </c>
      <c r="W307" s="34" t="str">
        <f aca="false">IF($H307&gt;0,"Yes - "&amp;$H307&amp;" in stock at Store 0146 (size "&amp;$G307&amp;"). Back room location "&amp;$Q307&amp;" ("&amp;$R307&amp;"), "&amp;$S307&amp;". Back room "&amp;$J307&amp;" / sales floor "&amp;$I307&amp;".","Not currently in stock at Store 0146 (size "&amp;$G307&amp;"). Home location is "&amp;$Q307&amp;" ("&amp;$R307&amp;") when replenished.")</f>
        <v>Yes - 1 in stock at Store 0146 (size 9.5). Back room location E-02-1-04 (ZONE E / BAY 02 / SHELF 1 / BIN 04), Floor level - no reach. Back room 0 / sales floor 1.</v>
      </c>
    </row>
    <row r="308" customFormat="false" ht="15" hidden="false" customHeight="false" outlineLevel="0" collapsed="false">
      <c r="A308" s="34" t="s">
        <v>1665</v>
      </c>
      <c r="B308" s="34" t="s">
        <v>1666</v>
      </c>
      <c r="C308" s="34" t="s">
        <v>1014</v>
      </c>
      <c r="D308" s="34" t="s">
        <v>285</v>
      </c>
      <c r="E308" s="34" t="s">
        <v>1015</v>
      </c>
      <c r="F308" s="34" t="s">
        <v>1017</v>
      </c>
      <c r="G308" s="24" t="s">
        <v>211</v>
      </c>
      <c r="H308" s="27" t="n">
        <f aca="false">IFERROR(INDEX('Inventory Master'!$T$2:$T$525,MATCH($A308,'Inventory Master'!$A$2:$A$525,0)),0)</f>
        <v>5</v>
      </c>
      <c r="I308" s="27" t="n">
        <v>1</v>
      </c>
      <c r="J308" s="27" t="n">
        <f aca="false">MAX(0,$H308-$I308)</f>
        <v>4</v>
      </c>
      <c r="K308" s="34" t="str">
        <f aca="false">IF($H308&gt;0,"In Stock","Out of Stock")</f>
        <v>In Stock</v>
      </c>
      <c r="L308" s="24" t="s">
        <v>1861</v>
      </c>
      <c r="M308" s="34" t="s">
        <v>1862</v>
      </c>
      <c r="N308" s="24" t="n">
        <v>2</v>
      </c>
      <c r="O308" s="24" t="n">
        <v>1</v>
      </c>
      <c r="P308" s="24" t="n">
        <v>5</v>
      </c>
      <c r="Q308" s="24" t="str">
        <f aca="false">$L308&amp;"-"&amp;TEXT($N308,"00")&amp;"-"&amp;$O308&amp;"-"&amp;TEXT($P308,"00")</f>
        <v>E-02-1-05</v>
      </c>
      <c r="R308" s="34" t="str">
        <f aca="false">"ZONE "&amp;$L308&amp;" / BAY "&amp;TEXT($N308,"00")&amp;" / SHELF "&amp;$O308&amp;" / BIN "&amp;TEXT($P308,"00")</f>
        <v>ZONE E / BAY 02 / SHELF 1 / BIN 05</v>
      </c>
      <c r="S308" s="34" t="s">
        <v>1843</v>
      </c>
      <c r="T308" s="34" t="s">
        <v>1844</v>
      </c>
      <c r="U308" s="27" t="n">
        <v>307</v>
      </c>
      <c r="V308" s="30" t="n">
        <v>46216</v>
      </c>
      <c r="W308" s="34" t="str">
        <f aca="false">IF($H308&gt;0,"Yes - "&amp;$H308&amp;" in stock at Store 0146 (size "&amp;$G308&amp;"). Back room location "&amp;$Q308&amp;" ("&amp;$R308&amp;"), "&amp;$S308&amp;". Back room "&amp;$J308&amp;" / sales floor "&amp;$I308&amp;".","Not currently in stock at Store 0146 (size "&amp;$G308&amp;"). Home location is "&amp;$Q308&amp;" ("&amp;$R308&amp;") when replenished.")</f>
        <v>Yes - 5 in stock at Store 0146 (size 10). Back room location E-02-1-05 (ZONE E / BAY 02 / SHELF 1 / BIN 05), Floor level - no reach. Back room 4 / sales floor 1.</v>
      </c>
    </row>
    <row r="309" customFormat="false" ht="15" hidden="false" customHeight="false" outlineLevel="0" collapsed="false">
      <c r="A309" s="34" t="s">
        <v>1554</v>
      </c>
      <c r="B309" s="34" t="s">
        <v>1555</v>
      </c>
      <c r="C309" s="34" t="s">
        <v>677</v>
      </c>
      <c r="D309" s="34" t="s">
        <v>285</v>
      </c>
      <c r="E309" s="34" t="s">
        <v>678</v>
      </c>
      <c r="F309" s="34" t="s">
        <v>680</v>
      </c>
      <c r="G309" s="24" t="s">
        <v>356</v>
      </c>
      <c r="H309" s="27" t="n">
        <f aca="false">IFERROR(INDEX('Inventory Master'!$T$2:$T$525,MATCH($A309,'Inventory Master'!$A$2:$A$525,0)),0)</f>
        <v>2</v>
      </c>
      <c r="I309" s="27" t="n">
        <v>1</v>
      </c>
      <c r="J309" s="27" t="n">
        <f aca="false">MAX(0,$H309-$I309)</f>
        <v>1</v>
      </c>
      <c r="K309" s="34" t="str">
        <f aca="false">IF($H309&gt;0,"In Stock","Out of Stock")</f>
        <v>In Stock</v>
      </c>
      <c r="L309" s="24" t="s">
        <v>1861</v>
      </c>
      <c r="M309" s="34" t="s">
        <v>1862</v>
      </c>
      <c r="N309" s="24" t="n">
        <v>2</v>
      </c>
      <c r="O309" s="24" t="n">
        <v>2</v>
      </c>
      <c r="P309" s="24" t="n">
        <v>1</v>
      </c>
      <c r="Q309" s="24" t="str">
        <f aca="false">$L309&amp;"-"&amp;TEXT($N309,"00")&amp;"-"&amp;$O309&amp;"-"&amp;TEXT($P309,"00")</f>
        <v>E-02-2-01</v>
      </c>
      <c r="R309" s="34" t="str">
        <f aca="false">"ZONE "&amp;$L309&amp;" / BAY "&amp;TEXT($N309,"00")&amp;" / SHELF "&amp;$O309&amp;" / BIN "&amp;TEXT($P309,"00")</f>
        <v>ZONE E / BAY 02 / SHELF 2 / BIN 01</v>
      </c>
      <c r="S309" s="34" t="s">
        <v>1845</v>
      </c>
      <c r="T309" s="34" t="s">
        <v>1844</v>
      </c>
      <c r="U309" s="27" t="n">
        <v>308</v>
      </c>
      <c r="V309" s="30" t="n">
        <v>46173</v>
      </c>
      <c r="W309" s="34" t="str">
        <f aca="false">IF($H309&gt;0,"Yes - "&amp;$H309&amp;" in stock at Store 0146 (size "&amp;$G309&amp;"). Back room location "&amp;$Q309&amp;" ("&amp;$R309&amp;"), "&amp;$S309&amp;". Back room "&amp;$J309&amp;" / sales floor "&amp;$I309&amp;".","Not currently in stock at Store 0146 (size "&amp;$G309&amp;"). Home location is "&amp;$Q309&amp;" ("&amp;$R309&amp;") when replenished.")</f>
        <v>Yes - 2 in stock at Store 0146 (size 8). Back room location E-02-2-01 (ZONE E / BAY 02 / SHELF 2 / BIN 01), Waist height. Back room 1 / sales floor 1.</v>
      </c>
    </row>
    <row r="310" customFormat="false" ht="15" hidden="false" customHeight="false" outlineLevel="0" collapsed="false">
      <c r="A310" s="34" t="s">
        <v>836</v>
      </c>
      <c r="B310" s="34" t="s">
        <v>837</v>
      </c>
      <c r="C310" s="34" t="s">
        <v>677</v>
      </c>
      <c r="D310" s="34" t="s">
        <v>285</v>
      </c>
      <c r="E310" s="34" t="s">
        <v>678</v>
      </c>
      <c r="F310" s="34" t="s">
        <v>680</v>
      </c>
      <c r="G310" s="24" t="s">
        <v>188</v>
      </c>
      <c r="H310" s="27" t="n">
        <f aca="false">IFERROR(INDEX('Inventory Master'!$T$2:$T$525,MATCH($A310,'Inventory Master'!$A$2:$A$525,0)),0)</f>
        <v>4</v>
      </c>
      <c r="I310" s="27" t="n">
        <v>1</v>
      </c>
      <c r="J310" s="27" t="n">
        <f aca="false">MAX(0,$H310-$I310)</f>
        <v>3</v>
      </c>
      <c r="K310" s="34" t="str">
        <f aca="false">IF($H310&gt;0,"In Stock","Out of Stock")</f>
        <v>In Stock</v>
      </c>
      <c r="L310" s="24" t="s">
        <v>1861</v>
      </c>
      <c r="M310" s="34" t="s">
        <v>1862</v>
      </c>
      <c r="N310" s="24" t="n">
        <v>2</v>
      </c>
      <c r="O310" s="24" t="n">
        <v>2</v>
      </c>
      <c r="P310" s="24" t="n">
        <v>2</v>
      </c>
      <c r="Q310" s="24" t="str">
        <f aca="false">$L310&amp;"-"&amp;TEXT($N310,"00")&amp;"-"&amp;$O310&amp;"-"&amp;TEXT($P310,"00")</f>
        <v>E-02-2-02</v>
      </c>
      <c r="R310" s="34" t="str">
        <f aca="false">"ZONE "&amp;$L310&amp;" / BAY "&amp;TEXT($N310,"00")&amp;" / SHELF "&amp;$O310&amp;" / BIN "&amp;TEXT($P310,"00")</f>
        <v>ZONE E / BAY 02 / SHELF 2 / BIN 02</v>
      </c>
      <c r="S310" s="34" t="s">
        <v>1845</v>
      </c>
      <c r="T310" s="34" t="s">
        <v>1844</v>
      </c>
      <c r="U310" s="27" t="n">
        <v>309</v>
      </c>
      <c r="V310" s="30" t="n">
        <v>46168</v>
      </c>
      <c r="W310" s="34" t="str">
        <f aca="false">IF($H310&gt;0,"Yes - "&amp;$H310&amp;" in stock at Store 0146 (size "&amp;$G310&amp;"). Back room location "&amp;$Q310&amp;" ("&amp;$R310&amp;"), "&amp;$S310&amp;". Back room "&amp;$J310&amp;" / sales floor "&amp;$I310&amp;".","Not currently in stock at Store 0146 (size "&amp;$G310&amp;"). Home location is "&amp;$Q310&amp;" ("&amp;$R310&amp;") when replenished.")</f>
        <v>Yes - 4 in stock at Store 0146 (size 8.5). Back room location E-02-2-02 (ZONE E / BAY 02 / SHELF 2 / BIN 02), Waist height. Back room 3 / sales floor 1.</v>
      </c>
    </row>
    <row r="311" customFormat="false" ht="15" hidden="false" customHeight="false" outlineLevel="0" collapsed="false">
      <c r="A311" s="34" t="s">
        <v>675</v>
      </c>
      <c r="B311" s="34" t="s">
        <v>676</v>
      </c>
      <c r="C311" s="34" t="s">
        <v>677</v>
      </c>
      <c r="D311" s="34" t="s">
        <v>285</v>
      </c>
      <c r="E311" s="34" t="s">
        <v>678</v>
      </c>
      <c r="F311" s="34" t="s">
        <v>680</v>
      </c>
      <c r="G311" s="24" t="s">
        <v>164</v>
      </c>
      <c r="H311" s="27" t="n">
        <f aca="false">IFERROR(INDEX('Inventory Master'!$T$2:$T$525,MATCH($A311,'Inventory Master'!$A$2:$A$525,0)),0)</f>
        <v>0</v>
      </c>
      <c r="I311" s="27" t="n">
        <v>0</v>
      </c>
      <c r="J311" s="27" t="n">
        <f aca="false">MAX(0,$H311-$I311)</f>
        <v>0</v>
      </c>
      <c r="K311" s="34" t="str">
        <f aca="false">IF($H311&gt;0,"In Stock","Out of Stock")</f>
        <v>Out of Stock</v>
      </c>
      <c r="L311" s="24" t="s">
        <v>1861</v>
      </c>
      <c r="M311" s="34" t="s">
        <v>1862</v>
      </c>
      <c r="N311" s="24" t="n">
        <v>2</v>
      </c>
      <c r="O311" s="24" t="n">
        <v>2</v>
      </c>
      <c r="P311" s="24" t="n">
        <v>3</v>
      </c>
      <c r="Q311" s="24" t="str">
        <f aca="false">$L311&amp;"-"&amp;TEXT($N311,"00")&amp;"-"&amp;$O311&amp;"-"&amp;TEXT($P311,"00")</f>
        <v>E-02-2-03</v>
      </c>
      <c r="R311" s="34" t="str">
        <f aca="false">"ZONE "&amp;$L311&amp;" / BAY "&amp;TEXT($N311,"00")&amp;" / SHELF "&amp;$O311&amp;" / BIN "&amp;TEXT($P311,"00")</f>
        <v>ZONE E / BAY 02 / SHELF 2 / BIN 03</v>
      </c>
      <c r="S311" s="34" t="s">
        <v>1845</v>
      </c>
      <c r="T311" s="34" t="s">
        <v>1844</v>
      </c>
      <c r="U311" s="27" t="n">
        <v>310</v>
      </c>
      <c r="V311" s="30" t="n">
        <v>46196</v>
      </c>
      <c r="W311" s="34" t="str">
        <f aca="false">IF($H311&gt;0,"Yes - "&amp;$H311&amp;" in stock at Store 0146 (size "&amp;$G311&amp;"). Back room location "&amp;$Q311&amp;" ("&amp;$R311&amp;"), "&amp;$S311&amp;". Back room "&amp;$J311&amp;" / sales floor "&amp;$I311&amp;".","Not currently in stock at Store 0146 (size "&amp;$G311&amp;"). Home location is "&amp;$Q311&amp;" ("&amp;$R311&amp;") when replenished.")</f>
        <v>Not currently in stock at Store 0146 (size 9). Home location is E-02-2-03 (ZONE E / BAY 02 / SHELF 2 / BIN 03) when replenished.</v>
      </c>
    </row>
    <row r="312" customFormat="false" ht="15" hidden="false" customHeight="false" outlineLevel="0" collapsed="false">
      <c r="A312" s="34" t="s">
        <v>1275</v>
      </c>
      <c r="B312" s="34" t="s">
        <v>1276</v>
      </c>
      <c r="C312" s="34" t="s">
        <v>575</v>
      </c>
      <c r="D312" s="34" t="s">
        <v>285</v>
      </c>
      <c r="E312" s="34" t="s">
        <v>576</v>
      </c>
      <c r="F312" s="34" t="s">
        <v>578</v>
      </c>
      <c r="G312" s="24" t="s">
        <v>141</v>
      </c>
      <c r="H312" s="27" t="n">
        <f aca="false">IFERROR(INDEX('Inventory Master'!$T$2:$T$525,MATCH($A312,'Inventory Master'!$A$2:$A$525,0)),0)</f>
        <v>4</v>
      </c>
      <c r="I312" s="27" t="n">
        <v>1</v>
      </c>
      <c r="J312" s="27" t="n">
        <f aca="false">MAX(0,$H312-$I312)</f>
        <v>3</v>
      </c>
      <c r="K312" s="34" t="str">
        <f aca="false">IF($H312&gt;0,"In Stock","Out of Stock")</f>
        <v>In Stock</v>
      </c>
      <c r="L312" s="24" t="s">
        <v>1861</v>
      </c>
      <c r="M312" s="34" t="s">
        <v>1862</v>
      </c>
      <c r="N312" s="24" t="n">
        <v>2</v>
      </c>
      <c r="O312" s="24" t="n">
        <v>3</v>
      </c>
      <c r="P312" s="24" t="n">
        <v>1</v>
      </c>
      <c r="Q312" s="24" t="str">
        <f aca="false">$L312&amp;"-"&amp;TEXT($N312,"00")&amp;"-"&amp;$O312&amp;"-"&amp;TEXT($P312,"00")</f>
        <v>E-02-3-01</v>
      </c>
      <c r="R312" s="34" t="str">
        <f aca="false">"ZONE "&amp;$L312&amp;" / BAY "&amp;TEXT($N312,"00")&amp;" / SHELF "&amp;$O312&amp;" / BIN "&amp;TEXT($P312,"00")</f>
        <v>ZONE E / BAY 02 / SHELF 3 / BIN 01</v>
      </c>
      <c r="S312" s="34" t="s">
        <v>1846</v>
      </c>
      <c r="T312" s="34" t="s">
        <v>1844</v>
      </c>
      <c r="U312" s="27" t="n">
        <v>311</v>
      </c>
      <c r="V312" s="30" t="n">
        <v>46197</v>
      </c>
      <c r="W312" s="34" t="str">
        <f aca="false">IF($H312&gt;0,"Yes - "&amp;$H312&amp;" in stock at Store 0146 (size "&amp;$G312&amp;"). Back room location "&amp;$Q312&amp;" ("&amp;$R312&amp;"), "&amp;$S312&amp;". Back room "&amp;$J312&amp;" / sales floor "&amp;$I312&amp;".","Not currently in stock at Store 0146 (size "&amp;$G312&amp;"). Home location is "&amp;$Q312&amp;" ("&amp;$R312&amp;") when replenished.")</f>
        <v>Yes - 4 in stock at Store 0146 (size 11.5). Back room location E-02-3-01 (ZONE E / BAY 02 / SHELF 3 / BIN 01), Eye level. Back room 3 / sales floor 1.</v>
      </c>
    </row>
    <row r="313" customFormat="false" ht="15" hidden="false" customHeight="false" outlineLevel="0" collapsed="false">
      <c r="A313" s="34" t="s">
        <v>1213</v>
      </c>
      <c r="B313" s="34" t="s">
        <v>1214</v>
      </c>
      <c r="C313" s="34" t="s">
        <v>575</v>
      </c>
      <c r="D313" s="34" t="s">
        <v>285</v>
      </c>
      <c r="E313" s="34" t="s">
        <v>576</v>
      </c>
      <c r="F313" s="34" t="s">
        <v>578</v>
      </c>
      <c r="G313" s="24" t="s">
        <v>130</v>
      </c>
      <c r="H313" s="27" t="n">
        <f aca="false">IFERROR(INDEX('Inventory Master'!$T$2:$T$525,MATCH($A313,'Inventory Master'!$A$2:$A$525,0)),0)</f>
        <v>3</v>
      </c>
      <c r="I313" s="27" t="n">
        <v>1</v>
      </c>
      <c r="J313" s="27" t="n">
        <f aca="false">MAX(0,$H313-$I313)</f>
        <v>2</v>
      </c>
      <c r="K313" s="34" t="str">
        <f aca="false">IF($H313&gt;0,"In Stock","Out of Stock")</f>
        <v>In Stock</v>
      </c>
      <c r="L313" s="24" t="s">
        <v>1861</v>
      </c>
      <c r="M313" s="34" t="s">
        <v>1862</v>
      </c>
      <c r="N313" s="24" t="n">
        <v>2</v>
      </c>
      <c r="O313" s="24" t="n">
        <v>3</v>
      </c>
      <c r="P313" s="24" t="n">
        <v>2</v>
      </c>
      <c r="Q313" s="24" t="str">
        <f aca="false">$L313&amp;"-"&amp;TEXT($N313,"00")&amp;"-"&amp;$O313&amp;"-"&amp;TEXT($P313,"00")</f>
        <v>E-02-3-02</v>
      </c>
      <c r="R313" s="34" t="str">
        <f aca="false">"ZONE "&amp;$L313&amp;" / BAY "&amp;TEXT($N313,"00")&amp;" / SHELF "&amp;$O313&amp;" / BIN "&amp;TEXT($P313,"00")</f>
        <v>ZONE E / BAY 02 / SHELF 3 / BIN 02</v>
      </c>
      <c r="S313" s="34" t="s">
        <v>1846</v>
      </c>
      <c r="T313" s="34" t="s">
        <v>1844</v>
      </c>
      <c r="U313" s="27" t="n">
        <v>312</v>
      </c>
      <c r="V313" s="30" t="n">
        <v>46148</v>
      </c>
      <c r="W313" s="34" t="str">
        <f aca="false">IF($H313&gt;0,"Yes - "&amp;$H313&amp;" in stock at Store 0146 (size "&amp;$G313&amp;"). Back room location "&amp;$Q313&amp;" ("&amp;$R313&amp;"), "&amp;$S313&amp;". Back room "&amp;$J313&amp;" / sales floor "&amp;$I313&amp;".","Not currently in stock at Store 0146 (size "&amp;$G313&amp;"). Home location is "&amp;$Q313&amp;" ("&amp;$R313&amp;") when replenished.")</f>
        <v>Yes - 3 in stock at Store 0146 (size 12). Back room location E-02-3-02 (ZONE E / BAY 02 / SHELF 3 / BIN 02), Eye level. Back room 2 / sales floor 1.</v>
      </c>
    </row>
    <row r="314" customFormat="false" ht="15" hidden="false" customHeight="false" outlineLevel="0" collapsed="false">
      <c r="A314" s="34" t="s">
        <v>573</v>
      </c>
      <c r="B314" s="34" t="s">
        <v>574</v>
      </c>
      <c r="C314" s="34" t="s">
        <v>575</v>
      </c>
      <c r="D314" s="34" t="s">
        <v>285</v>
      </c>
      <c r="E314" s="34" t="s">
        <v>576</v>
      </c>
      <c r="F314" s="34" t="s">
        <v>578</v>
      </c>
      <c r="G314" s="24" t="s">
        <v>115</v>
      </c>
      <c r="H314" s="27" t="n">
        <f aca="false">IFERROR(INDEX('Inventory Master'!$T$2:$T$525,MATCH($A314,'Inventory Master'!$A$2:$A$525,0)),0)</f>
        <v>0</v>
      </c>
      <c r="I314" s="27" t="n">
        <v>0</v>
      </c>
      <c r="J314" s="27" t="n">
        <f aca="false">MAX(0,$H314-$I314)</f>
        <v>0</v>
      </c>
      <c r="K314" s="34" t="str">
        <f aca="false">IF($H314&gt;0,"In Stock","Out of Stock")</f>
        <v>Out of Stock</v>
      </c>
      <c r="L314" s="24" t="s">
        <v>1861</v>
      </c>
      <c r="M314" s="34" t="s">
        <v>1862</v>
      </c>
      <c r="N314" s="24" t="n">
        <v>2</v>
      </c>
      <c r="O314" s="24" t="n">
        <v>3</v>
      </c>
      <c r="P314" s="24" t="n">
        <v>3</v>
      </c>
      <c r="Q314" s="24" t="str">
        <f aca="false">$L314&amp;"-"&amp;TEXT($N314,"00")&amp;"-"&amp;$O314&amp;"-"&amp;TEXT($P314,"00")</f>
        <v>E-02-3-03</v>
      </c>
      <c r="R314" s="34" t="str">
        <f aca="false">"ZONE "&amp;$L314&amp;" / BAY "&amp;TEXT($N314,"00")&amp;" / SHELF "&amp;$O314&amp;" / BIN "&amp;TEXT($P314,"00")</f>
        <v>ZONE E / BAY 02 / SHELF 3 / BIN 03</v>
      </c>
      <c r="S314" s="34" t="s">
        <v>1846</v>
      </c>
      <c r="T314" s="34" t="s">
        <v>1844</v>
      </c>
      <c r="U314" s="27" t="n">
        <v>313</v>
      </c>
      <c r="V314" s="30" t="n">
        <v>46150</v>
      </c>
      <c r="W314" s="34" t="str">
        <f aca="false">IF($H314&gt;0,"Yes - "&amp;$H314&amp;" in stock at Store 0146 (size "&amp;$G314&amp;"). Back room location "&amp;$Q314&amp;" ("&amp;$R314&amp;"), "&amp;$S314&amp;". Back room "&amp;$J314&amp;" / sales floor "&amp;$I314&amp;".","Not currently in stock at Store 0146 (size "&amp;$G314&amp;"). Home location is "&amp;$Q314&amp;" ("&amp;$R314&amp;") when replenished.")</f>
        <v>Not currently in stock at Store 0146 (size 13). Home location is E-02-3-03 (ZONE E / BAY 02 / SHELF 3 / BIN 03) when replenished.</v>
      </c>
    </row>
    <row r="315" customFormat="false" ht="15" hidden="false" customHeight="false" outlineLevel="0" collapsed="false">
      <c r="A315" s="34" t="s">
        <v>1253</v>
      </c>
      <c r="B315" s="34" t="s">
        <v>1254</v>
      </c>
      <c r="C315" s="34" t="s">
        <v>1094</v>
      </c>
      <c r="D315" s="34" t="s">
        <v>285</v>
      </c>
      <c r="E315" s="34" t="s">
        <v>1095</v>
      </c>
      <c r="F315" s="34" t="s">
        <v>1097</v>
      </c>
      <c r="G315" s="24" t="s">
        <v>177</v>
      </c>
      <c r="H315" s="27" t="n">
        <f aca="false">IFERROR(INDEX('Inventory Master'!$T$2:$T$525,MATCH($A315,'Inventory Master'!$A$2:$A$525,0)),0)</f>
        <v>2</v>
      </c>
      <c r="I315" s="27" t="n">
        <v>1</v>
      </c>
      <c r="J315" s="27" t="n">
        <f aca="false">MAX(0,$H315-$I315)</f>
        <v>1</v>
      </c>
      <c r="K315" s="34" t="str">
        <f aca="false">IF($H315&gt;0,"In Stock","Out of Stock")</f>
        <v>In Stock</v>
      </c>
      <c r="L315" s="24" t="s">
        <v>1861</v>
      </c>
      <c r="M315" s="34" t="s">
        <v>1862</v>
      </c>
      <c r="N315" s="24" t="n">
        <v>2</v>
      </c>
      <c r="O315" s="24" t="n">
        <v>4</v>
      </c>
      <c r="P315" s="24" t="n">
        <v>1</v>
      </c>
      <c r="Q315" s="24" t="str">
        <f aca="false">$L315&amp;"-"&amp;TEXT($N315,"00")&amp;"-"&amp;$O315&amp;"-"&amp;TEXT($P315,"00")</f>
        <v>E-02-4-01</v>
      </c>
      <c r="R315" s="34" t="str">
        <f aca="false">"ZONE "&amp;$L315&amp;" / BAY "&amp;TEXT($N315,"00")&amp;" / SHELF "&amp;$O315&amp;" / BIN "&amp;TEXT($P315,"00")</f>
        <v>ZONE E / BAY 02 / SHELF 4 / BIN 01</v>
      </c>
      <c r="S315" s="34" t="s">
        <v>1847</v>
      </c>
      <c r="T315" s="34" t="s">
        <v>1844</v>
      </c>
      <c r="U315" s="27" t="n">
        <v>314</v>
      </c>
      <c r="V315" s="30" t="n">
        <v>46190</v>
      </c>
      <c r="W315" s="34" t="str">
        <f aca="false">IF($H315&gt;0,"Yes - "&amp;$H315&amp;" in stock at Store 0146 (size "&amp;$G315&amp;"). Back room location "&amp;$Q315&amp;" ("&amp;$R315&amp;"), "&amp;$S315&amp;". Back room "&amp;$J315&amp;" / sales floor "&amp;$I315&amp;".","Not currently in stock at Store 0146 (size "&amp;$G315&amp;"). Home location is "&amp;$Q315&amp;" ("&amp;$R315&amp;") when replenished.")</f>
        <v>Yes - 2 in stock at Store 0146 (size 9.5). Back room location E-02-4-01 (ZONE E / BAY 02 / SHELF 4 / BIN 01), Overhead - step stool. Back room 1 / sales floor 1.</v>
      </c>
    </row>
    <row r="316" customFormat="false" ht="15" hidden="false" customHeight="false" outlineLevel="0" collapsed="false">
      <c r="A316" s="34" t="s">
        <v>1223</v>
      </c>
      <c r="B316" s="34" t="s">
        <v>1224</v>
      </c>
      <c r="C316" s="34" t="s">
        <v>1094</v>
      </c>
      <c r="D316" s="34" t="s">
        <v>285</v>
      </c>
      <c r="E316" s="34" t="s">
        <v>1095</v>
      </c>
      <c r="F316" s="34" t="s">
        <v>1097</v>
      </c>
      <c r="G316" s="24" t="s">
        <v>211</v>
      </c>
      <c r="H316" s="27" t="n">
        <f aca="false">IFERROR(INDEX('Inventory Master'!$T$2:$T$525,MATCH($A316,'Inventory Master'!$A$2:$A$525,0)),0)</f>
        <v>4</v>
      </c>
      <c r="I316" s="27" t="n">
        <v>2</v>
      </c>
      <c r="J316" s="27" t="n">
        <f aca="false">MAX(0,$H316-$I316)</f>
        <v>2</v>
      </c>
      <c r="K316" s="34" t="str">
        <f aca="false">IF($H316&gt;0,"In Stock","Out of Stock")</f>
        <v>In Stock</v>
      </c>
      <c r="L316" s="24" t="s">
        <v>1861</v>
      </c>
      <c r="M316" s="34" t="s">
        <v>1862</v>
      </c>
      <c r="N316" s="24" t="n">
        <v>2</v>
      </c>
      <c r="O316" s="24" t="n">
        <v>4</v>
      </c>
      <c r="P316" s="24" t="n">
        <v>2</v>
      </c>
      <c r="Q316" s="24" t="str">
        <f aca="false">$L316&amp;"-"&amp;TEXT($N316,"00")&amp;"-"&amp;$O316&amp;"-"&amp;TEXT($P316,"00")</f>
        <v>E-02-4-02</v>
      </c>
      <c r="R316" s="34" t="str">
        <f aca="false">"ZONE "&amp;$L316&amp;" / BAY "&amp;TEXT($N316,"00")&amp;" / SHELF "&amp;$O316&amp;" / BIN "&amp;TEXT($P316,"00")</f>
        <v>ZONE E / BAY 02 / SHELF 4 / BIN 02</v>
      </c>
      <c r="S316" s="34" t="s">
        <v>1847</v>
      </c>
      <c r="T316" s="34" t="s">
        <v>1844</v>
      </c>
      <c r="U316" s="27" t="n">
        <v>315</v>
      </c>
      <c r="V316" s="30" t="n">
        <v>46144</v>
      </c>
      <c r="W316" s="34" t="str">
        <f aca="false">IF($H316&gt;0,"Yes - "&amp;$H316&amp;" in stock at Store 0146 (size "&amp;$G316&amp;"). Back room location "&amp;$Q316&amp;" ("&amp;$R316&amp;"), "&amp;$S316&amp;". Back room "&amp;$J316&amp;" / sales floor "&amp;$I316&amp;".","Not currently in stock at Store 0146 (size "&amp;$G316&amp;"). Home location is "&amp;$Q316&amp;" ("&amp;$R316&amp;") when replenished.")</f>
        <v>Yes - 4 in stock at Store 0146 (size 10). Back room location E-02-4-02 (ZONE E / BAY 02 / SHELF 4 / BIN 02), Overhead - step stool. Back room 2 / sales floor 2.</v>
      </c>
    </row>
    <row r="317" customFormat="false" ht="15" hidden="false" customHeight="false" outlineLevel="0" collapsed="false">
      <c r="A317" s="34" t="s">
        <v>1448</v>
      </c>
      <c r="B317" s="34" t="s">
        <v>1449</v>
      </c>
      <c r="C317" s="34" t="s">
        <v>1094</v>
      </c>
      <c r="D317" s="34" t="s">
        <v>285</v>
      </c>
      <c r="E317" s="34" t="s">
        <v>1095</v>
      </c>
      <c r="F317" s="34" t="s">
        <v>1097</v>
      </c>
      <c r="G317" s="24" t="s">
        <v>327</v>
      </c>
      <c r="H317" s="27" t="n">
        <f aca="false">IFERROR(INDEX('Inventory Master'!$T$2:$T$525,MATCH($A317,'Inventory Master'!$A$2:$A$525,0)),0)</f>
        <v>2</v>
      </c>
      <c r="I317" s="27" t="n">
        <v>0</v>
      </c>
      <c r="J317" s="27" t="n">
        <f aca="false">MAX(0,$H317-$I317)</f>
        <v>2</v>
      </c>
      <c r="K317" s="34" t="str">
        <f aca="false">IF($H317&gt;0,"In Stock","Out of Stock")</f>
        <v>In Stock</v>
      </c>
      <c r="L317" s="24" t="s">
        <v>1861</v>
      </c>
      <c r="M317" s="34" t="s">
        <v>1862</v>
      </c>
      <c r="N317" s="24" t="n">
        <v>2</v>
      </c>
      <c r="O317" s="24" t="n">
        <v>4</v>
      </c>
      <c r="P317" s="24" t="n">
        <v>3</v>
      </c>
      <c r="Q317" s="24" t="str">
        <f aca="false">$L317&amp;"-"&amp;TEXT($N317,"00")&amp;"-"&amp;$O317&amp;"-"&amp;TEXT($P317,"00")</f>
        <v>E-02-4-03</v>
      </c>
      <c r="R317" s="34" t="str">
        <f aca="false">"ZONE "&amp;$L317&amp;" / BAY "&amp;TEXT($N317,"00")&amp;" / SHELF "&amp;$O317&amp;" / BIN "&amp;TEXT($P317,"00")</f>
        <v>ZONE E / BAY 02 / SHELF 4 / BIN 03</v>
      </c>
      <c r="S317" s="34" t="s">
        <v>1847</v>
      </c>
      <c r="T317" s="34" t="s">
        <v>1844</v>
      </c>
      <c r="U317" s="27" t="n">
        <v>316</v>
      </c>
      <c r="V317" s="30" t="n">
        <v>46148</v>
      </c>
      <c r="W317" s="34" t="str">
        <f aca="false">IF($H317&gt;0,"Yes - "&amp;$H317&amp;" in stock at Store 0146 (size "&amp;$G317&amp;"). Back room location "&amp;$Q317&amp;" ("&amp;$R317&amp;"), "&amp;$S317&amp;". Back room "&amp;$J317&amp;" / sales floor "&amp;$I317&amp;".","Not currently in stock at Store 0146 (size "&amp;$G317&amp;"). Home location is "&amp;$Q317&amp;" ("&amp;$R317&amp;") when replenished.")</f>
        <v>Yes - 2 in stock at Store 0146 (size 10.5). Back room location E-02-4-03 (ZONE E / BAY 02 / SHELF 4 / BIN 03), Overhead - step stool. Back room 2 / sales floor 0.</v>
      </c>
    </row>
    <row r="318" customFormat="false" ht="15" hidden="false" customHeight="false" outlineLevel="0" collapsed="false">
      <c r="A318" s="34" t="s">
        <v>1374</v>
      </c>
      <c r="B318" s="34" t="s">
        <v>1375</v>
      </c>
      <c r="C318" s="34" t="s">
        <v>1094</v>
      </c>
      <c r="D318" s="34" t="s">
        <v>285</v>
      </c>
      <c r="E318" s="34" t="s">
        <v>1095</v>
      </c>
      <c r="F318" s="34" t="s">
        <v>1097</v>
      </c>
      <c r="G318" s="24" t="s">
        <v>258</v>
      </c>
      <c r="H318" s="27" t="n">
        <f aca="false">IFERROR(INDEX('Inventory Master'!$T$2:$T$525,MATCH($A318,'Inventory Master'!$A$2:$A$525,0)),0)</f>
        <v>4</v>
      </c>
      <c r="I318" s="27" t="n">
        <v>1</v>
      </c>
      <c r="J318" s="27" t="n">
        <f aca="false">MAX(0,$H318-$I318)</f>
        <v>3</v>
      </c>
      <c r="K318" s="34" t="str">
        <f aca="false">IF($H318&gt;0,"In Stock","Out of Stock")</f>
        <v>In Stock</v>
      </c>
      <c r="L318" s="24" t="s">
        <v>1861</v>
      </c>
      <c r="M318" s="34" t="s">
        <v>1862</v>
      </c>
      <c r="N318" s="24" t="n">
        <v>2</v>
      </c>
      <c r="O318" s="24" t="n">
        <v>4</v>
      </c>
      <c r="P318" s="24" t="n">
        <v>4</v>
      </c>
      <c r="Q318" s="24" t="str">
        <f aca="false">$L318&amp;"-"&amp;TEXT($N318,"00")&amp;"-"&amp;$O318&amp;"-"&amp;TEXT($P318,"00")</f>
        <v>E-02-4-04</v>
      </c>
      <c r="R318" s="34" t="str">
        <f aca="false">"ZONE "&amp;$L318&amp;" / BAY "&amp;TEXT($N318,"00")&amp;" / SHELF "&amp;$O318&amp;" / BIN "&amp;TEXT($P318,"00")</f>
        <v>ZONE E / BAY 02 / SHELF 4 / BIN 04</v>
      </c>
      <c r="S318" s="34" t="s">
        <v>1847</v>
      </c>
      <c r="T318" s="34" t="s">
        <v>1844</v>
      </c>
      <c r="U318" s="27" t="n">
        <v>317</v>
      </c>
      <c r="V318" s="30" t="n">
        <v>46187</v>
      </c>
      <c r="W318" s="34" t="str">
        <f aca="false">IF($H318&gt;0,"Yes - "&amp;$H318&amp;" in stock at Store 0146 (size "&amp;$G318&amp;"). Back room location "&amp;$Q318&amp;" ("&amp;$R318&amp;"), "&amp;$S318&amp;". Back room "&amp;$J318&amp;" / sales floor "&amp;$I318&amp;".","Not currently in stock at Store 0146 (size "&amp;$G318&amp;"). Home location is "&amp;$Q318&amp;" ("&amp;$R318&amp;") when replenished.")</f>
        <v>Yes - 4 in stock at Store 0146 (size 11). Back room location E-02-4-04 (ZONE E / BAY 02 / SHELF 4 / BIN 04), Overhead - step stool. Back room 3 / sales floor 1.</v>
      </c>
    </row>
    <row r="319" customFormat="false" ht="15" hidden="false" customHeight="false" outlineLevel="0" collapsed="false">
      <c r="A319" s="34" t="s">
        <v>1092</v>
      </c>
      <c r="B319" s="34" t="s">
        <v>1093</v>
      </c>
      <c r="C319" s="34" t="s">
        <v>1094</v>
      </c>
      <c r="D319" s="34" t="s">
        <v>285</v>
      </c>
      <c r="E319" s="34" t="s">
        <v>1095</v>
      </c>
      <c r="F319" s="34" t="s">
        <v>1097</v>
      </c>
      <c r="G319" s="24" t="s">
        <v>141</v>
      </c>
      <c r="H319" s="27" t="n">
        <f aca="false">IFERROR(INDEX('Inventory Master'!$T$2:$T$525,MATCH($A319,'Inventory Master'!$A$2:$A$525,0)),0)</f>
        <v>2</v>
      </c>
      <c r="I319" s="27" t="n">
        <v>1</v>
      </c>
      <c r="J319" s="27" t="n">
        <f aca="false">MAX(0,$H319-$I319)</f>
        <v>1</v>
      </c>
      <c r="K319" s="34" t="str">
        <f aca="false">IF($H319&gt;0,"In Stock","Out of Stock")</f>
        <v>In Stock</v>
      </c>
      <c r="L319" s="24" t="s">
        <v>1861</v>
      </c>
      <c r="M319" s="34" t="s">
        <v>1862</v>
      </c>
      <c r="N319" s="24" t="n">
        <v>2</v>
      </c>
      <c r="O319" s="24" t="n">
        <v>4</v>
      </c>
      <c r="P319" s="24" t="n">
        <v>5</v>
      </c>
      <c r="Q319" s="24" t="str">
        <f aca="false">$L319&amp;"-"&amp;TEXT($N319,"00")&amp;"-"&amp;$O319&amp;"-"&amp;TEXT($P319,"00")</f>
        <v>E-02-4-05</v>
      </c>
      <c r="R319" s="34" t="str">
        <f aca="false">"ZONE "&amp;$L319&amp;" / BAY "&amp;TEXT($N319,"00")&amp;" / SHELF "&amp;$O319&amp;" / BIN "&amp;TEXT($P319,"00")</f>
        <v>ZONE E / BAY 02 / SHELF 4 / BIN 05</v>
      </c>
      <c r="S319" s="34" t="s">
        <v>1847</v>
      </c>
      <c r="T319" s="34" t="s">
        <v>1844</v>
      </c>
      <c r="U319" s="27" t="n">
        <v>318</v>
      </c>
      <c r="V319" s="30" t="n">
        <v>46167</v>
      </c>
      <c r="W319" s="34" t="str">
        <f aca="false">IF($H319&gt;0,"Yes - "&amp;$H319&amp;" in stock at Store 0146 (size "&amp;$G319&amp;"). Back room location "&amp;$Q319&amp;" ("&amp;$R319&amp;"), "&amp;$S319&amp;". Back room "&amp;$J319&amp;" / sales floor "&amp;$I319&amp;".","Not currently in stock at Store 0146 (size "&amp;$G319&amp;"). Home location is "&amp;$Q319&amp;" ("&amp;$R319&amp;") when replenished.")</f>
        <v>Yes - 2 in stock at Store 0146 (size 11.5). Back room location E-02-4-05 (ZONE E / BAY 02 / SHELF 4 / BIN 05), Overhead - step stool. Back room 1 / sales floor 1.</v>
      </c>
    </row>
    <row r="320" customFormat="false" ht="15" hidden="false" customHeight="false" outlineLevel="0" collapsed="false">
      <c r="A320" s="34" t="s">
        <v>1154</v>
      </c>
      <c r="B320" s="34" t="s">
        <v>1155</v>
      </c>
      <c r="C320" s="34" t="s">
        <v>1087</v>
      </c>
      <c r="D320" s="34" t="s">
        <v>136</v>
      </c>
      <c r="E320" s="34" t="s">
        <v>1088</v>
      </c>
      <c r="F320" s="34" t="s">
        <v>1090</v>
      </c>
      <c r="G320" s="24" t="s">
        <v>164</v>
      </c>
      <c r="H320" s="27" t="n">
        <f aca="false">IFERROR(INDEX('Inventory Master'!$T$2:$T$525,MATCH($A320,'Inventory Master'!$A$2:$A$525,0)),0)</f>
        <v>2</v>
      </c>
      <c r="I320" s="27" t="n">
        <v>1</v>
      </c>
      <c r="J320" s="27" t="n">
        <f aca="false">MAX(0,$H320-$I320)</f>
        <v>1</v>
      </c>
      <c r="K320" s="34" t="str">
        <f aca="false">IF($H320&gt;0,"In Stock","Out of Stock")</f>
        <v>In Stock</v>
      </c>
      <c r="L320" s="24" t="s">
        <v>1861</v>
      </c>
      <c r="M320" s="34" t="s">
        <v>1862</v>
      </c>
      <c r="N320" s="24" t="n">
        <v>2</v>
      </c>
      <c r="O320" s="24" t="n">
        <v>5</v>
      </c>
      <c r="P320" s="24" t="n">
        <v>1</v>
      </c>
      <c r="Q320" s="24" t="str">
        <f aca="false">$L320&amp;"-"&amp;TEXT($N320,"00")&amp;"-"&amp;$O320&amp;"-"&amp;TEXT($P320,"00")</f>
        <v>E-02-5-01</v>
      </c>
      <c r="R320" s="34" t="str">
        <f aca="false">"ZONE "&amp;$L320&amp;" / BAY "&amp;TEXT($N320,"00")&amp;" / SHELF "&amp;$O320&amp;" / BIN "&amp;TEXT($P320,"00")</f>
        <v>ZONE E / BAY 02 / SHELF 5 / BIN 01</v>
      </c>
      <c r="S320" s="34" t="s">
        <v>1848</v>
      </c>
      <c r="T320" s="34" t="s">
        <v>1844</v>
      </c>
      <c r="U320" s="27" t="n">
        <v>319</v>
      </c>
      <c r="V320" s="30" t="n">
        <v>46227</v>
      </c>
      <c r="W320" s="34" t="str">
        <f aca="false">IF($H320&gt;0,"Yes - "&amp;$H320&amp;" in stock at Store 0146 (size "&amp;$G320&amp;"). Back room location "&amp;$Q320&amp;" ("&amp;$R320&amp;"), "&amp;$S320&amp;". Back room "&amp;$J320&amp;" / sales floor "&amp;$I320&amp;".","Not currently in stock at Store 0146 (size "&amp;$G320&amp;"). Home location is "&amp;$Q320&amp;" ("&amp;$R320&amp;") when replenished.")</f>
        <v>Yes - 2 in stock at Store 0146 (size 9). Back room location E-02-5-01 (ZONE E / BAY 02 / SHELF 5 / BIN 01), Top shelf - ladder required. Back room 1 / sales floor 1.</v>
      </c>
    </row>
    <row r="321" customFormat="false" ht="15" hidden="false" customHeight="false" outlineLevel="0" collapsed="false">
      <c r="A321" s="34" t="s">
        <v>1085</v>
      </c>
      <c r="B321" s="34" t="s">
        <v>1086</v>
      </c>
      <c r="C321" s="34" t="s">
        <v>1087</v>
      </c>
      <c r="D321" s="34" t="s">
        <v>136</v>
      </c>
      <c r="E321" s="34" t="s">
        <v>1088</v>
      </c>
      <c r="F321" s="34" t="s">
        <v>1090</v>
      </c>
      <c r="G321" s="24" t="s">
        <v>177</v>
      </c>
      <c r="H321" s="27" t="n">
        <f aca="false">IFERROR(INDEX('Inventory Master'!$T$2:$T$525,MATCH($A321,'Inventory Master'!$A$2:$A$525,0)),0)</f>
        <v>2</v>
      </c>
      <c r="I321" s="27" t="n">
        <v>1</v>
      </c>
      <c r="J321" s="27" t="n">
        <f aca="false">MAX(0,$H321-$I321)</f>
        <v>1</v>
      </c>
      <c r="K321" s="34" t="str">
        <f aca="false">IF($H321&gt;0,"In Stock","Out of Stock")</f>
        <v>In Stock</v>
      </c>
      <c r="L321" s="24" t="s">
        <v>1861</v>
      </c>
      <c r="M321" s="34" t="s">
        <v>1862</v>
      </c>
      <c r="N321" s="24" t="n">
        <v>2</v>
      </c>
      <c r="O321" s="24" t="n">
        <v>5</v>
      </c>
      <c r="P321" s="24" t="n">
        <v>2</v>
      </c>
      <c r="Q321" s="24" t="str">
        <f aca="false">$L321&amp;"-"&amp;TEXT($N321,"00")&amp;"-"&amp;$O321&amp;"-"&amp;TEXT($P321,"00")</f>
        <v>E-02-5-02</v>
      </c>
      <c r="R321" s="34" t="str">
        <f aca="false">"ZONE "&amp;$L321&amp;" / BAY "&amp;TEXT($N321,"00")&amp;" / SHELF "&amp;$O321&amp;" / BIN "&amp;TEXT($P321,"00")</f>
        <v>ZONE E / BAY 02 / SHELF 5 / BIN 02</v>
      </c>
      <c r="S321" s="34" t="s">
        <v>1848</v>
      </c>
      <c r="T321" s="34" t="s">
        <v>1844</v>
      </c>
      <c r="U321" s="27" t="n">
        <v>320</v>
      </c>
      <c r="V321" s="30" t="n">
        <v>46215</v>
      </c>
      <c r="W321" s="34" t="str">
        <f aca="false">IF($H321&gt;0,"Yes - "&amp;$H321&amp;" in stock at Store 0146 (size "&amp;$G321&amp;"). Back room location "&amp;$Q321&amp;" ("&amp;$R321&amp;"), "&amp;$S321&amp;". Back room "&amp;$J321&amp;" / sales floor "&amp;$I321&amp;".","Not currently in stock at Store 0146 (size "&amp;$G321&amp;"). Home location is "&amp;$Q321&amp;" ("&amp;$R321&amp;") when replenished.")</f>
        <v>Yes - 2 in stock at Store 0146 (size 9.5). Back room location E-02-5-02 (ZONE E / BAY 02 / SHELF 5 / BIN 02), Top shelf - ladder required. Back room 1 / sales floor 1.</v>
      </c>
    </row>
    <row r="322" customFormat="false" ht="15" hidden="false" customHeight="false" outlineLevel="0" collapsed="false">
      <c r="A322" s="34" t="s">
        <v>1627</v>
      </c>
      <c r="B322" s="34" t="s">
        <v>1628</v>
      </c>
      <c r="C322" s="34" t="s">
        <v>1087</v>
      </c>
      <c r="D322" s="34" t="s">
        <v>136</v>
      </c>
      <c r="E322" s="34" t="s">
        <v>1088</v>
      </c>
      <c r="F322" s="34" t="s">
        <v>1090</v>
      </c>
      <c r="G322" s="24" t="s">
        <v>211</v>
      </c>
      <c r="H322" s="27" t="n">
        <f aca="false">IFERROR(INDEX('Inventory Master'!$T$2:$T$525,MATCH($A322,'Inventory Master'!$A$2:$A$525,0)),0)</f>
        <v>0</v>
      </c>
      <c r="I322" s="27" t="n">
        <v>0</v>
      </c>
      <c r="J322" s="27" t="n">
        <f aca="false">MAX(0,$H322-$I322)</f>
        <v>0</v>
      </c>
      <c r="K322" s="34" t="str">
        <f aca="false">IF($H322&gt;0,"In Stock","Out of Stock")</f>
        <v>Out of Stock</v>
      </c>
      <c r="L322" s="24" t="s">
        <v>1861</v>
      </c>
      <c r="M322" s="34" t="s">
        <v>1862</v>
      </c>
      <c r="N322" s="24" t="n">
        <v>2</v>
      </c>
      <c r="O322" s="24" t="n">
        <v>5</v>
      </c>
      <c r="P322" s="24" t="n">
        <v>3</v>
      </c>
      <c r="Q322" s="24" t="str">
        <f aca="false">$L322&amp;"-"&amp;TEXT($N322,"00")&amp;"-"&amp;$O322&amp;"-"&amp;TEXT($P322,"00")</f>
        <v>E-02-5-03</v>
      </c>
      <c r="R322" s="34" t="str">
        <f aca="false">"ZONE "&amp;$L322&amp;" / BAY "&amp;TEXT($N322,"00")&amp;" / SHELF "&amp;$O322&amp;" / BIN "&amp;TEXT($P322,"00")</f>
        <v>ZONE E / BAY 02 / SHELF 5 / BIN 03</v>
      </c>
      <c r="S322" s="34" t="s">
        <v>1848</v>
      </c>
      <c r="T322" s="34" t="s">
        <v>1844</v>
      </c>
      <c r="U322" s="27" t="n">
        <v>321</v>
      </c>
      <c r="V322" s="30" t="n">
        <v>46152</v>
      </c>
      <c r="W322" s="34" t="str">
        <f aca="false">IF($H322&gt;0,"Yes - "&amp;$H322&amp;" in stock at Store 0146 (size "&amp;$G322&amp;"). Back room location "&amp;$Q322&amp;" ("&amp;$R322&amp;"), "&amp;$S322&amp;". Back room "&amp;$J322&amp;" / sales floor "&amp;$I322&amp;".","Not currently in stock at Store 0146 (size "&amp;$G322&amp;"). Home location is "&amp;$Q322&amp;" ("&amp;$R322&amp;") when replenished.")</f>
        <v>Not currently in stock at Store 0146 (size 10). Home location is E-02-5-03 (ZONE E / BAY 02 / SHELF 5 / BIN 03) when replenished.</v>
      </c>
    </row>
    <row r="323" customFormat="false" ht="15" hidden="false" customHeight="false" outlineLevel="0" collapsed="false">
      <c r="A323" s="34" t="s">
        <v>1388</v>
      </c>
      <c r="B323" s="34" t="s">
        <v>1389</v>
      </c>
      <c r="C323" s="34" t="s">
        <v>1087</v>
      </c>
      <c r="D323" s="34" t="s">
        <v>136</v>
      </c>
      <c r="E323" s="34" t="s">
        <v>1088</v>
      </c>
      <c r="F323" s="34" t="s">
        <v>1090</v>
      </c>
      <c r="G323" s="24" t="s">
        <v>327</v>
      </c>
      <c r="H323" s="27" t="n">
        <f aca="false">IFERROR(INDEX('Inventory Master'!$T$2:$T$525,MATCH($A323,'Inventory Master'!$A$2:$A$525,0)),0)</f>
        <v>0</v>
      </c>
      <c r="I323" s="27" t="n">
        <v>0</v>
      </c>
      <c r="J323" s="27" t="n">
        <f aca="false">MAX(0,$H323-$I323)</f>
        <v>0</v>
      </c>
      <c r="K323" s="34" t="str">
        <f aca="false">IF($H323&gt;0,"In Stock","Out of Stock")</f>
        <v>Out of Stock</v>
      </c>
      <c r="L323" s="24" t="s">
        <v>1861</v>
      </c>
      <c r="M323" s="34" t="s">
        <v>1862</v>
      </c>
      <c r="N323" s="24" t="n">
        <v>2</v>
      </c>
      <c r="O323" s="24" t="n">
        <v>5</v>
      </c>
      <c r="P323" s="24" t="n">
        <v>4</v>
      </c>
      <c r="Q323" s="24" t="str">
        <f aca="false">$L323&amp;"-"&amp;TEXT($N323,"00")&amp;"-"&amp;$O323&amp;"-"&amp;TEXT($P323,"00")</f>
        <v>E-02-5-04</v>
      </c>
      <c r="R323" s="34" t="str">
        <f aca="false">"ZONE "&amp;$L323&amp;" / BAY "&amp;TEXT($N323,"00")&amp;" / SHELF "&amp;$O323&amp;" / BIN "&amp;TEXT($P323,"00")</f>
        <v>ZONE E / BAY 02 / SHELF 5 / BIN 04</v>
      </c>
      <c r="S323" s="34" t="s">
        <v>1848</v>
      </c>
      <c r="T323" s="34" t="s">
        <v>1844</v>
      </c>
      <c r="U323" s="27" t="n">
        <v>322</v>
      </c>
      <c r="V323" s="30" t="n">
        <v>46212</v>
      </c>
      <c r="W323" s="34" t="str">
        <f aca="false">IF($H323&gt;0,"Yes - "&amp;$H323&amp;" in stock at Store 0146 (size "&amp;$G323&amp;"). Back room location "&amp;$Q323&amp;" ("&amp;$R323&amp;"), "&amp;$S323&amp;". Back room "&amp;$J323&amp;" / sales floor "&amp;$I323&amp;".","Not currently in stock at Store 0146 (size "&amp;$G323&amp;"). Home location is "&amp;$Q323&amp;" ("&amp;$R323&amp;") when replenished.")</f>
        <v>Not currently in stock at Store 0146 (size 10.5). Home location is E-02-5-04 (ZONE E / BAY 02 / SHELF 5 / BIN 04) when replenished.</v>
      </c>
    </row>
    <row r="324" customFormat="false" ht="15" hidden="false" customHeight="false" outlineLevel="0" collapsed="false">
      <c r="A324" s="34" t="s">
        <v>1099</v>
      </c>
      <c r="B324" s="34" t="s">
        <v>1100</v>
      </c>
      <c r="C324" s="34" t="s">
        <v>1087</v>
      </c>
      <c r="D324" s="34" t="s">
        <v>136</v>
      </c>
      <c r="E324" s="34" t="s">
        <v>1088</v>
      </c>
      <c r="F324" s="34" t="s">
        <v>1090</v>
      </c>
      <c r="G324" s="24" t="s">
        <v>258</v>
      </c>
      <c r="H324" s="27" t="n">
        <f aca="false">IFERROR(INDEX('Inventory Master'!$T$2:$T$525,MATCH($A324,'Inventory Master'!$A$2:$A$525,0)),0)</f>
        <v>3</v>
      </c>
      <c r="I324" s="27" t="n">
        <v>2</v>
      </c>
      <c r="J324" s="27" t="n">
        <f aca="false">MAX(0,$H324-$I324)</f>
        <v>1</v>
      </c>
      <c r="K324" s="34" t="str">
        <f aca="false">IF($H324&gt;0,"In Stock","Out of Stock")</f>
        <v>In Stock</v>
      </c>
      <c r="L324" s="24" t="s">
        <v>1861</v>
      </c>
      <c r="M324" s="34" t="s">
        <v>1862</v>
      </c>
      <c r="N324" s="24" t="n">
        <v>2</v>
      </c>
      <c r="O324" s="24" t="n">
        <v>5</v>
      </c>
      <c r="P324" s="24" t="n">
        <v>5</v>
      </c>
      <c r="Q324" s="24" t="str">
        <f aca="false">$L324&amp;"-"&amp;TEXT($N324,"00")&amp;"-"&amp;$O324&amp;"-"&amp;TEXT($P324,"00")</f>
        <v>E-02-5-05</v>
      </c>
      <c r="R324" s="34" t="str">
        <f aca="false">"ZONE "&amp;$L324&amp;" / BAY "&amp;TEXT($N324,"00")&amp;" / SHELF "&amp;$O324&amp;" / BIN "&amp;TEXT($P324,"00")</f>
        <v>ZONE E / BAY 02 / SHELF 5 / BIN 05</v>
      </c>
      <c r="S324" s="34" t="s">
        <v>1848</v>
      </c>
      <c r="T324" s="34" t="s">
        <v>1844</v>
      </c>
      <c r="U324" s="27" t="n">
        <v>323</v>
      </c>
      <c r="V324" s="30" t="n">
        <v>46150</v>
      </c>
      <c r="W324" s="34" t="str">
        <f aca="false">IF($H324&gt;0,"Yes - "&amp;$H324&amp;" in stock at Store 0146 (size "&amp;$G324&amp;"). Back room location "&amp;$Q324&amp;" ("&amp;$R324&amp;"), "&amp;$S324&amp;". Back room "&amp;$J324&amp;" / sales floor "&amp;$I324&amp;".","Not currently in stock at Store 0146 (size "&amp;$G324&amp;"). Home location is "&amp;$Q324&amp;" ("&amp;$R324&amp;") when replenished.")</f>
        <v>Yes - 3 in stock at Store 0146 (size 11). Back room location E-02-5-05 (ZONE E / BAY 02 / SHELF 5 / BIN 05), Top shelf - ladder required. Back room 1 / sales floor 2.</v>
      </c>
    </row>
    <row r="325" customFormat="false" ht="15" hidden="false" customHeight="false" outlineLevel="0" collapsed="false">
      <c r="A325" s="34" t="s">
        <v>1817</v>
      </c>
      <c r="B325" s="34" t="s">
        <v>1818</v>
      </c>
      <c r="C325" s="34" t="s">
        <v>1087</v>
      </c>
      <c r="D325" s="34" t="s">
        <v>136</v>
      </c>
      <c r="E325" s="34" t="s">
        <v>1088</v>
      </c>
      <c r="F325" s="34" t="s">
        <v>1090</v>
      </c>
      <c r="G325" s="24" t="s">
        <v>141</v>
      </c>
      <c r="H325" s="27" t="n">
        <f aca="false">IFERROR(INDEX('Inventory Master'!$T$2:$T$525,MATCH($A325,'Inventory Master'!$A$2:$A$525,0)),0)</f>
        <v>2</v>
      </c>
      <c r="I325" s="27" t="n">
        <v>1</v>
      </c>
      <c r="J325" s="27" t="n">
        <f aca="false">MAX(0,$H325-$I325)</f>
        <v>1</v>
      </c>
      <c r="K325" s="34" t="str">
        <f aca="false">IF($H325&gt;0,"In Stock","Out of Stock")</f>
        <v>In Stock</v>
      </c>
      <c r="L325" s="24" t="s">
        <v>1861</v>
      </c>
      <c r="M325" s="34" t="s">
        <v>1862</v>
      </c>
      <c r="N325" s="24" t="n">
        <v>2</v>
      </c>
      <c r="O325" s="24" t="n">
        <v>5</v>
      </c>
      <c r="P325" s="24" t="n">
        <v>6</v>
      </c>
      <c r="Q325" s="24" t="str">
        <f aca="false">$L325&amp;"-"&amp;TEXT($N325,"00")&amp;"-"&amp;$O325&amp;"-"&amp;TEXT($P325,"00")</f>
        <v>E-02-5-06</v>
      </c>
      <c r="R325" s="34" t="str">
        <f aca="false">"ZONE "&amp;$L325&amp;" / BAY "&amp;TEXT($N325,"00")&amp;" / SHELF "&amp;$O325&amp;" / BIN "&amp;TEXT($P325,"00")</f>
        <v>ZONE E / BAY 02 / SHELF 5 / BIN 06</v>
      </c>
      <c r="S325" s="34" t="s">
        <v>1848</v>
      </c>
      <c r="T325" s="34" t="s">
        <v>1844</v>
      </c>
      <c r="U325" s="27" t="n">
        <v>324</v>
      </c>
      <c r="V325" s="30" t="n">
        <v>46211</v>
      </c>
      <c r="W325" s="34" t="str">
        <f aca="false">IF($H325&gt;0,"Yes - "&amp;$H325&amp;" in stock at Store 0146 (size "&amp;$G325&amp;"). Back room location "&amp;$Q325&amp;" ("&amp;$R325&amp;"), "&amp;$S325&amp;". Back room "&amp;$J325&amp;" / sales floor "&amp;$I325&amp;".","Not currently in stock at Store 0146 (size "&amp;$G325&amp;"). Home location is "&amp;$Q325&amp;" ("&amp;$R325&amp;") when replenished.")</f>
        <v>Yes - 2 in stock at Store 0146 (size 11.5). Back room location E-02-5-06 (ZONE E / BAY 02 / SHELF 5 / BIN 06), Top shelf - ladder required. Back room 1 / sales floor 1.</v>
      </c>
    </row>
    <row r="326" customFormat="false" ht="15" hidden="false" customHeight="false" outlineLevel="0" collapsed="false">
      <c r="A326" s="34" t="s">
        <v>1534</v>
      </c>
      <c r="B326" s="34" t="s">
        <v>1535</v>
      </c>
      <c r="C326" s="34" t="s">
        <v>412</v>
      </c>
      <c r="D326" s="34" t="s">
        <v>136</v>
      </c>
      <c r="E326" s="34" t="s">
        <v>413</v>
      </c>
      <c r="F326" s="34" t="s">
        <v>415</v>
      </c>
      <c r="G326" s="24" t="s">
        <v>188</v>
      </c>
      <c r="H326" s="27" t="n">
        <f aca="false">IFERROR(INDEX('Inventory Master'!$T$2:$T$525,MATCH($A326,'Inventory Master'!$A$2:$A$525,0)),0)</f>
        <v>0</v>
      </c>
      <c r="I326" s="27" t="n">
        <v>0</v>
      </c>
      <c r="J326" s="27" t="n">
        <f aca="false">MAX(0,$H326-$I326)</f>
        <v>0</v>
      </c>
      <c r="K326" s="34" t="str">
        <f aca="false">IF($H326&gt;0,"In Stock","Out of Stock")</f>
        <v>Out of Stock</v>
      </c>
      <c r="L326" s="24" t="s">
        <v>1861</v>
      </c>
      <c r="M326" s="34" t="s">
        <v>1862</v>
      </c>
      <c r="N326" s="24" t="n">
        <v>3</v>
      </c>
      <c r="O326" s="24" t="n">
        <v>1</v>
      </c>
      <c r="P326" s="24" t="n">
        <v>1</v>
      </c>
      <c r="Q326" s="24" t="str">
        <f aca="false">$L326&amp;"-"&amp;TEXT($N326,"00")&amp;"-"&amp;$O326&amp;"-"&amp;TEXT($P326,"00")</f>
        <v>E-03-1-01</v>
      </c>
      <c r="R326" s="34" t="str">
        <f aca="false">"ZONE "&amp;$L326&amp;" / BAY "&amp;TEXT($N326,"00")&amp;" / SHELF "&amp;$O326&amp;" / BIN "&amp;TEXT($P326,"00")</f>
        <v>ZONE E / BAY 03 / SHELF 1 / BIN 01</v>
      </c>
      <c r="S326" s="34" t="s">
        <v>1843</v>
      </c>
      <c r="T326" s="34" t="s">
        <v>1844</v>
      </c>
      <c r="U326" s="27" t="n">
        <v>325</v>
      </c>
      <c r="V326" s="30" t="n">
        <v>46188</v>
      </c>
      <c r="W326" s="34" t="str">
        <f aca="false">IF($H326&gt;0,"Yes - "&amp;$H326&amp;" in stock at Store 0146 (size "&amp;$G326&amp;"). Back room location "&amp;$Q326&amp;" ("&amp;$R326&amp;"), "&amp;$S326&amp;". Back room "&amp;$J326&amp;" / sales floor "&amp;$I326&amp;".","Not currently in stock at Store 0146 (size "&amp;$G326&amp;"). Home location is "&amp;$Q326&amp;" ("&amp;$R326&amp;") when replenished.")</f>
        <v>Not currently in stock at Store 0146 (size 8.5). Home location is E-03-1-01 (ZONE E / BAY 03 / SHELF 1 / BIN 01) when replenished.</v>
      </c>
    </row>
    <row r="327" customFormat="false" ht="15" hidden="false" customHeight="false" outlineLevel="0" collapsed="false">
      <c r="A327" s="34" t="s">
        <v>1779</v>
      </c>
      <c r="B327" s="34" t="s">
        <v>1780</v>
      </c>
      <c r="C327" s="34" t="s">
        <v>412</v>
      </c>
      <c r="D327" s="34" t="s">
        <v>136</v>
      </c>
      <c r="E327" s="34" t="s">
        <v>413</v>
      </c>
      <c r="F327" s="34" t="s">
        <v>415</v>
      </c>
      <c r="G327" s="24" t="s">
        <v>164</v>
      </c>
      <c r="H327" s="27" t="n">
        <f aca="false">IFERROR(INDEX('Inventory Master'!$T$2:$T$525,MATCH($A327,'Inventory Master'!$A$2:$A$525,0)),0)</f>
        <v>4</v>
      </c>
      <c r="I327" s="27" t="n">
        <v>2</v>
      </c>
      <c r="J327" s="27" t="n">
        <f aca="false">MAX(0,$H327-$I327)</f>
        <v>2</v>
      </c>
      <c r="K327" s="34" t="str">
        <f aca="false">IF($H327&gt;0,"In Stock","Out of Stock")</f>
        <v>In Stock</v>
      </c>
      <c r="L327" s="24" t="s">
        <v>1861</v>
      </c>
      <c r="M327" s="34" t="s">
        <v>1862</v>
      </c>
      <c r="N327" s="24" t="n">
        <v>3</v>
      </c>
      <c r="O327" s="24" t="n">
        <v>1</v>
      </c>
      <c r="P327" s="24" t="n">
        <v>2</v>
      </c>
      <c r="Q327" s="24" t="str">
        <f aca="false">$L327&amp;"-"&amp;TEXT($N327,"00")&amp;"-"&amp;$O327&amp;"-"&amp;TEXT($P327,"00")</f>
        <v>E-03-1-02</v>
      </c>
      <c r="R327" s="34" t="str">
        <f aca="false">"ZONE "&amp;$L327&amp;" / BAY "&amp;TEXT($N327,"00")&amp;" / SHELF "&amp;$O327&amp;" / BIN "&amp;TEXT($P327,"00")</f>
        <v>ZONE E / BAY 03 / SHELF 1 / BIN 02</v>
      </c>
      <c r="S327" s="34" t="s">
        <v>1843</v>
      </c>
      <c r="T327" s="34" t="s">
        <v>1844</v>
      </c>
      <c r="U327" s="27" t="n">
        <v>326</v>
      </c>
      <c r="V327" s="30" t="n">
        <v>46144</v>
      </c>
      <c r="W327" s="34" t="str">
        <f aca="false">IF($H327&gt;0,"Yes - "&amp;$H327&amp;" in stock at Store 0146 (size "&amp;$G327&amp;"). Back room location "&amp;$Q327&amp;" ("&amp;$R327&amp;"), "&amp;$S327&amp;". Back room "&amp;$J327&amp;" / sales floor "&amp;$I327&amp;".","Not currently in stock at Store 0146 (size "&amp;$G327&amp;"). Home location is "&amp;$Q327&amp;" ("&amp;$R327&amp;") when replenished.")</f>
        <v>Yes - 4 in stock at Store 0146 (size 9). Back room location E-03-1-02 (ZONE E / BAY 03 / SHELF 1 / BIN 02), Floor level - no reach. Back room 2 / sales floor 2.</v>
      </c>
    </row>
    <row r="328" customFormat="false" ht="15" hidden="false" customHeight="false" outlineLevel="0" collapsed="false">
      <c r="A328" s="34" t="s">
        <v>1332</v>
      </c>
      <c r="B328" s="34" t="s">
        <v>1333</v>
      </c>
      <c r="C328" s="34" t="s">
        <v>412</v>
      </c>
      <c r="D328" s="34" t="s">
        <v>136</v>
      </c>
      <c r="E328" s="34" t="s">
        <v>413</v>
      </c>
      <c r="F328" s="34" t="s">
        <v>415</v>
      </c>
      <c r="G328" s="24" t="s">
        <v>177</v>
      </c>
      <c r="H328" s="27" t="n">
        <f aca="false">IFERROR(INDEX('Inventory Master'!$T$2:$T$525,MATCH($A328,'Inventory Master'!$A$2:$A$525,0)),0)</f>
        <v>5</v>
      </c>
      <c r="I328" s="27" t="n">
        <v>2</v>
      </c>
      <c r="J328" s="27" t="n">
        <f aca="false">MAX(0,$H328-$I328)</f>
        <v>3</v>
      </c>
      <c r="K328" s="34" t="str">
        <f aca="false">IF($H328&gt;0,"In Stock","Out of Stock")</f>
        <v>In Stock</v>
      </c>
      <c r="L328" s="24" t="s">
        <v>1861</v>
      </c>
      <c r="M328" s="34" t="s">
        <v>1862</v>
      </c>
      <c r="N328" s="24" t="n">
        <v>3</v>
      </c>
      <c r="O328" s="24" t="n">
        <v>1</v>
      </c>
      <c r="P328" s="24" t="n">
        <v>3</v>
      </c>
      <c r="Q328" s="24" t="str">
        <f aca="false">$L328&amp;"-"&amp;TEXT($N328,"00")&amp;"-"&amp;$O328&amp;"-"&amp;TEXT($P328,"00")</f>
        <v>E-03-1-03</v>
      </c>
      <c r="R328" s="34" t="str">
        <f aca="false">"ZONE "&amp;$L328&amp;" / BAY "&amp;TEXT($N328,"00")&amp;" / SHELF "&amp;$O328&amp;" / BIN "&amp;TEXT($P328,"00")</f>
        <v>ZONE E / BAY 03 / SHELF 1 / BIN 03</v>
      </c>
      <c r="S328" s="34" t="s">
        <v>1843</v>
      </c>
      <c r="T328" s="34" t="s">
        <v>1844</v>
      </c>
      <c r="U328" s="27" t="n">
        <v>327</v>
      </c>
      <c r="V328" s="30" t="n">
        <v>46184</v>
      </c>
      <c r="W328" s="34" t="str">
        <f aca="false">IF($H328&gt;0,"Yes - "&amp;$H328&amp;" in stock at Store 0146 (size "&amp;$G328&amp;"). Back room location "&amp;$Q328&amp;" ("&amp;$R328&amp;"), "&amp;$S328&amp;". Back room "&amp;$J328&amp;" / sales floor "&amp;$I328&amp;".","Not currently in stock at Store 0146 (size "&amp;$G328&amp;"). Home location is "&amp;$Q328&amp;" ("&amp;$R328&amp;") when replenished.")</f>
        <v>Yes - 5 in stock at Store 0146 (size 9.5). Back room location E-03-1-03 (ZONE E / BAY 03 / SHELF 1 / BIN 03), Floor level - no reach. Back room 3 / sales floor 2.</v>
      </c>
    </row>
    <row r="329" customFormat="false" ht="15" hidden="false" customHeight="false" outlineLevel="0" collapsed="false">
      <c r="A329" s="34" t="s">
        <v>410</v>
      </c>
      <c r="B329" s="34" t="s">
        <v>411</v>
      </c>
      <c r="C329" s="34" t="s">
        <v>412</v>
      </c>
      <c r="D329" s="34" t="s">
        <v>136</v>
      </c>
      <c r="E329" s="34" t="s">
        <v>413</v>
      </c>
      <c r="F329" s="34" t="s">
        <v>415</v>
      </c>
      <c r="G329" s="24" t="s">
        <v>211</v>
      </c>
      <c r="H329" s="27" t="n">
        <f aca="false">IFERROR(INDEX('Inventory Master'!$T$2:$T$525,MATCH($A329,'Inventory Master'!$A$2:$A$525,0)),0)</f>
        <v>4</v>
      </c>
      <c r="I329" s="27" t="n">
        <v>0</v>
      </c>
      <c r="J329" s="27" t="n">
        <f aca="false">MAX(0,$H329-$I329)</f>
        <v>4</v>
      </c>
      <c r="K329" s="34" t="str">
        <f aca="false">IF($H329&gt;0,"In Stock","Out of Stock")</f>
        <v>In Stock</v>
      </c>
      <c r="L329" s="24" t="s">
        <v>1861</v>
      </c>
      <c r="M329" s="34" t="s">
        <v>1862</v>
      </c>
      <c r="N329" s="24" t="n">
        <v>3</v>
      </c>
      <c r="O329" s="24" t="n">
        <v>1</v>
      </c>
      <c r="P329" s="24" t="n">
        <v>4</v>
      </c>
      <c r="Q329" s="24" t="str">
        <f aca="false">$L329&amp;"-"&amp;TEXT($N329,"00")&amp;"-"&amp;$O329&amp;"-"&amp;TEXT($P329,"00")</f>
        <v>E-03-1-04</v>
      </c>
      <c r="R329" s="34" t="str">
        <f aca="false">"ZONE "&amp;$L329&amp;" / BAY "&amp;TEXT($N329,"00")&amp;" / SHELF "&amp;$O329&amp;" / BIN "&amp;TEXT($P329,"00")</f>
        <v>ZONE E / BAY 03 / SHELF 1 / BIN 04</v>
      </c>
      <c r="S329" s="34" t="s">
        <v>1843</v>
      </c>
      <c r="T329" s="34" t="s">
        <v>1844</v>
      </c>
      <c r="U329" s="27" t="n">
        <v>328</v>
      </c>
      <c r="V329" s="30" t="n">
        <v>46208</v>
      </c>
      <c r="W329" s="34" t="str">
        <f aca="false">IF($H329&gt;0,"Yes - "&amp;$H329&amp;" in stock at Store 0146 (size "&amp;$G329&amp;"). Back room location "&amp;$Q329&amp;" ("&amp;$R329&amp;"), "&amp;$S329&amp;". Back room "&amp;$J329&amp;" / sales floor "&amp;$I329&amp;".","Not currently in stock at Store 0146 (size "&amp;$G329&amp;"). Home location is "&amp;$Q329&amp;" ("&amp;$R329&amp;") when replenished.")</f>
        <v>Yes - 4 in stock at Store 0146 (size 10). Back room location E-03-1-04 (ZONE E / BAY 03 / SHELF 1 / BIN 04), Floor level - no reach. Back room 4 / sales floor 0.</v>
      </c>
    </row>
    <row r="330" customFormat="false" ht="15" hidden="false" customHeight="false" outlineLevel="0" collapsed="false">
      <c r="A330" s="34" t="s">
        <v>1308</v>
      </c>
      <c r="B330" s="34" t="s">
        <v>1309</v>
      </c>
      <c r="C330" s="34" t="s">
        <v>412</v>
      </c>
      <c r="D330" s="34" t="s">
        <v>136</v>
      </c>
      <c r="E330" s="34" t="s">
        <v>413</v>
      </c>
      <c r="F330" s="34" t="s">
        <v>415</v>
      </c>
      <c r="G330" s="24" t="s">
        <v>327</v>
      </c>
      <c r="H330" s="27" t="n">
        <f aca="false">IFERROR(INDEX('Inventory Master'!$T$2:$T$525,MATCH($A330,'Inventory Master'!$A$2:$A$525,0)),0)</f>
        <v>2</v>
      </c>
      <c r="I330" s="27" t="n">
        <v>1</v>
      </c>
      <c r="J330" s="27" t="n">
        <f aca="false">MAX(0,$H330-$I330)</f>
        <v>1</v>
      </c>
      <c r="K330" s="34" t="str">
        <f aca="false">IF($H330&gt;0,"In Stock","Out of Stock")</f>
        <v>In Stock</v>
      </c>
      <c r="L330" s="24" t="s">
        <v>1861</v>
      </c>
      <c r="M330" s="34" t="s">
        <v>1862</v>
      </c>
      <c r="N330" s="24" t="n">
        <v>3</v>
      </c>
      <c r="O330" s="24" t="n">
        <v>1</v>
      </c>
      <c r="P330" s="24" t="n">
        <v>5</v>
      </c>
      <c r="Q330" s="24" t="str">
        <f aca="false">$L330&amp;"-"&amp;TEXT($N330,"00")&amp;"-"&amp;$O330&amp;"-"&amp;TEXT($P330,"00")</f>
        <v>E-03-1-05</v>
      </c>
      <c r="R330" s="34" t="str">
        <f aca="false">"ZONE "&amp;$L330&amp;" / BAY "&amp;TEXT($N330,"00")&amp;" / SHELF "&amp;$O330&amp;" / BIN "&amp;TEXT($P330,"00")</f>
        <v>ZONE E / BAY 03 / SHELF 1 / BIN 05</v>
      </c>
      <c r="S330" s="34" t="s">
        <v>1843</v>
      </c>
      <c r="T330" s="34" t="s">
        <v>1844</v>
      </c>
      <c r="U330" s="27" t="n">
        <v>329</v>
      </c>
      <c r="V330" s="30" t="n">
        <v>46202</v>
      </c>
      <c r="W330" s="34" t="str">
        <f aca="false">IF($H330&gt;0,"Yes - "&amp;$H330&amp;" in stock at Store 0146 (size "&amp;$G330&amp;"). Back room location "&amp;$Q330&amp;" ("&amp;$R330&amp;"), "&amp;$S330&amp;". Back room "&amp;$J330&amp;" / sales floor "&amp;$I330&amp;".","Not currently in stock at Store 0146 (size "&amp;$G330&amp;"). Home location is "&amp;$Q330&amp;" ("&amp;$R330&amp;") when replenished.")</f>
        <v>Yes - 2 in stock at Store 0146 (size 10.5). Back room location E-03-1-05 (ZONE E / BAY 03 / SHELF 1 / BIN 05), Floor level - no reach. Back room 1 / sales floor 1.</v>
      </c>
    </row>
    <row r="331" customFormat="false" ht="15" hidden="false" customHeight="false" outlineLevel="0" collapsed="false">
      <c r="A331" s="34" t="s">
        <v>1595</v>
      </c>
      <c r="B331" s="34" t="s">
        <v>1596</v>
      </c>
      <c r="C331" s="34" t="s">
        <v>412</v>
      </c>
      <c r="D331" s="34" t="s">
        <v>136</v>
      </c>
      <c r="E331" s="34" t="s">
        <v>413</v>
      </c>
      <c r="F331" s="34" t="s">
        <v>415</v>
      </c>
      <c r="G331" s="24" t="s">
        <v>258</v>
      </c>
      <c r="H331" s="27" t="n">
        <f aca="false">IFERROR(INDEX('Inventory Master'!$T$2:$T$525,MATCH($A331,'Inventory Master'!$A$2:$A$525,0)),0)</f>
        <v>0</v>
      </c>
      <c r="I331" s="27" t="n">
        <v>0</v>
      </c>
      <c r="J331" s="27" t="n">
        <f aca="false">MAX(0,$H331-$I331)</f>
        <v>0</v>
      </c>
      <c r="K331" s="34" t="str">
        <f aca="false">IF($H331&gt;0,"In Stock","Out of Stock")</f>
        <v>Out of Stock</v>
      </c>
      <c r="L331" s="24" t="s">
        <v>1861</v>
      </c>
      <c r="M331" s="34" t="s">
        <v>1862</v>
      </c>
      <c r="N331" s="24" t="n">
        <v>3</v>
      </c>
      <c r="O331" s="24" t="n">
        <v>1</v>
      </c>
      <c r="P331" s="24" t="n">
        <v>6</v>
      </c>
      <c r="Q331" s="24" t="str">
        <f aca="false">$L331&amp;"-"&amp;TEXT($N331,"00")&amp;"-"&amp;$O331&amp;"-"&amp;TEXT($P331,"00")</f>
        <v>E-03-1-06</v>
      </c>
      <c r="R331" s="34" t="str">
        <f aca="false">"ZONE "&amp;$L331&amp;" / BAY "&amp;TEXT($N331,"00")&amp;" / SHELF "&amp;$O331&amp;" / BIN "&amp;TEXT($P331,"00")</f>
        <v>ZONE E / BAY 03 / SHELF 1 / BIN 06</v>
      </c>
      <c r="S331" s="34" t="s">
        <v>1843</v>
      </c>
      <c r="T331" s="34" t="s">
        <v>1844</v>
      </c>
      <c r="U331" s="27" t="n">
        <v>330</v>
      </c>
      <c r="V331" s="30" t="n">
        <v>46221</v>
      </c>
      <c r="W331" s="34" t="str">
        <f aca="false">IF($H331&gt;0,"Yes - "&amp;$H331&amp;" in stock at Store 0146 (size "&amp;$G331&amp;"). Back room location "&amp;$Q331&amp;" ("&amp;$R331&amp;"), "&amp;$S331&amp;". Back room "&amp;$J331&amp;" / sales floor "&amp;$I331&amp;".","Not currently in stock at Store 0146 (size "&amp;$G331&amp;"). Home location is "&amp;$Q331&amp;" ("&amp;$R331&amp;") when replenished.")</f>
        <v>Not currently in stock at Store 0146 (size 11). Home location is E-03-1-06 (ZONE E / BAY 03 / SHELF 1 / BIN 06) when replenished.</v>
      </c>
    </row>
    <row r="332" customFormat="false" ht="15" hidden="false" customHeight="false" outlineLevel="0" collapsed="false">
      <c r="A332" s="34" t="s">
        <v>1540</v>
      </c>
      <c r="B332" s="34" t="s">
        <v>1541</v>
      </c>
      <c r="C332" s="34" t="s">
        <v>419</v>
      </c>
      <c r="D332" s="34" t="s">
        <v>123</v>
      </c>
      <c r="E332" s="34" t="s">
        <v>420</v>
      </c>
      <c r="F332" s="34" t="s">
        <v>422</v>
      </c>
      <c r="G332" s="24" t="s">
        <v>188</v>
      </c>
      <c r="H332" s="27" t="n">
        <f aca="false">IFERROR(INDEX('Inventory Master'!$T$2:$T$525,MATCH($A332,'Inventory Master'!$A$2:$A$525,0)),0)</f>
        <v>0</v>
      </c>
      <c r="I332" s="27" t="n">
        <v>0</v>
      </c>
      <c r="J332" s="27" t="n">
        <f aca="false">MAX(0,$H332-$I332)</f>
        <v>0</v>
      </c>
      <c r="K332" s="34" t="str">
        <f aca="false">IF($H332&gt;0,"In Stock","Out of Stock")</f>
        <v>Out of Stock</v>
      </c>
      <c r="L332" s="24" t="s">
        <v>1861</v>
      </c>
      <c r="M332" s="34" t="s">
        <v>1862</v>
      </c>
      <c r="N332" s="24" t="n">
        <v>3</v>
      </c>
      <c r="O332" s="24" t="n">
        <v>2</v>
      </c>
      <c r="P332" s="24" t="n">
        <v>1</v>
      </c>
      <c r="Q332" s="24" t="str">
        <f aca="false">$L332&amp;"-"&amp;TEXT($N332,"00")&amp;"-"&amp;$O332&amp;"-"&amp;TEXT($P332,"00")</f>
        <v>E-03-2-01</v>
      </c>
      <c r="R332" s="34" t="str">
        <f aca="false">"ZONE "&amp;$L332&amp;" / BAY "&amp;TEXT($N332,"00")&amp;" / SHELF "&amp;$O332&amp;" / BIN "&amp;TEXT($P332,"00")</f>
        <v>ZONE E / BAY 03 / SHELF 2 / BIN 01</v>
      </c>
      <c r="S332" s="34" t="s">
        <v>1845</v>
      </c>
      <c r="T332" s="34" t="s">
        <v>1844</v>
      </c>
      <c r="U332" s="27" t="n">
        <v>331</v>
      </c>
      <c r="V332" s="30" t="n">
        <v>46180</v>
      </c>
      <c r="W332" s="34" t="str">
        <f aca="false">IF($H332&gt;0,"Yes - "&amp;$H332&amp;" in stock at Store 0146 (size "&amp;$G332&amp;"). Back room location "&amp;$Q332&amp;" ("&amp;$R332&amp;"), "&amp;$S332&amp;". Back room "&amp;$J332&amp;" / sales floor "&amp;$I332&amp;".","Not currently in stock at Store 0146 (size "&amp;$G332&amp;"). Home location is "&amp;$Q332&amp;" ("&amp;$R332&amp;") when replenished.")</f>
        <v>Not currently in stock at Store 0146 (size 8.5). Home location is E-03-2-01 (ZONE E / BAY 03 / SHELF 2 / BIN 01) when replenished.</v>
      </c>
    </row>
    <row r="333" customFormat="false" ht="15" hidden="false" customHeight="false" outlineLevel="0" collapsed="false">
      <c r="A333" s="34" t="s">
        <v>1183</v>
      </c>
      <c r="B333" s="34" t="s">
        <v>1184</v>
      </c>
      <c r="C333" s="34" t="s">
        <v>419</v>
      </c>
      <c r="D333" s="34" t="s">
        <v>123</v>
      </c>
      <c r="E333" s="34" t="s">
        <v>420</v>
      </c>
      <c r="F333" s="34" t="s">
        <v>422</v>
      </c>
      <c r="G333" s="24" t="s">
        <v>164</v>
      </c>
      <c r="H333" s="27" t="n">
        <f aca="false">IFERROR(INDEX('Inventory Master'!$T$2:$T$525,MATCH($A333,'Inventory Master'!$A$2:$A$525,0)),0)</f>
        <v>0</v>
      </c>
      <c r="I333" s="27" t="n">
        <v>0</v>
      </c>
      <c r="J333" s="27" t="n">
        <f aca="false">MAX(0,$H333-$I333)</f>
        <v>0</v>
      </c>
      <c r="K333" s="34" t="str">
        <f aca="false">IF($H333&gt;0,"In Stock","Out of Stock")</f>
        <v>Out of Stock</v>
      </c>
      <c r="L333" s="24" t="s">
        <v>1861</v>
      </c>
      <c r="M333" s="34" t="s">
        <v>1862</v>
      </c>
      <c r="N333" s="24" t="n">
        <v>3</v>
      </c>
      <c r="O333" s="24" t="n">
        <v>2</v>
      </c>
      <c r="P333" s="24" t="n">
        <v>2</v>
      </c>
      <c r="Q333" s="24" t="str">
        <f aca="false">$L333&amp;"-"&amp;TEXT($N333,"00")&amp;"-"&amp;$O333&amp;"-"&amp;TEXT($P333,"00")</f>
        <v>E-03-2-02</v>
      </c>
      <c r="R333" s="34" t="str">
        <f aca="false">"ZONE "&amp;$L333&amp;" / BAY "&amp;TEXT($N333,"00")&amp;" / SHELF "&amp;$O333&amp;" / BIN "&amp;TEXT($P333,"00")</f>
        <v>ZONE E / BAY 03 / SHELF 2 / BIN 02</v>
      </c>
      <c r="S333" s="34" t="s">
        <v>1845</v>
      </c>
      <c r="T333" s="34" t="s">
        <v>1844</v>
      </c>
      <c r="U333" s="27" t="n">
        <v>332</v>
      </c>
      <c r="V333" s="30" t="n">
        <v>46156</v>
      </c>
      <c r="W333" s="34" t="str">
        <f aca="false">IF($H333&gt;0,"Yes - "&amp;$H333&amp;" in stock at Store 0146 (size "&amp;$G333&amp;"). Back room location "&amp;$Q333&amp;" ("&amp;$R333&amp;"), "&amp;$S333&amp;". Back room "&amp;$J333&amp;" / sales floor "&amp;$I333&amp;".","Not currently in stock at Store 0146 (size "&amp;$G333&amp;"). Home location is "&amp;$Q333&amp;" ("&amp;$R333&amp;") when replenished.")</f>
        <v>Not currently in stock at Store 0146 (size 9). Home location is E-03-2-02 (ZONE E / BAY 03 / SHELF 2 / BIN 02) when replenished.</v>
      </c>
    </row>
    <row r="334" customFormat="false" ht="15" hidden="false" customHeight="false" outlineLevel="0" collapsed="false">
      <c r="A334" s="34" t="s">
        <v>417</v>
      </c>
      <c r="B334" s="34" t="s">
        <v>418</v>
      </c>
      <c r="C334" s="34" t="s">
        <v>419</v>
      </c>
      <c r="D334" s="34" t="s">
        <v>123</v>
      </c>
      <c r="E334" s="34" t="s">
        <v>420</v>
      </c>
      <c r="F334" s="34" t="s">
        <v>422</v>
      </c>
      <c r="G334" s="24" t="s">
        <v>177</v>
      </c>
      <c r="H334" s="27" t="n">
        <f aca="false">IFERROR(INDEX('Inventory Master'!$T$2:$T$525,MATCH($A334,'Inventory Master'!$A$2:$A$525,0)),0)</f>
        <v>1</v>
      </c>
      <c r="I334" s="27" t="n">
        <v>1</v>
      </c>
      <c r="J334" s="27" t="n">
        <f aca="false">MAX(0,$H334-$I334)</f>
        <v>0</v>
      </c>
      <c r="K334" s="34" t="str">
        <f aca="false">IF($H334&gt;0,"In Stock","Out of Stock")</f>
        <v>In Stock</v>
      </c>
      <c r="L334" s="24" t="s">
        <v>1861</v>
      </c>
      <c r="M334" s="34" t="s">
        <v>1862</v>
      </c>
      <c r="N334" s="24" t="n">
        <v>3</v>
      </c>
      <c r="O334" s="24" t="n">
        <v>2</v>
      </c>
      <c r="P334" s="24" t="n">
        <v>3</v>
      </c>
      <c r="Q334" s="24" t="str">
        <f aca="false">$L334&amp;"-"&amp;TEXT($N334,"00")&amp;"-"&amp;$O334&amp;"-"&amp;TEXT($P334,"00")</f>
        <v>E-03-2-03</v>
      </c>
      <c r="R334" s="34" t="str">
        <f aca="false">"ZONE "&amp;$L334&amp;" / BAY "&amp;TEXT($N334,"00")&amp;" / SHELF "&amp;$O334&amp;" / BIN "&amp;TEXT($P334,"00")</f>
        <v>ZONE E / BAY 03 / SHELF 2 / BIN 03</v>
      </c>
      <c r="S334" s="34" t="s">
        <v>1845</v>
      </c>
      <c r="T334" s="34" t="s">
        <v>1844</v>
      </c>
      <c r="U334" s="27" t="n">
        <v>333</v>
      </c>
      <c r="V334" s="30" t="n">
        <v>46170</v>
      </c>
      <c r="W334" s="34" t="str">
        <f aca="false">IF($H334&gt;0,"Yes - "&amp;$H334&amp;" in stock at Store 0146 (size "&amp;$G334&amp;"). Back room location "&amp;$Q334&amp;" ("&amp;$R334&amp;"), "&amp;$S334&amp;". Back room "&amp;$J334&amp;" / sales floor "&amp;$I334&amp;".","Not currently in stock at Store 0146 (size "&amp;$G334&amp;"). Home location is "&amp;$Q334&amp;" ("&amp;$R334&amp;") when replenished.")</f>
        <v>Yes - 1 in stock at Store 0146 (size 9.5). Back room location E-03-2-03 (ZONE E / BAY 03 / SHELF 2 / BIN 03), Waist height. Back room 0 / sales floor 1.</v>
      </c>
    </row>
    <row r="335" customFormat="false" ht="15" hidden="false" customHeight="false" outlineLevel="0" collapsed="false">
      <c r="A335" s="34" t="s">
        <v>1271</v>
      </c>
      <c r="B335" s="34" t="s">
        <v>1272</v>
      </c>
      <c r="C335" s="34" t="s">
        <v>1045</v>
      </c>
      <c r="D335" s="34" t="s">
        <v>123</v>
      </c>
      <c r="E335" s="34" t="s">
        <v>1046</v>
      </c>
      <c r="F335" s="34" t="s">
        <v>1048</v>
      </c>
      <c r="G335" s="24" t="s">
        <v>188</v>
      </c>
      <c r="H335" s="27" t="n">
        <f aca="false">IFERROR(INDEX('Inventory Master'!$T$2:$T$525,MATCH($A335,'Inventory Master'!$A$2:$A$525,0)),0)</f>
        <v>4</v>
      </c>
      <c r="I335" s="27" t="n">
        <v>0</v>
      </c>
      <c r="J335" s="27" t="n">
        <f aca="false">MAX(0,$H335-$I335)</f>
        <v>4</v>
      </c>
      <c r="K335" s="34" t="str">
        <f aca="false">IF($H335&gt;0,"In Stock","Out of Stock")</f>
        <v>In Stock</v>
      </c>
      <c r="L335" s="24" t="s">
        <v>1861</v>
      </c>
      <c r="M335" s="34" t="s">
        <v>1862</v>
      </c>
      <c r="N335" s="24" t="n">
        <v>3</v>
      </c>
      <c r="O335" s="24" t="n">
        <v>3</v>
      </c>
      <c r="P335" s="24" t="n">
        <v>1</v>
      </c>
      <c r="Q335" s="24" t="str">
        <f aca="false">$L335&amp;"-"&amp;TEXT($N335,"00")&amp;"-"&amp;$O335&amp;"-"&amp;TEXT($P335,"00")</f>
        <v>E-03-3-01</v>
      </c>
      <c r="R335" s="34" t="str">
        <f aca="false">"ZONE "&amp;$L335&amp;" / BAY "&amp;TEXT($N335,"00")&amp;" / SHELF "&amp;$O335&amp;" / BIN "&amp;TEXT($P335,"00")</f>
        <v>ZONE E / BAY 03 / SHELF 3 / BIN 01</v>
      </c>
      <c r="S335" s="34" t="s">
        <v>1846</v>
      </c>
      <c r="T335" s="34" t="s">
        <v>1844</v>
      </c>
      <c r="U335" s="27" t="n">
        <v>334</v>
      </c>
      <c r="V335" s="30" t="n">
        <v>46196</v>
      </c>
      <c r="W335" s="34" t="str">
        <f aca="false">IF($H335&gt;0,"Yes - "&amp;$H335&amp;" in stock at Store 0146 (size "&amp;$G335&amp;"). Back room location "&amp;$Q335&amp;" ("&amp;$R335&amp;"), "&amp;$S335&amp;". Back room "&amp;$J335&amp;" / sales floor "&amp;$I335&amp;".","Not currently in stock at Store 0146 (size "&amp;$G335&amp;"). Home location is "&amp;$Q335&amp;" ("&amp;$R335&amp;") when replenished.")</f>
        <v>Yes - 4 in stock at Store 0146 (size 8.5). Back room location E-03-3-01 (ZONE E / BAY 03 / SHELF 3 / BIN 01), Eye level. Back room 4 / sales floor 0.</v>
      </c>
    </row>
    <row r="336" customFormat="false" ht="15" hidden="false" customHeight="false" outlineLevel="0" collapsed="false">
      <c r="A336" s="34" t="s">
        <v>1777</v>
      </c>
      <c r="B336" s="34" t="s">
        <v>1778</v>
      </c>
      <c r="C336" s="34" t="s">
        <v>1045</v>
      </c>
      <c r="D336" s="34" t="s">
        <v>123</v>
      </c>
      <c r="E336" s="34" t="s">
        <v>1046</v>
      </c>
      <c r="F336" s="34" t="s">
        <v>1048</v>
      </c>
      <c r="G336" s="24" t="s">
        <v>164</v>
      </c>
      <c r="H336" s="27" t="n">
        <f aca="false">IFERROR(INDEX('Inventory Master'!$T$2:$T$525,MATCH($A336,'Inventory Master'!$A$2:$A$525,0)),0)</f>
        <v>3</v>
      </c>
      <c r="I336" s="27" t="n">
        <v>2</v>
      </c>
      <c r="J336" s="27" t="n">
        <f aca="false">MAX(0,$H336-$I336)</f>
        <v>1</v>
      </c>
      <c r="K336" s="34" t="str">
        <f aca="false">IF($H336&gt;0,"In Stock","Out of Stock")</f>
        <v>In Stock</v>
      </c>
      <c r="L336" s="24" t="s">
        <v>1861</v>
      </c>
      <c r="M336" s="34" t="s">
        <v>1862</v>
      </c>
      <c r="N336" s="24" t="n">
        <v>3</v>
      </c>
      <c r="O336" s="24" t="n">
        <v>3</v>
      </c>
      <c r="P336" s="24" t="n">
        <v>2</v>
      </c>
      <c r="Q336" s="24" t="str">
        <f aca="false">$L336&amp;"-"&amp;TEXT($N336,"00")&amp;"-"&amp;$O336&amp;"-"&amp;TEXT($P336,"00")</f>
        <v>E-03-3-02</v>
      </c>
      <c r="R336" s="34" t="str">
        <f aca="false">"ZONE "&amp;$L336&amp;" / BAY "&amp;TEXT($N336,"00")&amp;" / SHELF "&amp;$O336&amp;" / BIN "&amp;TEXT($P336,"00")</f>
        <v>ZONE E / BAY 03 / SHELF 3 / BIN 02</v>
      </c>
      <c r="S336" s="34" t="s">
        <v>1846</v>
      </c>
      <c r="T336" s="34" t="s">
        <v>1844</v>
      </c>
      <c r="U336" s="27" t="n">
        <v>335</v>
      </c>
      <c r="V336" s="30" t="n">
        <v>46168</v>
      </c>
      <c r="W336" s="34" t="str">
        <f aca="false">IF($H336&gt;0,"Yes - "&amp;$H336&amp;" in stock at Store 0146 (size "&amp;$G336&amp;"). Back room location "&amp;$Q336&amp;" ("&amp;$R336&amp;"), "&amp;$S336&amp;". Back room "&amp;$J336&amp;" / sales floor "&amp;$I336&amp;".","Not currently in stock at Store 0146 (size "&amp;$G336&amp;"). Home location is "&amp;$Q336&amp;" ("&amp;$R336&amp;") when replenished.")</f>
        <v>Yes - 3 in stock at Store 0146 (size 9). Back room location E-03-3-02 (ZONE E / BAY 03 / SHELF 3 / BIN 02), Eye level. Back room 1 / sales floor 2.</v>
      </c>
    </row>
    <row r="337" customFormat="false" ht="15" hidden="false" customHeight="false" outlineLevel="0" collapsed="false">
      <c r="A337" s="34" t="s">
        <v>1043</v>
      </c>
      <c r="B337" s="34" t="s">
        <v>1044</v>
      </c>
      <c r="C337" s="34" t="s">
        <v>1045</v>
      </c>
      <c r="D337" s="34" t="s">
        <v>123</v>
      </c>
      <c r="E337" s="34" t="s">
        <v>1046</v>
      </c>
      <c r="F337" s="34" t="s">
        <v>1048</v>
      </c>
      <c r="G337" s="24" t="s">
        <v>177</v>
      </c>
      <c r="H337" s="27" t="n">
        <f aca="false">IFERROR(INDEX('Inventory Master'!$T$2:$T$525,MATCH($A337,'Inventory Master'!$A$2:$A$525,0)),0)</f>
        <v>4</v>
      </c>
      <c r="I337" s="27" t="n">
        <v>1</v>
      </c>
      <c r="J337" s="27" t="n">
        <f aca="false">MAX(0,$H337-$I337)</f>
        <v>3</v>
      </c>
      <c r="K337" s="34" t="str">
        <f aca="false">IF($H337&gt;0,"In Stock","Out of Stock")</f>
        <v>In Stock</v>
      </c>
      <c r="L337" s="24" t="s">
        <v>1861</v>
      </c>
      <c r="M337" s="34" t="s">
        <v>1862</v>
      </c>
      <c r="N337" s="24" t="n">
        <v>3</v>
      </c>
      <c r="O337" s="24" t="n">
        <v>3</v>
      </c>
      <c r="P337" s="24" t="n">
        <v>3</v>
      </c>
      <c r="Q337" s="24" t="str">
        <f aca="false">$L337&amp;"-"&amp;TEXT($N337,"00")&amp;"-"&amp;$O337&amp;"-"&amp;TEXT($P337,"00")</f>
        <v>E-03-3-03</v>
      </c>
      <c r="R337" s="34" t="str">
        <f aca="false">"ZONE "&amp;$L337&amp;" / BAY "&amp;TEXT($N337,"00")&amp;" / SHELF "&amp;$O337&amp;" / BIN "&amp;TEXT($P337,"00")</f>
        <v>ZONE E / BAY 03 / SHELF 3 / BIN 03</v>
      </c>
      <c r="S337" s="34" t="s">
        <v>1846</v>
      </c>
      <c r="T337" s="34" t="s">
        <v>1844</v>
      </c>
      <c r="U337" s="27" t="n">
        <v>336</v>
      </c>
      <c r="V337" s="30" t="n">
        <v>46226</v>
      </c>
      <c r="W337" s="34" t="str">
        <f aca="false">IF($H337&gt;0,"Yes - "&amp;$H337&amp;" in stock at Store 0146 (size "&amp;$G337&amp;"). Back room location "&amp;$Q337&amp;" ("&amp;$R337&amp;"), "&amp;$S337&amp;". Back room "&amp;$J337&amp;" / sales floor "&amp;$I337&amp;".","Not currently in stock at Store 0146 (size "&amp;$G337&amp;"). Home location is "&amp;$Q337&amp;" ("&amp;$R337&amp;") when replenished.")</f>
        <v>Yes - 4 in stock at Store 0146 (size 9.5). Back room location E-03-3-03 (ZONE E / BAY 03 / SHELF 3 / BIN 03), Eye level. Back room 3 / sales floor 1.</v>
      </c>
    </row>
    <row r="338" customFormat="false" ht="15" hidden="false" customHeight="false" outlineLevel="0" collapsed="false">
      <c r="A338" s="34" t="s">
        <v>1041</v>
      </c>
      <c r="B338" s="34" t="s">
        <v>1042</v>
      </c>
      <c r="C338" s="34" t="s">
        <v>651</v>
      </c>
      <c r="D338" s="34" t="s">
        <v>123</v>
      </c>
      <c r="E338" s="34" t="s">
        <v>652</v>
      </c>
      <c r="F338" s="34" t="s">
        <v>654</v>
      </c>
      <c r="G338" s="24" t="s">
        <v>356</v>
      </c>
      <c r="H338" s="27" t="n">
        <f aca="false">IFERROR(INDEX('Inventory Master'!$T$2:$T$525,MATCH($A338,'Inventory Master'!$A$2:$A$525,0)),0)</f>
        <v>3</v>
      </c>
      <c r="I338" s="27" t="n">
        <v>1</v>
      </c>
      <c r="J338" s="27" t="n">
        <f aca="false">MAX(0,$H338-$I338)</f>
        <v>2</v>
      </c>
      <c r="K338" s="34" t="str">
        <f aca="false">IF($H338&gt;0,"In Stock","Out of Stock")</f>
        <v>In Stock</v>
      </c>
      <c r="L338" s="24" t="s">
        <v>1861</v>
      </c>
      <c r="M338" s="34" t="s">
        <v>1862</v>
      </c>
      <c r="N338" s="24" t="n">
        <v>3</v>
      </c>
      <c r="O338" s="24" t="n">
        <v>4</v>
      </c>
      <c r="P338" s="24" t="n">
        <v>1</v>
      </c>
      <c r="Q338" s="24" t="str">
        <f aca="false">$L338&amp;"-"&amp;TEXT($N338,"00")&amp;"-"&amp;$O338&amp;"-"&amp;TEXT($P338,"00")</f>
        <v>E-03-4-01</v>
      </c>
      <c r="R338" s="34" t="str">
        <f aca="false">"ZONE "&amp;$L338&amp;" / BAY "&amp;TEXT($N338,"00")&amp;" / SHELF "&amp;$O338&amp;" / BIN "&amp;TEXT($P338,"00")</f>
        <v>ZONE E / BAY 03 / SHELF 4 / BIN 01</v>
      </c>
      <c r="S338" s="34" t="s">
        <v>1847</v>
      </c>
      <c r="T338" s="34" t="s">
        <v>1844</v>
      </c>
      <c r="U338" s="27" t="n">
        <v>337</v>
      </c>
      <c r="V338" s="30" t="n">
        <v>46184</v>
      </c>
      <c r="W338" s="34" t="str">
        <f aca="false">IF($H338&gt;0,"Yes - "&amp;$H338&amp;" in stock at Store 0146 (size "&amp;$G338&amp;"). Back room location "&amp;$Q338&amp;" ("&amp;$R338&amp;"), "&amp;$S338&amp;". Back room "&amp;$J338&amp;" / sales floor "&amp;$I338&amp;".","Not currently in stock at Store 0146 (size "&amp;$G338&amp;"). Home location is "&amp;$Q338&amp;" ("&amp;$R338&amp;") when replenished.")</f>
        <v>Yes - 3 in stock at Store 0146 (size 8). Back room location E-03-4-01 (ZONE E / BAY 03 / SHELF 4 / BIN 01), Overhead - step stool. Back room 2 / sales floor 1.</v>
      </c>
    </row>
    <row r="339" customFormat="false" ht="15" hidden="false" customHeight="false" outlineLevel="0" collapsed="false">
      <c r="A339" s="34" t="s">
        <v>1625</v>
      </c>
      <c r="B339" s="34" t="s">
        <v>1626</v>
      </c>
      <c r="C339" s="34" t="s">
        <v>651</v>
      </c>
      <c r="D339" s="34" t="s">
        <v>123</v>
      </c>
      <c r="E339" s="34" t="s">
        <v>652</v>
      </c>
      <c r="F339" s="34" t="s">
        <v>654</v>
      </c>
      <c r="G339" s="24" t="s">
        <v>188</v>
      </c>
      <c r="H339" s="27" t="n">
        <f aca="false">IFERROR(INDEX('Inventory Master'!$T$2:$T$525,MATCH($A339,'Inventory Master'!$A$2:$A$525,0)),0)</f>
        <v>6</v>
      </c>
      <c r="I339" s="27" t="n">
        <v>2</v>
      </c>
      <c r="J339" s="27" t="n">
        <f aca="false">MAX(0,$H339-$I339)</f>
        <v>4</v>
      </c>
      <c r="K339" s="34" t="str">
        <f aca="false">IF($H339&gt;0,"In Stock","Out of Stock")</f>
        <v>In Stock</v>
      </c>
      <c r="L339" s="24" t="s">
        <v>1861</v>
      </c>
      <c r="M339" s="34" t="s">
        <v>1862</v>
      </c>
      <c r="N339" s="24" t="n">
        <v>3</v>
      </c>
      <c r="O339" s="24" t="n">
        <v>4</v>
      </c>
      <c r="P339" s="24" t="n">
        <v>2</v>
      </c>
      <c r="Q339" s="24" t="str">
        <f aca="false">$L339&amp;"-"&amp;TEXT($N339,"00")&amp;"-"&amp;$O339&amp;"-"&amp;TEXT($P339,"00")</f>
        <v>E-03-4-02</v>
      </c>
      <c r="R339" s="34" t="str">
        <f aca="false">"ZONE "&amp;$L339&amp;" / BAY "&amp;TEXT($N339,"00")&amp;" / SHELF "&amp;$O339&amp;" / BIN "&amp;TEXT($P339,"00")</f>
        <v>ZONE E / BAY 03 / SHELF 4 / BIN 02</v>
      </c>
      <c r="S339" s="34" t="s">
        <v>1847</v>
      </c>
      <c r="T339" s="34" t="s">
        <v>1844</v>
      </c>
      <c r="U339" s="27" t="n">
        <v>338</v>
      </c>
      <c r="V339" s="30" t="n">
        <v>46160</v>
      </c>
      <c r="W339" s="34" t="str">
        <f aca="false">IF($H339&gt;0,"Yes - "&amp;$H339&amp;" in stock at Store 0146 (size "&amp;$G339&amp;"). Back room location "&amp;$Q339&amp;" ("&amp;$R339&amp;"), "&amp;$S339&amp;". Back room "&amp;$J339&amp;" / sales floor "&amp;$I339&amp;".","Not currently in stock at Store 0146 (size "&amp;$G339&amp;"). Home location is "&amp;$Q339&amp;" ("&amp;$R339&amp;") when replenished.")</f>
        <v>Yes - 6 in stock at Store 0146 (size 8.5). Back room location E-03-4-02 (ZONE E / BAY 03 / SHELF 4 / BIN 02), Overhead - step stool. Back room 4 / sales floor 2.</v>
      </c>
    </row>
    <row r="340" customFormat="false" ht="15" hidden="false" customHeight="false" outlineLevel="0" collapsed="false">
      <c r="A340" s="34" t="s">
        <v>918</v>
      </c>
      <c r="B340" s="34" t="s">
        <v>919</v>
      </c>
      <c r="C340" s="34" t="s">
        <v>651</v>
      </c>
      <c r="D340" s="34" t="s">
        <v>123</v>
      </c>
      <c r="E340" s="34" t="s">
        <v>652</v>
      </c>
      <c r="F340" s="34" t="s">
        <v>654</v>
      </c>
      <c r="G340" s="24" t="s">
        <v>164</v>
      </c>
      <c r="H340" s="27" t="n">
        <f aca="false">IFERROR(INDEX('Inventory Master'!$T$2:$T$525,MATCH($A340,'Inventory Master'!$A$2:$A$525,0)),0)</f>
        <v>0</v>
      </c>
      <c r="I340" s="27" t="n">
        <v>0</v>
      </c>
      <c r="J340" s="27" t="n">
        <f aca="false">MAX(0,$H340-$I340)</f>
        <v>0</v>
      </c>
      <c r="K340" s="34" t="str">
        <f aca="false">IF($H340&gt;0,"In Stock","Out of Stock")</f>
        <v>Out of Stock</v>
      </c>
      <c r="L340" s="24" t="s">
        <v>1861</v>
      </c>
      <c r="M340" s="34" t="s">
        <v>1862</v>
      </c>
      <c r="N340" s="24" t="n">
        <v>3</v>
      </c>
      <c r="O340" s="24" t="n">
        <v>4</v>
      </c>
      <c r="P340" s="24" t="n">
        <v>3</v>
      </c>
      <c r="Q340" s="24" t="str">
        <f aca="false">$L340&amp;"-"&amp;TEXT($N340,"00")&amp;"-"&amp;$O340&amp;"-"&amp;TEXT($P340,"00")</f>
        <v>E-03-4-03</v>
      </c>
      <c r="R340" s="34" t="str">
        <f aca="false">"ZONE "&amp;$L340&amp;" / BAY "&amp;TEXT($N340,"00")&amp;" / SHELF "&amp;$O340&amp;" / BIN "&amp;TEXT($P340,"00")</f>
        <v>ZONE E / BAY 03 / SHELF 4 / BIN 03</v>
      </c>
      <c r="S340" s="34" t="s">
        <v>1847</v>
      </c>
      <c r="T340" s="34" t="s">
        <v>1844</v>
      </c>
      <c r="U340" s="27" t="n">
        <v>339</v>
      </c>
      <c r="V340" s="30" t="n">
        <v>46185</v>
      </c>
      <c r="W340" s="34" t="str">
        <f aca="false">IF($H340&gt;0,"Yes - "&amp;$H340&amp;" in stock at Store 0146 (size "&amp;$G340&amp;"). Back room location "&amp;$Q340&amp;" ("&amp;$R340&amp;"), "&amp;$S340&amp;". Back room "&amp;$J340&amp;" / sales floor "&amp;$I340&amp;".","Not currently in stock at Store 0146 (size "&amp;$G340&amp;"). Home location is "&amp;$Q340&amp;" ("&amp;$R340&amp;") when replenished.")</f>
        <v>Not currently in stock at Store 0146 (size 9). Home location is E-03-4-03 (ZONE E / BAY 03 / SHELF 4 / BIN 03) when replenished.</v>
      </c>
    </row>
    <row r="341" customFormat="false" ht="15" hidden="false" customHeight="false" outlineLevel="0" collapsed="false">
      <c r="A341" s="34" t="s">
        <v>1546</v>
      </c>
      <c r="B341" s="34" t="s">
        <v>1547</v>
      </c>
      <c r="C341" s="34" t="s">
        <v>651</v>
      </c>
      <c r="D341" s="34" t="s">
        <v>123</v>
      </c>
      <c r="E341" s="34" t="s">
        <v>652</v>
      </c>
      <c r="F341" s="34" t="s">
        <v>654</v>
      </c>
      <c r="G341" s="24" t="s">
        <v>177</v>
      </c>
      <c r="H341" s="27" t="n">
        <f aca="false">IFERROR(INDEX('Inventory Master'!$T$2:$T$525,MATCH($A341,'Inventory Master'!$A$2:$A$525,0)),0)</f>
        <v>3</v>
      </c>
      <c r="I341" s="27" t="n">
        <v>1</v>
      </c>
      <c r="J341" s="27" t="n">
        <f aca="false">MAX(0,$H341-$I341)</f>
        <v>2</v>
      </c>
      <c r="K341" s="34" t="str">
        <f aca="false">IF($H341&gt;0,"In Stock","Out of Stock")</f>
        <v>In Stock</v>
      </c>
      <c r="L341" s="24" t="s">
        <v>1861</v>
      </c>
      <c r="M341" s="34" t="s">
        <v>1862</v>
      </c>
      <c r="N341" s="24" t="n">
        <v>3</v>
      </c>
      <c r="O341" s="24" t="n">
        <v>4</v>
      </c>
      <c r="P341" s="24" t="n">
        <v>4</v>
      </c>
      <c r="Q341" s="24" t="str">
        <f aca="false">$L341&amp;"-"&amp;TEXT($N341,"00")&amp;"-"&amp;$O341&amp;"-"&amp;TEXT($P341,"00")</f>
        <v>E-03-4-04</v>
      </c>
      <c r="R341" s="34" t="str">
        <f aca="false">"ZONE "&amp;$L341&amp;" / BAY "&amp;TEXT($N341,"00")&amp;" / SHELF "&amp;$O341&amp;" / BIN "&amp;TEXT($P341,"00")</f>
        <v>ZONE E / BAY 03 / SHELF 4 / BIN 04</v>
      </c>
      <c r="S341" s="34" t="s">
        <v>1847</v>
      </c>
      <c r="T341" s="34" t="s">
        <v>1844</v>
      </c>
      <c r="U341" s="27" t="n">
        <v>340</v>
      </c>
      <c r="V341" s="30" t="n">
        <v>46176</v>
      </c>
      <c r="W341" s="34" t="str">
        <f aca="false">IF($H341&gt;0,"Yes - "&amp;$H341&amp;" in stock at Store 0146 (size "&amp;$G341&amp;"). Back room location "&amp;$Q341&amp;" ("&amp;$R341&amp;"), "&amp;$S341&amp;". Back room "&amp;$J341&amp;" / sales floor "&amp;$I341&amp;".","Not currently in stock at Store 0146 (size "&amp;$G341&amp;"). Home location is "&amp;$Q341&amp;" ("&amp;$R341&amp;") when replenished.")</f>
        <v>Yes - 3 in stock at Store 0146 (size 9.5). Back room location E-03-4-04 (ZONE E / BAY 03 / SHELF 4 / BIN 04), Overhead - step stool. Back room 2 / sales floor 1.</v>
      </c>
    </row>
    <row r="342" customFormat="false" ht="15" hidden="false" customHeight="false" outlineLevel="0" collapsed="false">
      <c r="A342" s="34" t="s">
        <v>649</v>
      </c>
      <c r="B342" s="34" t="s">
        <v>650</v>
      </c>
      <c r="C342" s="34" t="s">
        <v>651</v>
      </c>
      <c r="D342" s="34" t="s">
        <v>123</v>
      </c>
      <c r="E342" s="34" t="s">
        <v>652</v>
      </c>
      <c r="F342" s="34" t="s">
        <v>654</v>
      </c>
      <c r="G342" s="24" t="s">
        <v>211</v>
      </c>
      <c r="H342" s="27" t="n">
        <f aca="false">IFERROR(INDEX('Inventory Master'!$T$2:$T$525,MATCH($A342,'Inventory Master'!$A$2:$A$525,0)),0)</f>
        <v>3</v>
      </c>
      <c r="I342" s="27" t="n">
        <v>1</v>
      </c>
      <c r="J342" s="27" t="n">
        <f aca="false">MAX(0,$H342-$I342)</f>
        <v>2</v>
      </c>
      <c r="K342" s="34" t="str">
        <f aca="false">IF($H342&gt;0,"In Stock","Out of Stock")</f>
        <v>In Stock</v>
      </c>
      <c r="L342" s="24" t="s">
        <v>1861</v>
      </c>
      <c r="M342" s="34" t="s">
        <v>1862</v>
      </c>
      <c r="N342" s="24" t="n">
        <v>3</v>
      </c>
      <c r="O342" s="24" t="n">
        <v>4</v>
      </c>
      <c r="P342" s="24" t="n">
        <v>5</v>
      </c>
      <c r="Q342" s="24" t="str">
        <f aca="false">$L342&amp;"-"&amp;TEXT($N342,"00")&amp;"-"&amp;$O342&amp;"-"&amp;TEXT($P342,"00")</f>
        <v>E-03-4-05</v>
      </c>
      <c r="R342" s="34" t="str">
        <f aca="false">"ZONE "&amp;$L342&amp;" / BAY "&amp;TEXT($N342,"00")&amp;" / SHELF "&amp;$O342&amp;" / BIN "&amp;TEXT($P342,"00")</f>
        <v>ZONE E / BAY 03 / SHELF 4 / BIN 05</v>
      </c>
      <c r="S342" s="34" t="s">
        <v>1847</v>
      </c>
      <c r="T342" s="34" t="s">
        <v>1844</v>
      </c>
      <c r="U342" s="27" t="n">
        <v>341</v>
      </c>
      <c r="V342" s="30" t="n">
        <v>46148</v>
      </c>
      <c r="W342" s="34" t="str">
        <f aca="false">IF($H342&gt;0,"Yes - "&amp;$H342&amp;" in stock at Store 0146 (size "&amp;$G342&amp;"). Back room location "&amp;$Q342&amp;" ("&amp;$R342&amp;"), "&amp;$S342&amp;". Back room "&amp;$J342&amp;" / sales floor "&amp;$I342&amp;".","Not currently in stock at Store 0146 (size "&amp;$G342&amp;"). Home location is "&amp;$Q342&amp;" ("&amp;$R342&amp;") when replenished.")</f>
        <v>Yes - 3 in stock at Store 0146 (size 10). Back room location E-03-4-05 (ZONE E / BAY 03 / SHELF 4 / BIN 05), Overhead - step stool. Back room 2 / sales floor 1.</v>
      </c>
    </row>
    <row r="343" customFormat="false" ht="15" hidden="false" customHeight="false" outlineLevel="0" collapsed="false">
      <c r="A343" s="34" t="s">
        <v>1231</v>
      </c>
      <c r="B343" s="34" t="s">
        <v>1232</v>
      </c>
      <c r="C343" s="34" t="s">
        <v>651</v>
      </c>
      <c r="D343" s="34" t="s">
        <v>123</v>
      </c>
      <c r="E343" s="34" t="s">
        <v>652</v>
      </c>
      <c r="F343" s="34" t="s">
        <v>654</v>
      </c>
      <c r="G343" s="24" t="s">
        <v>327</v>
      </c>
      <c r="H343" s="27" t="n">
        <f aca="false">IFERROR(INDEX('Inventory Master'!$T$2:$T$525,MATCH($A343,'Inventory Master'!$A$2:$A$525,0)),0)</f>
        <v>4</v>
      </c>
      <c r="I343" s="27" t="n">
        <v>1</v>
      </c>
      <c r="J343" s="27" t="n">
        <f aca="false">MAX(0,$H343-$I343)</f>
        <v>3</v>
      </c>
      <c r="K343" s="34" t="str">
        <f aca="false">IF($H343&gt;0,"In Stock","Out of Stock")</f>
        <v>In Stock</v>
      </c>
      <c r="L343" s="24" t="s">
        <v>1861</v>
      </c>
      <c r="M343" s="34" t="s">
        <v>1862</v>
      </c>
      <c r="N343" s="24" t="n">
        <v>3</v>
      </c>
      <c r="O343" s="24" t="n">
        <v>4</v>
      </c>
      <c r="P343" s="24" t="n">
        <v>6</v>
      </c>
      <c r="Q343" s="24" t="str">
        <f aca="false">$L343&amp;"-"&amp;TEXT($N343,"00")&amp;"-"&amp;$O343&amp;"-"&amp;TEXT($P343,"00")</f>
        <v>E-03-4-06</v>
      </c>
      <c r="R343" s="34" t="str">
        <f aca="false">"ZONE "&amp;$L343&amp;" / BAY "&amp;TEXT($N343,"00")&amp;" / SHELF "&amp;$O343&amp;" / BIN "&amp;TEXT($P343,"00")</f>
        <v>ZONE E / BAY 03 / SHELF 4 / BIN 06</v>
      </c>
      <c r="S343" s="34" t="s">
        <v>1847</v>
      </c>
      <c r="T343" s="34" t="s">
        <v>1844</v>
      </c>
      <c r="U343" s="27" t="n">
        <v>342</v>
      </c>
      <c r="V343" s="30" t="n">
        <v>46201</v>
      </c>
      <c r="W343" s="34" t="str">
        <f aca="false">IF($H343&gt;0,"Yes - "&amp;$H343&amp;" in stock at Store 0146 (size "&amp;$G343&amp;"). Back room location "&amp;$Q343&amp;" ("&amp;$R343&amp;"), "&amp;$S343&amp;". Back room "&amp;$J343&amp;" / sales floor "&amp;$I343&amp;".","Not currently in stock at Store 0146 (size "&amp;$G343&amp;"). Home location is "&amp;$Q343&amp;" ("&amp;$R343&amp;") when replenished.")</f>
        <v>Yes - 4 in stock at Store 0146 (size 10.5). Back room location E-03-4-06 (ZONE E / BAY 03 / SHELF 4 / BIN 06), Overhead - step stool. Back room 3 / sales floor 1.</v>
      </c>
    </row>
    <row r="344" customFormat="false" ht="15" hidden="false" customHeight="false" outlineLevel="0" collapsed="false">
      <c r="A344" s="34" t="s">
        <v>623</v>
      </c>
      <c r="B344" s="34" t="s">
        <v>624</v>
      </c>
      <c r="C344" s="34" t="s">
        <v>269</v>
      </c>
      <c r="D344" s="34" t="s">
        <v>123</v>
      </c>
      <c r="E344" s="34" t="s">
        <v>270</v>
      </c>
      <c r="F344" s="34" t="s">
        <v>272</v>
      </c>
      <c r="G344" s="24" t="s">
        <v>164</v>
      </c>
      <c r="H344" s="27" t="n">
        <f aca="false">IFERROR(INDEX('Inventory Master'!$T$2:$T$525,MATCH($A344,'Inventory Master'!$A$2:$A$525,0)),0)</f>
        <v>1</v>
      </c>
      <c r="I344" s="27" t="n">
        <v>0</v>
      </c>
      <c r="J344" s="27" t="n">
        <f aca="false">MAX(0,$H344-$I344)</f>
        <v>1</v>
      </c>
      <c r="K344" s="34" t="str">
        <f aca="false">IF($H344&gt;0,"In Stock","Out of Stock")</f>
        <v>In Stock</v>
      </c>
      <c r="L344" s="24" t="s">
        <v>1861</v>
      </c>
      <c r="M344" s="34" t="s">
        <v>1862</v>
      </c>
      <c r="N344" s="24" t="n">
        <v>3</v>
      </c>
      <c r="O344" s="24" t="n">
        <v>5</v>
      </c>
      <c r="P344" s="24" t="n">
        <v>1</v>
      </c>
      <c r="Q344" s="24" t="str">
        <f aca="false">$L344&amp;"-"&amp;TEXT($N344,"00")&amp;"-"&amp;$O344&amp;"-"&amp;TEXT($P344,"00")</f>
        <v>E-03-5-01</v>
      </c>
      <c r="R344" s="34" t="str">
        <f aca="false">"ZONE "&amp;$L344&amp;" / BAY "&amp;TEXT($N344,"00")&amp;" / SHELF "&amp;$O344&amp;" / BIN "&amp;TEXT($P344,"00")</f>
        <v>ZONE E / BAY 03 / SHELF 5 / BIN 01</v>
      </c>
      <c r="S344" s="34" t="s">
        <v>1848</v>
      </c>
      <c r="T344" s="34" t="s">
        <v>1844</v>
      </c>
      <c r="U344" s="27" t="n">
        <v>343</v>
      </c>
      <c r="V344" s="30" t="n">
        <v>46218</v>
      </c>
      <c r="W344" s="34" t="str">
        <f aca="false">IF($H344&gt;0,"Yes - "&amp;$H344&amp;" in stock at Store 0146 (size "&amp;$G344&amp;"). Back room location "&amp;$Q344&amp;" ("&amp;$R344&amp;"), "&amp;$S344&amp;". Back room "&amp;$J344&amp;" / sales floor "&amp;$I344&amp;".","Not currently in stock at Store 0146 (size "&amp;$G344&amp;"). Home location is "&amp;$Q344&amp;" ("&amp;$R344&amp;") when replenished.")</f>
        <v>Yes - 1 in stock at Store 0146 (size 9). Back room location E-03-5-01 (ZONE E / BAY 03 / SHELF 5 / BIN 01), Top shelf - ladder required. Back room 1 / sales floor 0.</v>
      </c>
    </row>
    <row r="345" customFormat="false" ht="15" hidden="false" customHeight="false" outlineLevel="0" collapsed="false">
      <c r="A345" s="34" t="s">
        <v>267</v>
      </c>
      <c r="B345" s="34" t="s">
        <v>268</v>
      </c>
      <c r="C345" s="34" t="s">
        <v>269</v>
      </c>
      <c r="D345" s="34" t="s">
        <v>123</v>
      </c>
      <c r="E345" s="34" t="s">
        <v>270</v>
      </c>
      <c r="F345" s="34" t="s">
        <v>272</v>
      </c>
      <c r="G345" s="24" t="s">
        <v>177</v>
      </c>
      <c r="H345" s="27" t="n">
        <f aca="false">IFERROR(INDEX('Inventory Master'!$T$2:$T$525,MATCH($A345,'Inventory Master'!$A$2:$A$525,0)),0)</f>
        <v>2</v>
      </c>
      <c r="I345" s="27" t="n">
        <v>2</v>
      </c>
      <c r="J345" s="27" t="n">
        <f aca="false">MAX(0,$H345-$I345)</f>
        <v>0</v>
      </c>
      <c r="K345" s="34" t="str">
        <f aca="false">IF($H345&gt;0,"In Stock","Out of Stock")</f>
        <v>In Stock</v>
      </c>
      <c r="L345" s="24" t="s">
        <v>1861</v>
      </c>
      <c r="M345" s="34" t="s">
        <v>1862</v>
      </c>
      <c r="N345" s="24" t="n">
        <v>3</v>
      </c>
      <c r="O345" s="24" t="n">
        <v>5</v>
      </c>
      <c r="P345" s="24" t="n">
        <v>2</v>
      </c>
      <c r="Q345" s="24" t="str">
        <f aca="false">$L345&amp;"-"&amp;TEXT($N345,"00")&amp;"-"&amp;$O345&amp;"-"&amp;TEXT($P345,"00")</f>
        <v>E-03-5-02</v>
      </c>
      <c r="R345" s="34" t="str">
        <f aca="false">"ZONE "&amp;$L345&amp;" / BAY "&amp;TEXT($N345,"00")&amp;" / SHELF "&amp;$O345&amp;" / BIN "&amp;TEXT($P345,"00")</f>
        <v>ZONE E / BAY 03 / SHELF 5 / BIN 02</v>
      </c>
      <c r="S345" s="34" t="s">
        <v>1848</v>
      </c>
      <c r="T345" s="34" t="s">
        <v>1844</v>
      </c>
      <c r="U345" s="27" t="n">
        <v>344</v>
      </c>
      <c r="V345" s="30" t="n">
        <v>46190</v>
      </c>
      <c r="W345" s="34" t="str">
        <f aca="false">IF($H345&gt;0,"Yes - "&amp;$H345&amp;" in stock at Store 0146 (size "&amp;$G345&amp;"). Back room location "&amp;$Q345&amp;" ("&amp;$R345&amp;"), "&amp;$S345&amp;". Back room "&amp;$J345&amp;" / sales floor "&amp;$I345&amp;".","Not currently in stock at Store 0146 (size "&amp;$G345&amp;"). Home location is "&amp;$Q345&amp;" ("&amp;$R345&amp;") when replenished.")</f>
        <v>Yes - 2 in stock at Store 0146 (size 9.5). Back room location E-03-5-02 (ZONE E / BAY 03 / SHELF 5 / BIN 02), Top shelf - ladder required. Back room 0 / sales floor 2.</v>
      </c>
    </row>
    <row r="346" customFormat="false" ht="15" hidden="false" customHeight="false" outlineLevel="0" collapsed="false">
      <c r="A346" s="34" t="s">
        <v>1607</v>
      </c>
      <c r="B346" s="34" t="s">
        <v>1608</v>
      </c>
      <c r="C346" s="34" t="s">
        <v>269</v>
      </c>
      <c r="D346" s="34" t="s">
        <v>123</v>
      </c>
      <c r="E346" s="34" t="s">
        <v>270</v>
      </c>
      <c r="F346" s="34" t="s">
        <v>272</v>
      </c>
      <c r="G346" s="24" t="s">
        <v>211</v>
      </c>
      <c r="H346" s="27" t="n">
        <f aca="false">IFERROR(INDEX('Inventory Master'!$T$2:$T$525,MATCH($A346,'Inventory Master'!$A$2:$A$525,0)),0)</f>
        <v>1</v>
      </c>
      <c r="I346" s="27" t="n">
        <v>1</v>
      </c>
      <c r="J346" s="27" t="n">
        <f aca="false">MAX(0,$H346-$I346)</f>
        <v>0</v>
      </c>
      <c r="K346" s="34" t="str">
        <f aca="false">IF($H346&gt;0,"In Stock","Out of Stock")</f>
        <v>In Stock</v>
      </c>
      <c r="L346" s="24" t="s">
        <v>1861</v>
      </c>
      <c r="M346" s="34" t="s">
        <v>1862</v>
      </c>
      <c r="N346" s="24" t="n">
        <v>3</v>
      </c>
      <c r="O346" s="24" t="n">
        <v>5</v>
      </c>
      <c r="P346" s="24" t="n">
        <v>3</v>
      </c>
      <c r="Q346" s="24" t="str">
        <f aca="false">$L346&amp;"-"&amp;TEXT($N346,"00")&amp;"-"&amp;$O346&amp;"-"&amp;TEXT($P346,"00")</f>
        <v>E-03-5-03</v>
      </c>
      <c r="R346" s="34" t="str">
        <f aca="false">"ZONE "&amp;$L346&amp;" / BAY "&amp;TEXT($N346,"00")&amp;" / SHELF "&amp;$O346&amp;" / BIN "&amp;TEXT($P346,"00")</f>
        <v>ZONE E / BAY 03 / SHELF 5 / BIN 03</v>
      </c>
      <c r="S346" s="34" t="s">
        <v>1848</v>
      </c>
      <c r="T346" s="34" t="s">
        <v>1844</v>
      </c>
      <c r="U346" s="27" t="n">
        <v>345</v>
      </c>
      <c r="V346" s="30" t="n">
        <v>46167</v>
      </c>
      <c r="W346" s="34" t="str">
        <f aca="false">IF($H346&gt;0,"Yes - "&amp;$H346&amp;" in stock at Store 0146 (size "&amp;$G346&amp;"). Back room location "&amp;$Q346&amp;" ("&amp;$R346&amp;"), "&amp;$S346&amp;". Back room "&amp;$J346&amp;" / sales floor "&amp;$I346&amp;".","Not currently in stock at Store 0146 (size "&amp;$G346&amp;"). Home location is "&amp;$Q346&amp;" ("&amp;$R346&amp;") when replenished.")</f>
        <v>Yes - 1 in stock at Store 0146 (size 10). Back room location E-03-5-03 (ZONE E / BAY 03 / SHELF 5 / BIN 03), Top shelf - ladder required. Back room 0 / sales floor 1.</v>
      </c>
    </row>
    <row r="347" customFormat="false" ht="15" hidden="false" customHeight="false" outlineLevel="0" collapsed="false">
      <c r="A347" s="34" t="s">
        <v>1450</v>
      </c>
      <c r="B347" s="34" t="s">
        <v>1451</v>
      </c>
      <c r="C347" s="34" t="s">
        <v>1235</v>
      </c>
      <c r="D347" s="34" t="s">
        <v>123</v>
      </c>
      <c r="E347" s="34" t="s">
        <v>1236</v>
      </c>
      <c r="F347" s="34" t="s">
        <v>1238</v>
      </c>
      <c r="G347" s="24" t="s">
        <v>164</v>
      </c>
      <c r="H347" s="27" t="n">
        <f aca="false">IFERROR(INDEX('Inventory Master'!$T$2:$T$525,MATCH($A347,'Inventory Master'!$A$2:$A$525,0)),0)</f>
        <v>1</v>
      </c>
      <c r="I347" s="27" t="n">
        <v>1</v>
      </c>
      <c r="J347" s="27" t="n">
        <f aca="false">MAX(0,$H347-$I347)</f>
        <v>0</v>
      </c>
      <c r="K347" s="34" t="str">
        <f aca="false">IF($H347&gt;0,"In Stock","Out of Stock")</f>
        <v>In Stock</v>
      </c>
      <c r="L347" s="24" t="s">
        <v>1861</v>
      </c>
      <c r="M347" s="34" t="s">
        <v>1862</v>
      </c>
      <c r="N347" s="24" t="n">
        <v>4</v>
      </c>
      <c r="O347" s="24" t="n">
        <v>1</v>
      </c>
      <c r="P347" s="24" t="n">
        <v>1</v>
      </c>
      <c r="Q347" s="24" t="str">
        <f aca="false">$L347&amp;"-"&amp;TEXT($N347,"00")&amp;"-"&amp;$O347&amp;"-"&amp;TEXT($P347,"00")</f>
        <v>E-04-1-01</v>
      </c>
      <c r="R347" s="34" t="str">
        <f aca="false">"ZONE "&amp;$L347&amp;" / BAY "&amp;TEXT($N347,"00")&amp;" / SHELF "&amp;$O347&amp;" / BIN "&amp;TEXT($P347,"00")</f>
        <v>ZONE E / BAY 04 / SHELF 1 / BIN 01</v>
      </c>
      <c r="S347" s="34" t="s">
        <v>1843</v>
      </c>
      <c r="T347" s="34" t="s">
        <v>1844</v>
      </c>
      <c r="U347" s="27" t="n">
        <v>346</v>
      </c>
      <c r="V347" s="30" t="n">
        <v>46207</v>
      </c>
      <c r="W347" s="34" t="str">
        <f aca="false">IF($H347&gt;0,"Yes - "&amp;$H347&amp;" in stock at Store 0146 (size "&amp;$G347&amp;"). Back room location "&amp;$Q347&amp;" ("&amp;$R347&amp;"), "&amp;$S347&amp;". Back room "&amp;$J347&amp;" / sales floor "&amp;$I347&amp;".","Not currently in stock at Store 0146 (size "&amp;$G347&amp;"). Home location is "&amp;$Q347&amp;" ("&amp;$R347&amp;") when replenished.")</f>
        <v>Yes - 1 in stock at Store 0146 (size 9). Back room location E-04-1-01 (ZONE E / BAY 04 / SHELF 1 / BIN 01), Floor level - no reach. Back room 0 / sales floor 1.</v>
      </c>
    </row>
    <row r="348" customFormat="false" ht="15" hidden="false" customHeight="false" outlineLevel="0" collapsed="false">
      <c r="A348" s="34" t="s">
        <v>1536</v>
      </c>
      <c r="B348" s="34" t="s">
        <v>1537</v>
      </c>
      <c r="C348" s="34" t="s">
        <v>1235</v>
      </c>
      <c r="D348" s="34" t="s">
        <v>123</v>
      </c>
      <c r="E348" s="34" t="s">
        <v>1236</v>
      </c>
      <c r="F348" s="34" t="s">
        <v>1238</v>
      </c>
      <c r="G348" s="24" t="s">
        <v>177</v>
      </c>
      <c r="H348" s="27" t="n">
        <f aca="false">IFERROR(INDEX('Inventory Master'!$T$2:$T$525,MATCH($A348,'Inventory Master'!$A$2:$A$525,0)),0)</f>
        <v>4</v>
      </c>
      <c r="I348" s="27" t="n">
        <v>2</v>
      </c>
      <c r="J348" s="27" t="n">
        <f aca="false">MAX(0,$H348-$I348)</f>
        <v>2</v>
      </c>
      <c r="K348" s="34" t="str">
        <f aca="false">IF($H348&gt;0,"In Stock","Out of Stock")</f>
        <v>In Stock</v>
      </c>
      <c r="L348" s="24" t="s">
        <v>1861</v>
      </c>
      <c r="M348" s="34" t="s">
        <v>1862</v>
      </c>
      <c r="N348" s="24" t="n">
        <v>4</v>
      </c>
      <c r="O348" s="24" t="n">
        <v>1</v>
      </c>
      <c r="P348" s="24" t="n">
        <v>2</v>
      </c>
      <c r="Q348" s="24" t="str">
        <f aca="false">$L348&amp;"-"&amp;TEXT($N348,"00")&amp;"-"&amp;$O348&amp;"-"&amp;TEXT($P348,"00")</f>
        <v>E-04-1-02</v>
      </c>
      <c r="R348" s="34" t="str">
        <f aca="false">"ZONE "&amp;$L348&amp;" / BAY "&amp;TEXT($N348,"00")&amp;" / SHELF "&amp;$O348&amp;" / BIN "&amp;TEXT($P348,"00")</f>
        <v>ZONE E / BAY 04 / SHELF 1 / BIN 02</v>
      </c>
      <c r="S348" s="34" t="s">
        <v>1843</v>
      </c>
      <c r="T348" s="34" t="s">
        <v>1844</v>
      </c>
      <c r="U348" s="27" t="n">
        <v>347</v>
      </c>
      <c r="V348" s="30" t="n">
        <v>46160</v>
      </c>
      <c r="W348" s="34" t="str">
        <f aca="false">IF($H348&gt;0,"Yes - "&amp;$H348&amp;" in stock at Store 0146 (size "&amp;$G348&amp;"). Back room location "&amp;$Q348&amp;" ("&amp;$R348&amp;"), "&amp;$S348&amp;". Back room "&amp;$J348&amp;" / sales floor "&amp;$I348&amp;".","Not currently in stock at Store 0146 (size "&amp;$G348&amp;"). Home location is "&amp;$Q348&amp;" ("&amp;$R348&amp;") when replenished.")</f>
        <v>Yes - 4 in stock at Store 0146 (size 9.5). Back room location E-04-1-02 (ZONE E / BAY 04 / SHELF 1 / BIN 02), Floor level - no reach. Back room 2 / sales floor 2.</v>
      </c>
    </row>
    <row r="349" customFormat="false" ht="15" hidden="false" customHeight="false" outlineLevel="0" collapsed="false">
      <c r="A349" s="34" t="s">
        <v>1376</v>
      </c>
      <c r="B349" s="34" t="s">
        <v>1377</v>
      </c>
      <c r="C349" s="34" t="s">
        <v>1235</v>
      </c>
      <c r="D349" s="34" t="s">
        <v>123</v>
      </c>
      <c r="E349" s="34" t="s">
        <v>1236</v>
      </c>
      <c r="F349" s="34" t="s">
        <v>1238</v>
      </c>
      <c r="G349" s="24" t="s">
        <v>211</v>
      </c>
      <c r="H349" s="27" t="n">
        <f aca="false">IFERROR(INDEX('Inventory Master'!$T$2:$T$525,MATCH($A349,'Inventory Master'!$A$2:$A$525,0)),0)</f>
        <v>4</v>
      </c>
      <c r="I349" s="27" t="n">
        <v>2</v>
      </c>
      <c r="J349" s="27" t="n">
        <f aca="false">MAX(0,$H349-$I349)</f>
        <v>2</v>
      </c>
      <c r="K349" s="34" t="str">
        <f aca="false">IF($H349&gt;0,"In Stock","Out of Stock")</f>
        <v>In Stock</v>
      </c>
      <c r="L349" s="24" t="s">
        <v>1861</v>
      </c>
      <c r="M349" s="34" t="s">
        <v>1862</v>
      </c>
      <c r="N349" s="24" t="n">
        <v>4</v>
      </c>
      <c r="O349" s="24" t="n">
        <v>1</v>
      </c>
      <c r="P349" s="24" t="n">
        <v>3</v>
      </c>
      <c r="Q349" s="24" t="str">
        <f aca="false">$L349&amp;"-"&amp;TEXT($N349,"00")&amp;"-"&amp;$O349&amp;"-"&amp;TEXT($P349,"00")</f>
        <v>E-04-1-03</v>
      </c>
      <c r="R349" s="34" t="str">
        <f aca="false">"ZONE "&amp;$L349&amp;" / BAY "&amp;TEXT($N349,"00")&amp;" / SHELF "&amp;$O349&amp;" / BIN "&amp;TEXT($P349,"00")</f>
        <v>ZONE E / BAY 04 / SHELF 1 / BIN 03</v>
      </c>
      <c r="S349" s="34" t="s">
        <v>1843</v>
      </c>
      <c r="T349" s="34" t="s">
        <v>1844</v>
      </c>
      <c r="U349" s="27" t="n">
        <v>348</v>
      </c>
      <c r="V349" s="30" t="n">
        <v>46183</v>
      </c>
      <c r="W349" s="34" t="str">
        <f aca="false">IF($H349&gt;0,"Yes - "&amp;$H349&amp;" in stock at Store 0146 (size "&amp;$G349&amp;"). Back room location "&amp;$Q349&amp;" ("&amp;$R349&amp;"), "&amp;$S349&amp;". Back room "&amp;$J349&amp;" / sales floor "&amp;$I349&amp;".","Not currently in stock at Store 0146 (size "&amp;$G349&amp;"). Home location is "&amp;$Q349&amp;" ("&amp;$R349&amp;") when replenished.")</f>
        <v>Yes - 4 in stock at Store 0146 (size 10). Back room location E-04-1-03 (ZONE E / BAY 04 / SHELF 1 / BIN 03), Floor level - no reach. Back room 2 / sales floor 2.</v>
      </c>
    </row>
    <row r="350" customFormat="false" ht="15" hidden="false" customHeight="false" outlineLevel="0" collapsed="false">
      <c r="A350" s="34" t="s">
        <v>1787</v>
      </c>
      <c r="B350" s="34" t="s">
        <v>1788</v>
      </c>
      <c r="C350" s="34" t="s">
        <v>1235</v>
      </c>
      <c r="D350" s="34" t="s">
        <v>123</v>
      </c>
      <c r="E350" s="34" t="s">
        <v>1236</v>
      </c>
      <c r="F350" s="34" t="s">
        <v>1238</v>
      </c>
      <c r="G350" s="24" t="s">
        <v>327</v>
      </c>
      <c r="H350" s="27" t="n">
        <f aca="false">IFERROR(INDEX('Inventory Master'!$T$2:$T$525,MATCH($A350,'Inventory Master'!$A$2:$A$525,0)),0)</f>
        <v>4</v>
      </c>
      <c r="I350" s="27" t="n">
        <v>1</v>
      </c>
      <c r="J350" s="27" t="n">
        <f aca="false">MAX(0,$H350-$I350)</f>
        <v>3</v>
      </c>
      <c r="K350" s="34" t="str">
        <f aca="false">IF($H350&gt;0,"In Stock","Out of Stock")</f>
        <v>In Stock</v>
      </c>
      <c r="L350" s="24" t="s">
        <v>1861</v>
      </c>
      <c r="M350" s="34" t="s">
        <v>1862</v>
      </c>
      <c r="N350" s="24" t="n">
        <v>4</v>
      </c>
      <c r="O350" s="24" t="n">
        <v>1</v>
      </c>
      <c r="P350" s="24" t="n">
        <v>4</v>
      </c>
      <c r="Q350" s="24" t="str">
        <f aca="false">$L350&amp;"-"&amp;TEXT($N350,"00")&amp;"-"&amp;$O350&amp;"-"&amp;TEXT($P350,"00")</f>
        <v>E-04-1-04</v>
      </c>
      <c r="R350" s="34" t="str">
        <f aca="false">"ZONE "&amp;$L350&amp;" / BAY "&amp;TEXT($N350,"00")&amp;" / SHELF "&amp;$O350&amp;" / BIN "&amp;TEXT($P350,"00")</f>
        <v>ZONE E / BAY 04 / SHELF 1 / BIN 04</v>
      </c>
      <c r="S350" s="34" t="s">
        <v>1843</v>
      </c>
      <c r="T350" s="34" t="s">
        <v>1844</v>
      </c>
      <c r="U350" s="27" t="n">
        <v>349</v>
      </c>
      <c r="V350" s="30" t="n">
        <v>46207</v>
      </c>
      <c r="W350" s="34" t="str">
        <f aca="false">IF($H350&gt;0,"Yes - "&amp;$H350&amp;" in stock at Store 0146 (size "&amp;$G350&amp;"). Back room location "&amp;$Q350&amp;" ("&amp;$R350&amp;"), "&amp;$S350&amp;". Back room "&amp;$J350&amp;" / sales floor "&amp;$I350&amp;".","Not currently in stock at Store 0146 (size "&amp;$G350&amp;"). Home location is "&amp;$Q350&amp;" ("&amp;$R350&amp;") when replenished.")</f>
        <v>Yes - 4 in stock at Store 0146 (size 10.5). Back room location E-04-1-04 (ZONE E / BAY 04 / SHELF 1 / BIN 04), Floor level - no reach. Back room 3 / sales floor 1.</v>
      </c>
    </row>
    <row r="351" customFormat="false" ht="15" hidden="false" customHeight="false" outlineLevel="0" collapsed="false">
      <c r="A351" s="34" t="s">
        <v>1233</v>
      </c>
      <c r="B351" s="34" t="s">
        <v>1234</v>
      </c>
      <c r="C351" s="34" t="s">
        <v>1235</v>
      </c>
      <c r="D351" s="34" t="s">
        <v>123</v>
      </c>
      <c r="E351" s="34" t="s">
        <v>1236</v>
      </c>
      <c r="F351" s="34" t="s">
        <v>1238</v>
      </c>
      <c r="G351" s="24" t="s">
        <v>258</v>
      </c>
      <c r="H351" s="27" t="n">
        <f aca="false">IFERROR(INDEX('Inventory Master'!$T$2:$T$525,MATCH($A351,'Inventory Master'!$A$2:$A$525,0)),0)</f>
        <v>3</v>
      </c>
      <c r="I351" s="27" t="n">
        <v>2</v>
      </c>
      <c r="J351" s="27" t="n">
        <f aca="false">MAX(0,$H351-$I351)</f>
        <v>1</v>
      </c>
      <c r="K351" s="34" t="str">
        <f aca="false">IF($H351&gt;0,"In Stock","Out of Stock")</f>
        <v>In Stock</v>
      </c>
      <c r="L351" s="24" t="s">
        <v>1861</v>
      </c>
      <c r="M351" s="34" t="s">
        <v>1862</v>
      </c>
      <c r="N351" s="24" t="n">
        <v>4</v>
      </c>
      <c r="O351" s="24" t="n">
        <v>1</v>
      </c>
      <c r="P351" s="24" t="n">
        <v>5</v>
      </c>
      <c r="Q351" s="24" t="str">
        <f aca="false">$L351&amp;"-"&amp;TEXT($N351,"00")&amp;"-"&amp;$O351&amp;"-"&amp;TEXT($P351,"00")</f>
        <v>E-04-1-05</v>
      </c>
      <c r="R351" s="34" t="str">
        <f aca="false">"ZONE "&amp;$L351&amp;" / BAY "&amp;TEXT($N351,"00")&amp;" / SHELF "&amp;$O351&amp;" / BIN "&amp;TEXT($P351,"00")</f>
        <v>ZONE E / BAY 04 / SHELF 1 / BIN 05</v>
      </c>
      <c r="S351" s="34" t="s">
        <v>1843</v>
      </c>
      <c r="T351" s="34" t="s">
        <v>1844</v>
      </c>
      <c r="U351" s="27" t="n">
        <v>350</v>
      </c>
      <c r="V351" s="30" t="n">
        <v>46225</v>
      </c>
      <c r="W351" s="34" t="str">
        <f aca="false">IF($H351&gt;0,"Yes - "&amp;$H351&amp;" in stock at Store 0146 (size "&amp;$G351&amp;"). Back room location "&amp;$Q351&amp;" ("&amp;$R351&amp;"), "&amp;$S351&amp;". Back room "&amp;$J351&amp;" / sales floor "&amp;$I351&amp;".","Not currently in stock at Store 0146 (size "&amp;$G351&amp;"). Home location is "&amp;$Q351&amp;" ("&amp;$R351&amp;") when replenished.")</f>
        <v>Yes - 3 in stock at Store 0146 (size 11). Back room location E-04-1-05 (ZONE E / BAY 04 / SHELF 1 / BIN 05), Floor level - no reach. Back room 1 / sales floor 2.</v>
      </c>
    </row>
    <row r="352" customFormat="false" ht="15" hidden="false" customHeight="false" outlineLevel="0" collapsed="false">
      <c r="A352" s="34" t="s">
        <v>1671</v>
      </c>
      <c r="B352" s="34" t="s">
        <v>1672</v>
      </c>
      <c r="C352" s="34" t="s">
        <v>1074</v>
      </c>
      <c r="D352" s="34" t="s">
        <v>123</v>
      </c>
      <c r="E352" s="34" t="s">
        <v>1075</v>
      </c>
      <c r="F352" s="34" t="s">
        <v>1077</v>
      </c>
      <c r="G352" s="24" t="s">
        <v>177</v>
      </c>
      <c r="H352" s="27" t="n">
        <f aca="false">IFERROR(INDEX('Inventory Master'!$T$2:$T$525,MATCH($A352,'Inventory Master'!$A$2:$A$525,0)),0)</f>
        <v>6</v>
      </c>
      <c r="I352" s="27" t="n">
        <v>2</v>
      </c>
      <c r="J352" s="27" t="n">
        <f aca="false">MAX(0,$H352-$I352)</f>
        <v>4</v>
      </c>
      <c r="K352" s="34" t="str">
        <f aca="false">IF($H352&gt;0,"In Stock","Out of Stock")</f>
        <v>In Stock</v>
      </c>
      <c r="L352" s="24" t="s">
        <v>1861</v>
      </c>
      <c r="M352" s="34" t="s">
        <v>1862</v>
      </c>
      <c r="N352" s="24" t="n">
        <v>4</v>
      </c>
      <c r="O352" s="24" t="n">
        <v>2</v>
      </c>
      <c r="P352" s="24" t="n">
        <v>1</v>
      </c>
      <c r="Q352" s="24" t="str">
        <f aca="false">$L352&amp;"-"&amp;TEXT($N352,"00")&amp;"-"&amp;$O352&amp;"-"&amp;TEXT($P352,"00")</f>
        <v>E-04-2-01</v>
      </c>
      <c r="R352" s="34" t="str">
        <f aca="false">"ZONE "&amp;$L352&amp;" / BAY "&amp;TEXT($N352,"00")&amp;" / SHELF "&amp;$O352&amp;" / BIN "&amp;TEXT($P352,"00")</f>
        <v>ZONE E / BAY 04 / SHELF 2 / BIN 01</v>
      </c>
      <c r="S352" s="34" t="s">
        <v>1845</v>
      </c>
      <c r="T352" s="34" t="s">
        <v>1844</v>
      </c>
      <c r="U352" s="27" t="n">
        <v>351</v>
      </c>
      <c r="V352" s="30" t="n">
        <v>46217</v>
      </c>
      <c r="W352" s="34" t="str">
        <f aca="false">IF($H352&gt;0,"Yes - "&amp;$H352&amp;" in stock at Store 0146 (size "&amp;$G352&amp;"). Back room location "&amp;$Q352&amp;" ("&amp;$R352&amp;"), "&amp;$S352&amp;". Back room "&amp;$J352&amp;" / sales floor "&amp;$I352&amp;".","Not currently in stock at Store 0146 (size "&amp;$G352&amp;"). Home location is "&amp;$Q352&amp;" ("&amp;$R352&amp;") when replenished.")</f>
        <v>Yes - 6 in stock at Store 0146 (size 9.5). Back room location E-04-2-01 (ZONE E / BAY 04 / SHELF 2 / BIN 01), Waist height. Back room 4 / sales floor 2.</v>
      </c>
    </row>
    <row r="353" customFormat="false" ht="15" hidden="false" customHeight="false" outlineLevel="0" collapsed="false">
      <c r="A353" s="34" t="s">
        <v>1072</v>
      </c>
      <c r="B353" s="34" t="s">
        <v>1073</v>
      </c>
      <c r="C353" s="34" t="s">
        <v>1074</v>
      </c>
      <c r="D353" s="34" t="s">
        <v>123</v>
      </c>
      <c r="E353" s="34" t="s">
        <v>1075</v>
      </c>
      <c r="F353" s="34" t="s">
        <v>1077</v>
      </c>
      <c r="G353" s="24" t="s">
        <v>211</v>
      </c>
      <c r="H353" s="27" t="n">
        <f aca="false">IFERROR(INDEX('Inventory Master'!$T$2:$T$525,MATCH($A353,'Inventory Master'!$A$2:$A$525,0)),0)</f>
        <v>5</v>
      </c>
      <c r="I353" s="27" t="n">
        <v>2</v>
      </c>
      <c r="J353" s="27" t="n">
        <f aca="false">MAX(0,$H353-$I353)</f>
        <v>3</v>
      </c>
      <c r="K353" s="34" t="str">
        <f aca="false">IF($H353&gt;0,"In Stock","Out of Stock")</f>
        <v>In Stock</v>
      </c>
      <c r="L353" s="24" t="s">
        <v>1861</v>
      </c>
      <c r="M353" s="34" t="s">
        <v>1862</v>
      </c>
      <c r="N353" s="24" t="n">
        <v>4</v>
      </c>
      <c r="O353" s="24" t="n">
        <v>2</v>
      </c>
      <c r="P353" s="24" t="n">
        <v>2</v>
      </c>
      <c r="Q353" s="24" t="str">
        <f aca="false">$L353&amp;"-"&amp;TEXT($N353,"00")&amp;"-"&amp;$O353&amp;"-"&amp;TEXT($P353,"00")</f>
        <v>E-04-2-02</v>
      </c>
      <c r="R353" s="34" t="str">
        <f aca="false">"ZONE "&amp;$L353&amp;" / BAY "&amp;TEXT($N353,"00")&amp;" / SHELF "&amp;$O353&amp;" / BIN "&amp;TEXT($P353,"00")</f>
        <v>ZONE E / BAY 04 / SHELF 2 / BIN 02</v>
      </c>
      <c r="S353" s="34" t="s">
        <v>1845</v>
      </c>
      <c r="T353" s="34" t="s">
        <v>1844</v>
      </c>
      <c r="U353" s="27" t="n">
        <v>352</v>
      </c>
      <c r="V353" s="30" t="n">
        <v>46138</v>
      </c>
      <c r="W353" s="34" t="str">
        <f aca="false">IF($H353&gt;0,"Yes - "&amp;$H353&amp;" in stock at Store 0146 (size "&amp;$G353&amp;"). Back room location "&amp;$Q353&amp;" ("&amp;$R353&amp;"), "&amp;$S353&amp;". Back room "&amp;$J353&amp;" / sales floor "&amp;$I353&amp;".","Not currently in stock at Store 0146 (size "&amp;$G353&amp;"). Home location is "&amp;$Q353&amp;" ("&amp;$R353&amp;") when replenished.")</f>
        <v>Yes - 5 in stock at Store 0146 (size 10). Back room location E-04-2-02 (ZONE E / BAY 04 / SHELF 2 / BIN 02), Waist height. Back room 3 / sales floor 2.</v>
      </c>
    </row>
    <row r="354" customFormat="false" ht="15" hidden="false" customHeight="false" outlineLevel="0" collapsed="false">
      <c r="A354" s="34" t="s">
        <v>1330</v>
      </c>
      <c r="B354" s="34" t="s">
        <v>1331</v>
      </c>
      <c r="C354" s="34" t="s">
        <v>1074</v>
      </c>
      <c r="D354" s="34" t="s">
        <v>123</v>
      </c>
      <c r="E354" s="34" t="s">
        <v>1075</v>
      </c>
      <c r="F354" s="34" t="s">
        <v>1077</v>
      </c>
      <c r="G354" s="24" t="s">
        <v>327</v>
      </c>
      <c r="H354" s="27" t="n">
        <f aca="false">IFERROR(INDEX('Inventory Master'!$T$2:$T$525,MATCH($A354,'Inventory Master'!$A$2:$A$525,0)),0)</f>
        <v>2</v>
      </c>
      <c r="I354" s="27" t="n">
        <v>1</v>
      </c>
      <c r="J354" s="27" t="n">
        <f aca="false">MAX(0,$H354-$I354)</f>
        <v>1</v>
      </c>
      <c r="K354" s="34" t="str">
        <f aca="false">IF($H354&gt;0,"In Stock","Out of Stock")</f>
        <v>In Stock</v>
      </c>
      <c r="L354" s="24" t="s">
        <v>1861</v>
      </c>
      <c r="M354" s="34" t="s">
        <v>1862</v>
      </c>
      <c r="N354" s="24" t="n">
        <v>4</v>
      </c>
      <c r="O354" s="24" t="n">
        <v>2</v>
      </c>
      <c r="P354" s="24" t="n">
        <v>3</v>
      </c>
      <c r="Q354" s="24" t="str">
        <f aca="false">$L354&amp;"-"&amp;TEXT($N354,"00")&amp;"-"&amp;$O354&amp;"-"&amp;TEXT($P354,"00")</f>
        <v>E-04-2-03</v>
      </c>
      <c r="R354" s="34" t="str">
        <f aca="false">"ZONE "&amp;$L354&amp;" / BAY "&amp;TEXT($N354,"00")&amp;" / SHELF "&amp;$O354&amp;" / BIN "&amp;TEXT($P354,"00")</f>
        <v>ZONE E / BAY 04 / SHELF 2 / BIN 03</v>
      </c>
      <c r="S354" s="34" t="s">
        <v>1845</v>
      </c>
      <c r="T354" s="34" t="s">
        <v>1844</v>
      </c>
      <c r="U354" s="27" t="n">
        <v>353</v>
      </c>
      <c r="V354" s="30" t="n">
        <v>46163</v>
      </c>
      <c r="W354" s="34" t="str">
        <f aca="false">IF($H354&gt;0,"Yes - "&amp;$H354&amp;" in stock at Store 0146 (size "&amp;$G354&amp;"). Back room location "&amp;$Q354&amp;" ("&amp;$R354&amp;"), "&amp;$S354&amp;". Back room "&amp;$J354&amp;" / sales floor "&amp;$I354&amp;".","Not currently in stock at Store 0146 (size "&amp;$G354&amp;"). Home location is "&amp;$Q354&amp;" ("&amp;$R354&amp;") when replenished.")</f>
        <v>Yes - 2 in stock at Store 0146 (size 10.5). Back room location E-04-2-03 (ZONE E / BAY 04 / SHELF 2 / BIN 03), Waist height. Back room 1 / sales floor 1.</v>
      </c>
    </row>
    <row r="355" customFormat="false" ht="15" hidden="false" customHeight="false" outlineLevel="0" collapsed="false">
      <c r="A355" s="34" t="s">
        <v>1558</v>
      </c>
      <c r="B355" s="34" t="s">
        <v>1559</v>
      </c>
      <c r="C355" s="34" t="s">
        <v>1074</v>
      </c>
      <c r="D355" s="34" t="s">
        <v>123</v>
      </c>
      <c r="E355" s="34" t="s">
        <v>1075</v>
      </c>
      <c r="F355" s="34" t="s">
        <v>1077</v>
      </c>
      <c r="G355" s="24" t="s">
        <v>258</v>
      </c>
      <c r="H355" s="27" t="n">
        <f aca="false">IFERROR(INDEX('Inventory Master'!$T$2:$T$525,MATCH($A355,'Inventory Master'!$A$2:$A$525,0)),0)</f>
        <v>3</v>
      </c>
      <c r="I355" s="27" t="n">
        <v>2</v>
      </c>
      <c r="J355" s="27" t="n">
        <f aca="false">MAX(0,$H355-$I355)</f>
        <v>1</v>
      </c>
      <c r="K355" s="34" t="str">
        <f aca="false">IF($H355&gt;0,"In Stock","Out of Stock")</f>
        <v>In Stock</v>
      </c>
      <c r="L355" s="24" t="s">
        <v>1861</v>
      </c>
      <c r="M355" s="34" t="s">
        <v>1862</v>
      </c>
      <c r="N355" s="24" t="n">
        <v>4</v>
      </c>
      <c r="O355" s="24" t="n">
        <v>2</v>
      </c>
      <c r="P355" s="24" t="n">
        <v>4</v>
      </c>
      <c r="Q355" s="24" t="str">
        <f aca="false">$L355&amp;"-"&amp;TEXT($N355,"00")&amp;"-"&amp;$O355&amp;"-"&amp;TEXT($P355,"00")</f>
        <v>E-04-2-04</v>
      </c>
      <c r="R355" s="34" t="str">
        <f aca="false">"ZONE "&amp;$L355&amp;" / BAY "&amp;TEXT($N355,"00")&amp;" / SHELF "&amp;$O355&amp;" / BIN "&amp;TEXT($P355,"00")</f>
        <v>ZONE E / BAY 04 / SHELF 2 / BIN 04</v>
      </c>
      <c r="S355" s="34" t="s">
        <v>1845</v>
      </c>
      <c r="T355" s="34" t="s">
        <v>1844</v>
      </c>
      <c r="U355" s="27" t="n">
        <v>354</v>
      </c>
      <c r="V355" s="30" t="n">
        <v>46221</v>
      </c>
      <c r="W355" s="34" t="str">
        <f aca="false">IF($H355&gt;0,"Yes - "&amp;$H355&amp;" in stock at Store 0146 (size "&amp;$G355&amp;"). Back room location "&amp;$Q355&amp;" ("&amp;$R355&amp;"), "&amp;$S355&amp;". Back room "&amp;$J355&amp;" / sales floor "&amp;$I355&amp;".","Not currently in stock at Store 0146 (size "&amp;$G355&amp;"). Home location is "&amp;$Q355&amp;" ("&amp;$R355&amp;") when replenished.")</f>
        <v>Yes - 3 in stock at Store 0146 (size 11). Back room location E-04-2-04 (ZONE E / BAY 04 / SHELF 2 / BIN 04), Waist height. Back room 1 / sales floor 2.</v>
      </c>
    </row>
    <row r="356" customFormat="false" ht="15" hidden="false" customHeight="false" outlineLevel="0" collapsed="false">
      <c r="A356" s="34" t="s">
        <v>1669</v>
      </c>
      <c r="B356" s="34" t="s">
        <v>1670</v>
      </c>
      <c r="C356" s="34" t="s">
        <v>1074</v>
      </c>
      <c r="D356" s="34" t="s">
        <v>123</v>
      </c>
      <c r="E356" s="34" t="s">
        <v>1075</v>
      </c>
      <c r="F356" s="34" t="s">
        <v>1077</v>
      </c>
      <c r="G356" s="24" t="s">
        <v>141</v>
      </c>
      <c r="H356" s="27" t="n">
        <f aca="false">IFERROR(INDEX('Inventory Master'!$T$2:$T$525,MATCH($A356,'Inventory Master'!$A$2:$A$525,0)),0)</f>
        <v>6</v>
      </c>
      <c r="I356" s="27" t="n">
        <v>1</v>
      </c>
      <c r="J356" s="27" t="n">
        <f aca="false">MAX(0,$H356-$I356)</f>
        <v>5</v>
      </c>
      <c r="K356" s="34" t="str">
        <f aca="false">IF($H356&gt;0,"In Stock","Out of Stock")</f>
        <v>In Stock</v>
      </c>
      <c r="L356" s="24" t="s">
        <v>1861</v>
      </c>
      <c r="M356" s="34" t="s">
        <v>1862</v>
      </c>
      <c r="N356" s="24" t="n">
        <v>4</v>
      </c>
      <c r="O356" s="24" t="n">
        <v>2</v>
      </c>
      <c r="P356" s="24" t="n">
        <v>5</v>
      </c>
      <c r="Q356" s="24" t="str">
        <f aca="false">$L356&amp;"-"&amp;TEXT($N356,"00")&amp;"-"&amp;$O356&amp;"-"&amp;TEXT($P356,"00")</f>
        <v>E-04-2-05</v>
      </c>
      <c r="R356" s="34" t="str">
        <f aca="false">"ZONE "&amp;$L356&amp;" / BAY "&amp;TEXT($N356,"00")&amp;" / SHELF "&amp;$O356&amp;" / BIN "&amp;TEXT($P356,"00")</f>
        <v>ZONE E / BAY 04 / SHELF 2 / BIN 05</v>
      </c>
      <c r="S356" s="34" t="s">
        <v>1845</v>
      </c>
      <c r="T356" s="34" t="s">
        <v>1844</v>
      </c>
      <c r="U356" s="27" t="n">
        <v>355</v>
      </c>
      <c r="V356" s="30" t="n">
        <v>46152</v>
      </c>
      <c r="W356" s="34" t="str">
        <f aca="false">IF($H356&gt;0,"Yes - "&amp;$H356&amp;" in stock at Store 0146 (size "&amp;$G356&amp;"). Back room location "&amp;$Q356&amp;" ("&amp;$R356&amp;"), "&amp;$S356&amp;". Back room "&amp;$J356&amp;" / sales floor "&amp;$I356&amp;".","Not currently in stock at Store 0146 (size "&amp;$G356&amp;"). Home location is "&amp;$Q356&amp;" ("&amp;$R356&amp;") when replenished.")</f>
        <v>Yes - 6 in stock at Store 0146 (size 11.5). Back room location E-04-2-05 (ZONE E / BAY 04 / SHELF 2 / BIN 05), Waist height. Back room 5 / sales floor 1.</v>
      </c>
    </row>
    <row r="357" customFormat="false" ht="15" hidden="false" customHeight="false" outlineLevel="0" collapsed="false">
      <c r="A357" s="34" t="s">
        <v>819</v>
      </c>
      <c r="B357" s="34" t="s">
        <v>820</v>
      </c>
      <c r="C357" s="34" t="s">
        <v>821</v>
      </c>
      <c r="D357" s="34" t="s">
        <v>332</v>
      </c>
      <c r="E357" s="34" t="s">
        <v>822</v>
      </c>
      <c r="F357" s="34" t="s">
        <v>824</v>
      </c>
      <c r="G357" s="24" t="s">
        <v>538</v>
      </c>
      <c r="H357" s="27" t="n">
        <f aca="false">IFERROR(INDEX('Inventory Master'!$T$2:$T$525,MATCH($A357,'Inventory Master'!$A$2:$A$525,0)),0)</f>
        <v>3</v>
      </c>
      <c r="I357" s="27" t="n">
        <v>2</v>
      </c>
      <c r="J357" s="27" t="n">
        <f aca="false">MAX(0,$H357-$I357)</f>
        <v>1</v>
      </c>
      <c r="K357" s="34" t="str">
        <f aca="false">IF($H357&gt;0,"In Stock","Out of Stock")</f>
        <v>In Stock</v>
      </c>
      <c r="L357" s="24" t="s">
        <v>1861</v>
      </c>
      <c r="M357" s="34" t="s">
        <v>1862</v>
      </c>
      <c r="N357" s="24" t="n">
        <v>4</v>
      </c>
      <c r="O357" s="24" t="n">
        <v>3</v>
      </c>
      <c r="P357" s="24" t="n">
        <v>1</v>
      </c>
      <c r="Q357" s="24" t="str">
        <f aca="false">$L357&amp;"-"&amp;TEXT($N357,"00")&amp;"-"&amp;$O357&amp;"-"&amp;TEXT($P357,"00")</f>
        <v>E-04-3-01</v>
      </c>
      <c r="R357" s="34" t="str">
        <f aca="false">"ZONE "&amp;$L357&amp;" / BAY "&amp;TEXT($N357,"00")&amp;" / SHELF "&amp;$O357&amp;" / BIN "&amp;TEXT($P357,"00")</f>
        <v>ZONE E / BAY 04 / SHELF 3 / BIN 01</v>
      </c>
      <c r="S357" s="34" t="s">
        <v>1846</v>
      </c>
      <c r="T357" s="34" t="s">
        <v>1844</v>
      </c>
      <c r="U357" s="27" t="n">
        <v>356</v>
      </c>
      <c r="V357" s="30" t="n">
        <v>46161</v>
      </c>
      <c r="W357" s="34" t="str">
        <f aca="false">IF($H357&gt;0,"Yes - "&amp;$H357&amp;" in stock at Store 0146 (size "&amp;$G357&amp;"). Back room location "&amp;$Q357&amp;" ("&amp;$R357&amp;"), "&amp;$S357&amp;". Back room "&amp;$J357&amp;" / sales floor "&amp;$I357&amp;".","Not currently in stock at Store 0146 (size "&amp;$G357&amp;"). Home location is "&amp;$Q357&amp;" ("&amp;$R357&amp;") when replenished.")</f>
        <v>Yes - 3 in stock at Store 0146 (size 6). Back room location E-04-3-01 (ZONE E / BAY 04 / SHELF 3 / BIN 01), Eye level. Back room 1 / sales floor 2.</v>
      </c>
    </row>
    <row r="358" customFormat="false" ht="15" hidden="false" customHeight="false" outlineLevel="0" collapsed="false">
      <c r="A358" s="34" t="s">
        <v>1008</v>
      </c>
      <c r="B358" s="34" t="s">
        <v>1009</v>
      </c>
      <c r="C358" s="34" t="s">
        <v>821</v>
      </c>
      <c r="D358" s="34" t="s">
        <v>332</v>
      </c>
      <c r="E358" s="34" t="s">
        <v>822</v>
      </c>
      <c r="F358" s="34" t="s">
        <v>824</v>
      </c>
      <c r="G358" s="24" t="s">
        <v>338</v>
      </c>
      <c r="H358" s="27" t="n">
        <f aca="false">IFERROR(INDEX('Inventory Master'!$T$2:$T$525,MATCH($A358,'Inventory Master'!$A$2:$A$525,0)),0)</f>
        <v>4</v>
      </c>
      <c r="I358" s="27" t="n">
        <v>0</v>
      </c>
      <c r="J358" s="27" t="n">
        <f aca="false">MAX(0,$H358-$I358)</f>
        <v>4</v>
      </c>
      <c r="K358" s="34" t="str">
        <f aca="false">IF($H358&gt;0,"In Stock","Out of Stock")</f>
        <v>In Stock</v>
      </c>
      <c r="L358" s="24" t="s">
        <v>1861</v>
      </c>
      <c r="M358" s="34" t="s">
        <v>1862</v>
      </c>
      <c r="N358" s="24" t="n">
        <v>4</v>
      </c>
      <c r="O358" s="24" t="n">
        <v>3</v>
      </c>
      <c r="P358" s="24" t="n">
        <v>2</v>
      </c>
      <c r="Q358" s="24" t="str">
        <f aca="false">$L358&amp;"-"&amp;TEXT($N358,"00")&amp;"-"&amp;$O358&amp;"-"&amp;TEXT($P358,"00")</f>
        <v>E-04-3-02</v>
      </c>
      <c r="R358" s="34" t="str">
        <f aca="false">"ZONE "&amp;$L358&amp;" / BAY "&amp;TEXT($N358,"00")&amp;" / SHELF "&amp;$O358&amp;" / BIN "&amp;TEXT($P358,"00")</f>
        <v>ZONE E / BAY 04 / SHELF 3 / BIN 02</v>
      </c>
      <c r="S358" s="34" t="s">
        <v>1846</v>
      </c>
      <c r="T358" s="34" t="s">
        <v>1844</v>
      </c>
      <c r="U358" s="27" t="n">
        <v>357</v>
      </c>
      <c r="V358" s="30" t="n">
        <v>46152</v>
      </c>
      <c r="W358" s="34" t="str">
        <f aca="false">IF($H358&gt;0,"Yes - "&amp;$H358&amp;" in stock at Store 0146 (size "&amp;$G358&amp;"). Back room location "&amp;$Q358&amp;" ("&amp;$R358&amp;"), "&amp;$S358&amp;". Back room "&amp;$J358&amp;" / sales floor "&amp;$I358&amp;".","Not currently in stock at Store 0146 (size "&amp;$G358&amp;"). Home location is "&amp;$Q358&amp;" ("&amp;$R358&amp;") when replenished.")</f>
        <v>Yes - 4 in stock at Store 0146 (size 7). Back room location E-04-3-02 (ZONE E / BAY 04 / SHELF 3 / BIN 02), Eye level. Back room 4 / sales floor 0.</v>
      </c>
    </row>
    <row r="359" customFormat="false" ht="15" hidden="false" customHeight="false" outlineLevel="0" collapsed="false">
      <c r="A359" s="34" t="s">
        <v>1438</v>
      </c>
      <c r="B359" s="34" t="s">
        <v>1439</v>
      </c>
      <c r="C359" s="34" t="s">
        <v>821</v>
      </c>
      <c r="D359" s="34" t="s">
        <v>332</v>
      </c>
      <c r="E359" s="34" t="s">
        <v>822</v>
      </c>
      <c r="F359" s="34" t="s">
        <v>824</v>
      </c>
      <c r="G359" s="24" t="s">
        <v>356</v>
      </c>
      <c r="H359" s="27" t="n">
        <f aca="false">IFERROR(INDEX('Inventory Master'!$T$2:$T$525,MATCH($A359,'Inventory Master'!$A$2:$A$525,0)),0)</f>
        <v>3</v>
      </c>
      <c r="I359" s="27" t="n">
        <v>1</v>
      </c>
      <c r="J359" s="27" t="n">
        <f aca="false">MAX(0,$H359-$I359)</f>
        <v>2</v>
      </c>
      <c r="K359" s="34" t="str">
        <f aca="false">IF($H359&gt;0,"In Stock","Out of Stock")</f>
        <v>In Stock</v>
      </c>
      <c r="L359" s="24" t="s">
        <v>1861</v>
      </c>
      <c r="M359" s="34" t="s">
        <v>1862</v>
      </c>
      <c r="N359" s="24" t="n">
        <v>4</v>
      </c>
      <c r="O359" s="24" t="n">
        <v>3</v>
      </c>
      <c r="P359" s="24" t="n">
        <v>3</v>
      </c>
      <c r="Q359" s="24" t="str">
        <f aca="false">$L359&amp;"-"&amp;TEXT($N359,"00")&amp;"-"&amp;$O359&amp;"-"&amp;TEXT($P359,"00")</f>
        <v>E-04-3-03</v>
      </c>
      <c r="R359" s="34" t="str">
        <f aca="false">"ZONE "&amp;$L359&amp;" / BAY "&amp;TEXT($N359,"00")&amp;" / SHELF "&amp;$O359&amp;" / BIN "&amp;TEXT($P359,"00")</f>
        <v>ZONE E / BAY 04 / SHELF 3 / BIN 03</v>
      </c>
      <c r="S359" s="34" t="s">
        <v>1846</v>
      </c>
      <c r="T359" s="34" t="s">
        <v>1844</v>
      </c>
      <c r="U359" s="27" t="n">
        <v>358</v>
      </c>
      <c r="V359" s="30" t="n">
        <v>46190</v>
      </c>
      <c r="W359" s="34" t="str">
        <f aca="false">IF($H359&gt;0,"Yes - "&amp;$H359&amp;" in stock at Store 0146 (size "&amp;$G359&amp;"). Back room location "&amp;$Q359&amp;" ("&amp;$R359&amp;"), "&amp;$S359&amp;". Back room "&amp;$J359&amp;" / sales floor "&amp;$I359&amp;".","Not currently in stock at Store 0146 (size "&amp;$G359&amp;"). Home location is "&amp;$Q359&amp;" ("&amp;$R359&amp;") when replenished.")</f>
        <v>Yes - 3 in stock at Store 0146 (size 8). Back room location E-04-3-03 (ZONE E / BAY 04 / SHELF 3 / BIN 03), Eye level. Back room 2 / sales floor 1.</v>
      </c>
    </row>
    <row r="360" customFormat="false" ht="15" hidden="false" customHeight="false" outlineLevel="0" collapsed="false">
      <c r="A360" s="34" t="s">
        <v>989</v>
      </c>
      <c r="B360" s="34" t="s">
        <v>990</v>
      </c>
      <c r="C360" s="34" t="s">
        <v>821</v>
      </c>
      <c r="D360" s="34" t="s">
        <v>332</v>
      </c>
      <c r="E360" s="34" t="s">
        <v>822</v>
      </c>
      <c r="F360" s="34" t="s">
        <v>824</v>
      </c>
      <c r="G360" s="24" t="s">
        <v>164</v>
      </c>
      <c r="H360" s="27" t="n">
        <f aca="false">IFERROR(INDEX('Inventory Master'!$T$2:$T$525,MATCH($A360,'Inventory Master'!$A$2:$A$525,0)),0)</f>
        <v>0</v>
      </c>
      <c r="I360" s="27" t="n">
        <v>0</v>
      </c>
      <c r="J360" s="27" t="n">
        <f aca="false">MAX(0,$H360-$I360)</f>
        <v>0</v>
      </c>
      <c r="K360" s="34" t="str">
        <f aca="false">IF($H360&gt;0,"In Stock","Out of Stock")</f>
        <v>Out of Stock</v>
      </c>
      <c r="L360" s="24" t="s">
        <v>1861</v>
      </c>
      <c r="M360" s="34" t="s">
        <v>1862</v>
      </c>
      <c r="N360" s="24" t="n">
        <v>4</v>
      </c>
      <c r="O360" s="24" t="n">
        <v>3</v>
      </c>
      <c r="P360" s="24" t="n">
        <v>4</v>
      </c>
      <c r="Q360" s="24" t="str">
        <f aca="false">$L360&amp;"-"&amp;TEXT($N360,"00")&amp;"-"&amp;$O360&amp;"-"&amp;TEXT($P360,"00")</f>
        <v>E-04-3-04</v>
      </c>
      <c r="R360" s="34" t="str">
        <f aca="false">"ZONE "&amp;$L360&amp;" / BAY "&amp;TEXT($N360,"00")&amp;" / SHELF "&amp;$O360&amp;" / BIN "&amp;TEXT($P360,"00")</f>
        <v>ZONE E / BAY 04 / SHELF 3 / BIN 04</v>
      </c>
      <c r="S360" s="34" t="s">
        <v>1846</v>
      </c>
      <c r="T360" s="34" t="s">
        <v>1844</v>
      </c>
      <c r="U360" s="27" t="n">
        <v>359</v>
      </c>
      <c r="V360" s="30" t="n">
        <v>46230</v>
      </c>
      <c r="W360" s="34" t="str">
        <f aca="false">IF($H360&gt;0,"Yes - "&amp;$H360&amp;" in stock at Store 0146 (size "&amp;$G360&amp;"). Back room location "&amp;$Q360&amp;" ("&amp;$R360&amp;"), "&amp;$S360&amp;". Back room "&amp;$J360&amp;" / sales floor "&amp;$I360&amp;".","Not currently in stock at Store 0146 (size "&amp;$G360&amp;"). Home location is "&amp;$Q360&amp;" ("&amp;$R360&amp;") when replenished.")</f>
        <v>Not currently in stock at Store 0146 (size 9). Home location is E-04-3-04 (ZONE E / BAY 04 / SHELF 3 / BIN 04) when replenished.</v>
      </c>
    </row>
    <row r="361" customFormat="false" ht="15" hidden="false" customHeight="false" outlineLevel="0" collapsed="false">
      <c r="A361" s="34" t="s">
        <v>357</v>
      </c>
      <c r="B361" s="34" t="s">
        <v>358</v>
      </c>
      <c r="C361" s="34" t="s">
        <v>250</v>
      </c>
      <c r="D361" s="34" t="s">
        <v>252</v>
      </c>
      <c r="E361" s="34" t="s">
        <v>253</v>
      </c>
      <c r="F361" s="34" t="s">
        <v>255</v>
      </c>
      <c r="G361" s="24" t="s">
        <v>211</v>
      </c>
      <c r="H361" s="27" t="n">
        <f aca="false">IFERROR(INDEX('Inventory Master'!$T$2:$T$525,MATCH($A361,'Inventory Master'!$A$2:$A$525,0)),0)</f>
        <v>1</v>
      </c>
      <c r="I361" s="27" t="n">
        <v>0</v>
      </c>
      <c r="J361" s="27" t="n">
        <f aca="false">MAX(0,$H361-$I361)</f>
        <v>1</v>
      </c>
      <c r="K361" s="34" t="str">
        <f aca="false">IF($H361&gt;0,"In Stock","Out of Stock")</f>
        <v>In Stock</v>
      </c>
      <c r="L361" s="24" t="s">
        <v>1861</v>
      </c>
      <c r="M361" s="34" t="s">
        <v>1862</v>
      </c>
      <c r="N361" s="24" t="n">
        <v>4</v>
      </c>
      <c r="O361" s="24" t="n">
        <v>4</v>
      </c>
      <c r="P361" s="24" t="n">
        <v>1</v>
      </c>
      <c r="Q361" s="24" t="str">
        <f aca="false">$L361&amp;"-"&amp;TEXT($N361,"00")&amp;"-"&amp;$O361&amp;"-"&amp;TEXT($P361,"00")</f>
        <v>E-04-4-01</v>
      </c>
      <c r="R361" s="34" t="str">
        <f aca="false">"ZONE "&amp;$L361&amp;" / BAY "&amp;TEXT($N361,"00")&amp;" / SHELF "&amp;$O361&amp;" / BIN "&amp;TEXT($P361,"00")</f>
        <v>ZONE E / BAY 04 / SHELF 4 / BIN 01</v>
      </c>
      <c r="S361" s="34" t="s">
        <v>1847</v>
      </c>
      <c r="T361" s="34" t="s">
        <v>1844</v>
      </c>
      <c r="U361" s="27" t="n">
        <v>360</v>
      </c>
      <c r="V361" s="30" t="n">
        <v>46139</v>
      </c>
      <c r="W361" s="34" t="str">
        <f aca="false">IF($H361&gt;0,"Yes - "&amp;$H361&amp;" in stock at Store 0146 (size "&amp;$G361&amp;"). Back room location "&amp;$Q361&amp;" ("&amp;$R361&amp;"), "&amp;$S361&amp;". Back room "&amp;$J361&amp;" / sales floor "&amp;$I361&amp;".","Not currently in stock at Store 0146 (size "&amp;$G361&amp;"). Home location is "&amp;$Q361&amp;" ("&amp;$R361&amp;") when replenished.")</f>
        <v>Yes - 1 in stock at Store 0146 (size 10). Back room location E-04-4-01 (ZONE E / BAY 04 / SHELF 4 / BIN 01), Overhead - step stool. Back room 1 / sales floor 0.</v>
      </c>
    </row>
    <row r="362" customFormat="false" ht="15" hidden="false" customHeight="false" outlineLevel="0" collapsed="false">
      <c r="A362" s="34" t="s">
        <v>1500</v>
      </c>
      <c r="B362" s="34" t="s">
        <v>1501</v>
      </c>
      <c r="C362" s="34" t="s">
        <v>250</v>
      </c>
      <c r="D362" s="34" t="s">
        <v>252</v>
      </c>
      <c r="E362" s="34" t="s">
        <v>253</v>
      </c>
      <c r="F362" s="34" t="s">
        <v>255</v>
      </c>
      <c r="G362" s="24" t="s">
        <v>327</v>
      </c>
      <c r="H362" s="27" t="n">
        <f aca="false">IFERROR(INDEX('Inventory Master'!$T$2:$T$525,MATCH($A362,'Inventory Master'!$A$2:$A$525,0)),0)</f>
        <v>3</v>
      </c>
      <c r="I362" s="27" t="n">
        <v>1</v>
      </c>
      <c r="J362" s="27" t="n">
        <f aca="false">MAX(0,$H362-$I362)</f>
        <v>2</v>
      </c>
      <c r="K362" s="34" t="str">
        <f aca="false">IF($H362&gt;0,"In Stock","Out of Stock")</f>
        <v>In Stock</v>
      </c>
      <c r="L362" s="24" t="s">
        <v>1861</v>
      </c>
      <c r="M362" s="34" t="s">
        <v>1862</v>
      </c>
      <c r="N362" s="24" t="n">
        <v>4</v>
      </c>
      <c r="O362" s="24" t="n">
        <v>4</v>
      </c>
      <c r="P362" s="24" t="n">
        <v>2</v>
      </c>
      <c r="Q362" s="24" t="str">
        <f aca="false">$L362&amp;"-"&amp;TEXT($N362,"00")&amp;"-"&amp;$O362&amp;"-"&amp;TEXT($P362,"00")</f>
        <v>E-04-4-02</v>
      </c>
      <c r="R362" s="34" t="str">
        <f aca="false">"ZONE "&amp;$L362&amp;" / BAY "&amp;TEXT($N362,"00")&amp;" / SHELF "&amp;$O362&amp;" / BIN "&amp;TEXT($P362,"00")</f>
        <v>ZONE E / BAY 04 / SHELF 4 / BIN 02</v>
      </c>
      <c r="S362" s="34" t="s">
        <v>1847</v>
      </c>
      <c r="T362" s="34" t="s">
        <v>1844</v>
      </c>
      <c r="U362" s="27" t="n">
        <v>361</v>
      </c>
      <c r="V362" s="30" t="n">
        <v>46166</v>
      </c>
      <c r="W362" s="34" t="str">
        <f aca="false">IF($H362&gt;0,"Yes - "&amp;$H362&amp;" in stock at Store 0146 (size "&amp;$G362&amp;"). Back room location "&amp;$Q362&amp;" ("&amp;$R362&amp;"), "&amp;$S362&amp;". Back room "&amp;$J362&amp;" / sales floor "&amp;$I362&amp;".","Not currently in stock at Store 0146 (size "&amp;$G362&amp;"). Home location is "&amp;$Q362&amp;" ("&amp;$R362&amp;") when replenished.")</f>
        <v>Yes - 3 in stock at Store 0146 (size 10.5). Back room location E-04-4-02 (ZONE E / BAY 04 / SHELF 4 / BIN 02), Overhead - step stool. Back room 2 / sales floor 1.</v>
      </c>
    </row>
    <row r="363" customFormat="false" ht="15" hidden="false" customHeight="false" outlineLevel="0" collapsed="false">
      <c r="A363" s="34" t="s">
        <v>248</v>
      </c>
      <c r="B363" s="34" t="s">
        <v>249</v>
      </c>
      <c r="C363" s="34" t="s">
        <v>250</v>
      </c>
      <c r="D363" s="34" t="s">
        <v>252</v>
      </c>
      <c r="E363" s="34" t="s">
        <v>253</v>
      </c>
      <c r="F363" s="34" t="s">
        <v>255</v>
      </c>
      <c r="G363" s="24" t="s">
        <v>258</v>
      </c>
      <c r="H363" s="27" t="n">
        <f aca="false">IFERROR(INDEX('Inventory Master'!$T$2:$T$525,MATCH($A363,'Inventory Master'!$A$2:$A$525,0)),0)</f>
        <v>4</v>
      </c>
      <c r="I363" s="27" t="n">
        <v>1</v>
      </c>
      <c r="J363" s="27" t="n">
        <f aca="false">MAX(0,$H363-$I363)</f>
        <v>3</v>
      </c>
      <c r="K363" s="34" t="str">
        <f aca="false">IF($H363&gt;0,"In Stock","Out of Stock")</f>
        <v>In Stock</v>
      </c>
      <c r="L363" s="24" t="s">
        <v>1861</v>
      </c>
      <c r="M363" s="34" t="s">
        <v>1862</v>
      </c>
      <c r="N363" s="24" t="n">
        <v>4</v>
      </c>
      <c r="O363" s="24" t="n">
        <v>4</v>
      </c>
      <c r="P363" s="24" t="n">
        <v>3</v>
      </c>
      <c r="Q363" s="24" t="str">
        <f aca="false">$L363&amp;"-"&amp;TEXT($N363,"00")&amp;"-"&amp;$O363&amp;"-"&amp;TEXT($P363,"00")</f>
        <v>E-04-4-03</v>
      </c>
      <c r="R363" s="34" t="str">
        <f aca="false">"ZONE "&amp;$L363&amp;" / BAY "&amp;TEXT($N363,"00")&amp;" / SHELF "&amp;$O363&amp;" / BIN "&amp;TEXT($P363,"00")</f>
        <v>ZONE E / BAY 04 / SHELF 4 / BIN 03</v>
      </c>
      <c r="S363" s="34" t="s">
        <v>1847</v>
      </c>
      <c r="T363" s="34" t="s">
        <v>1844</v>
      </c>
      <c r="U363" s="27" t="n">
        <v>362</v>
      </c>
      <c r="V363" s="30" t="n">
        <v>46143</v>
      </c>
      <c r="W363" s="34" t="str">
        <f aca="false">IF($H363&gt;0,"Yes - "&amp;$H363&amp;" in stock at Store 0146 (size "&amp;$G363&amp;"). Back room location "&amp;$Q363&amp;" ("&amp;$R363&amp;"), "&amp;$S363&amp;". Back room "&amp;$J363&amp;" / sales floor "&amp;$I363&amp;".","Not currently in stock at Store 0146 (size "&amp;$G363&amp;"). Home location is "&amp;$Q363&amp;" ("&amp;$R363&amp;") when replenished.")</f>
        <v>Yes - 4 in stock at Store 0146 (size 11). Back room location E-04-4-03 (ZONE E / BAY 04 / SHELF 4 / BIN 03), Overhead - step stool. Back room 3 / sales floor 1.</v>
      </c>
    </row>
    <row r="364" customFormat="false" ht="15" hidden="false" customHeight="false" outlineLevel="0" collapsed="false">
      <c r="A364" s="34" t="s">
        <v>1349</v>
      </c>
      <c r="B364" s="34" t="s">
        <v>1350</v>
      </c>
      <c r="C364" s="34" t="s">
        <v>250</v>
      </c>
      <c r="D364" s="34" t="s">
        <v>252</v>
      </c>
      <c r="E364" s="34" t="s">
        <v>253</v>
      </c>
      <c r="F364" s="34" t="s">
        <v>255</v>
      </c>
      <c r="G364" s="24" t="s">
        <v>141</v>
      </c>
      <c r="H364" s="27" t="n">
        <f aca="false">IFERROR(INDEX('Inventory Master'!$T$2:$T$525,MATCH($A364,'Inventory Master'!$A$2:$A$525,0)),0)</f>
        <v>5</v>
      </c>
      <c r="I364" s="27" t="n">
        <v>0</v>
      </c>
      <c r="J364" s="27" t="n">
        <f aca="false">MAX(0,$H364-$I364)</f>
        <v>5</v>
      </c>
      <c r="K364" s="34" t="str">
        <f aca="false">IF($H364&gt;0,"In Stock","Out of Stock")</f>
        <v>In Stock</v>
      </c>
      <c r="L364" s="24" t="s">
        <v>1861</v>
      </c>
      <c r="M364" s="34" t="s">
        <v>1862</v>
      </c>
      <c r="N364" s="24" t="n">
        <v>4</v>
      </c>
      <c r="O364" s="24" t="n">
        <v>4</v>
      </c>
      <c r="P364" s="24" t="n">
        <v>4</v>
      </c>
      <c r="Q364" s="24" t="str">
        <f aca="false">$L364&amp;"-"&amp;TEXT($N364,"00")&amp;"-"&amp;$O364&amp;"-"&amp;TEXT($P364,"00")</f>
        <v>E-04-4-04</v>
      </c>
      <c r="R364" s="34" t="str">
        <f aca="false">"ZONE "&amp;$L364&amp;" / BAY "&amp;TEXT($N364,"00")&amp;" / SHELF "&amp;$O364&amp;" / BIN "&amp;TEXT($P364,"00")</f>
        <v>ZONE E / BAY 04 / SHELF 4 / BIN 04</v>
      </c>
      <c r="S364" s="34" t="s">
        <v>1847</v>
      </c>
      <c r="T364" s="34" t="s">
        <v>1844</v>
      </c>
      <c r="U364" s="27" t="n">
        <v>363</v>
      </c>
      <c r="V364" s="30" t="n">
        <v>46203</v>
      </c>
      <c r="W364" s="34" t="str">
        <f aca="false">IF($H364&gt;0,"Yes - "&amp;$H364&amp;" in stock at Store 0146 (size "&amp;$G364&amp;"). Back room location "&amp;$Q364&amp;" ("&amp;$R364&amp;"), "&amp;$S364&amp;". Back room "&amp;$J364&amp;" / sales floor "&amp;$I364&amp;".","Not currently in stock at Store 0146 (size "&amp;$G364&amp;"). Home location is "&amp;$Q364&amp;" ("&amp;$R364&amp;") when replenished.")</f>
        <v>Yes - 5 in stock at Store 0146 (size 11.5). Back room location E-04-4-04 (ZONE E / BAY 04 / SHELF 4 / BIN 04), Overhead - step stool. Back room 5 / sales floor 0.</v>
      </c>
    </row>
    <row r="365" customFormat="false" ht="15" hidden="false" customHeight="false" outlineLevel="0" collapsed="false">
      <c r="A365" s="34" t="s">
        <v>902</v>
      </c>
      <c r="B365" s="34" t="s">
        <v>903</v>
      </c>
      <c r="C365" s="34" t="s">
        <v>250</v>
      </c>
      <c r="D365" s="34" t="s">
        <v>252</v>
      </c>
      <c r="E365" s="34" t="s">
        <v>253</v>
      </c>
      <c r="F365" s="34" t="s">
        <v>255</v>
      </c>
      <c r="G365" s="24" t="s">
        <v>130</v>
      </c>
      <c r="H365" s="27" t="n">
        <f aca="false">IFERROR(INDEX('Inventory Master'!$T$2:$T$525,MATCH($A365,'Inventory Master'!$A$2:$A$525,0)),0)</f>
        <v>4</v>
      </c>
      <c r="I365" s="27" t="n">
        <v>1</v>
      </c>
      <c r="J365" s="27" t="n">
        <f aca="false">MAX(0,$H365-$I365)</f>
        <v>3</v>
      </c>
      <c r="K365" s="34" t="str">
        <f aca="false">IF($H365&gt;0,"In Stock","Out of Stock")</f>
        <v>In Stock</v>
      </c>
      <c r="L365" s="24" t="s">
        <v>1861</v>
      </c>
      <c r="M365" s="34" t="s">
        <v>1862</v>
      </c>
      <c r="N365" s="24" t="n">
        <v>4</v>
      </c>
      <c r="O365" s="24" t="n">
        <v>4</v>
      </c>
      <c r="P365" s="24" t="n">
        <v>5</v>
      </c>
      <c r="Q365" s="24" t="str">
        <f aca="false">$L365&amp;"-"&amp;TEXT($N365,"00")&amp;"-"&amp;$O365&amp;"-"&amp;TEXT($P365,"00")</f>
        <v>E-04-4-05</v>
      </c>
      <c r="R365" s="34" t="str">
        <f aca="false">"ZONE "&amp;$L365&amp;" / BAY "&amp;TEXT($N365,"00")&amp;" / SHELF "&amp;$O365&amp;" / BIN "&amp;TEXT($P365,"00")</f>
        <v>ZONE E / BAY 04 / SHELF 4 / BIN 05</v>
      </c>
      <c r="S365" s="34" t="s">
        <v>1847</v>
      </c>
      <c r="T365" s="34" t="s">
        <v>1844</v>
      </c>
      <c r="U365" s="27" t="n">
        <v>364</v>
      </c>
      <c r="V365" s="30" t="n">
        <v>46190</v>
      </c>
      <c r="W365" s="34" t="str">
        <f aca="false">IF($H365&gt;0,"Yes - "&amp;$H365&amp;" in stock at Store 0146 (size "&amp;$G365&amp;"). Back room location "&amp;$Q365&amp;" ("&amp;$R365&amp;"), "&amp;$S365&amp;". Back room "&amp;$J365&amp;" / sales floor "&amp;$I365&amp;".","Not currently in stock at Store 0146 (size "&amp;$G365&amp;"). Home location is "&amp;$Q365&amp;" ("&amp;$R365&amp;") when replenished.")</f>
        <v>Yes - 4 in stock at Store 0146 (size 12). Back room location E-04-4-05 (ZONE E / BAY 04 / SHELF 4 / BIN 05), Overhead - step stool. Back room 3 / sales floor 1.</v>
      </c>
    </row>
    <row r="366" customFormat="false" ht="15" hidden="false" customHeight="false" outlineLevel="0" collapsed="false">
      <c r="A366" s="34" t="s">
        <v>1570</v>
      </c>
      <c r="B366" s="34" t="s">
        <v>1571</v>
      </c>
      <c r="C366" s="34" t="s">
        <v>684</v>
      </c>
      <c r="D366" s="34" t="s">
        <v>252</v>
      </c>
      <c r="E366" s="34" t="s">
        <v>685</v>
      </c>
      <c r="F366" s="34" t="s">
        <v>687</v>
      </c>
      <c r="G366" s="24" t="s">
        <v>177</v>
      </c>
      <c r="H366" s="27" t="n">
        <f aca="false">IFERROR(INDEX('Inventory Master'!$T$2:$T$525,MATCH($A366,'Inventory Master'!$A$2:$A$525,0)),0)</f>
        <v>5</v>
      </c>
      <c r="I366" s="27" t="n">
        <v>1</v>
      </c>
      <c r="J366" s="27" t="n">
        <f aca="false">MAX(0,$H366-$I366)</f>
        <v>4</v>
      </c>
      <c r="K366" s="34" t="str">
        <f aca="false">IF($H366&gt;0,"In Stock","Out of Stock")</f>
        <v>In Stock</v>
      </c>
      <c r="L366" s="24" t="s">
        <v>1861</v>
      </c>
      <c r="M366" s="34" t="s">
        <v>1862</v>
      </c>
      <c r="N366" s="24" t="n">
        <v>4</v>
      </c>
      <c r="O366" s="24" t="n">
        <v>5</v>
      </c>
      <c r="P366" s="24" t="n">
        <v>1</v>
      </c>
      <c r="Q366" s="24" t="str">
        <f aca="false">$L366&amp;"-"&amp;TEXT($N366,"00")&amp;"-"&amp;$O366&amp;"-"&amp;TEXT($P366,"00")</f>
        <v>E-04-5-01</v>
      </c>
      <c r="R366" s="34" t="str">
        <f aca="false">"ZONE "&amp;$L366&amp;" / BAY "&amp;TEXT($N366,"00")&amp;" / SHELF "&amp;$O366&amp;" / BIN "&amp;TEXT($P366,"00")</f>
        <v>ZONE E / BAY 04 / SHELF 5 / BIN 01</v>
      </c>
      <c r="S366" s="34" t="s">
        <v>1848</v>
      </c>
      <c r="T366" s="34" t="s">
        <v>1844</v>
      </c>
      <c r="U366" s="27" t="n">
        <v>365</v>
      </c>
      <c r="V366" s="30" t="n">
        <v>46141</v>
      </c>
      <c r="W366" s="34" t="str">
        <f aca="false">IF($H366&gt;0,"Yes - "&amp;$H366&amp;" in stock at Store 0146 (size "&amp;$G366&amp;"). Back room location "&amp;$Q366&amp;" ("&amp;$R366&amp;"), "&amp;$S366&amp;". Back room "&amp;$J366&amp;" / sales floor "&amp;$I366&amp;".","Not currently in stock at Store 0146 (size "&amp;$G366&amp;"). Home location is "&amp;$Q366&amp;" ("&amp;$R366&amp;") when replenished.")</f>
        <v>Yes - 5 in stock at Store 0146 (size 9.5). Back room location E-04-5-01 (ZONE E / BAY 04 / SHELF 5 / BIN 01), Top shelf - ladder required. Back room 4 / sales floor 1.</v>
      </c>
    </row>
    <row r="367" customFormat="false" ht="15" hidden="false" customHeight="false" outlineLevel="0" collapsed="false">
      <c r="A367" s="34" t="s">
        <v>682</v>
      </c>
      <c r="B367" s="34" t="s">
        <v>683</v>
      </c>
      <c r="C367" s="34" t="s">
        <v>684</v>
      </c>
      <c r="D367" s="34" t="s">
        <v>252</v>
      </c>
      <c r="E367" s="34" t="s">
        <v>685</v>
      </c>
      <c r="F367" s="34" t="s">
        <v>687</v>
      </c>
      <c r="G367" s="24" t="s">
        <v>211</v>
      </c>
      <c r="H367" s="27" t="n">
        <f aca="false">IFERROR(INDEX('Inventory Master'!$T$2:$T$525,MATCH($A367,'Inventory Master'!$A$2:$A$525,0)),0)</f>
        <v>1</v>
      </c>
      <c r="I367" s="27" t="n">
        <v>1</v>
      </c>
      <c r="J367" s="27" t="n">
        <f aca="false">MAX(0,$H367-$I367)</f>
        <v>0</v>
      </c>
      <c r="K367" s="34" t="str">
        <f aca="false">IF($H367&gt;0,"In Stock","Out of Stock")</f>
        <v>In Stock</v>
      </c>
      <c r="L367" s="24" t="s">
        <v>1861</v>
      </c>
      <c r="M367" s="34" t="s">
        <v>1862</v>
      </c>
      <c r="N367" s="24" t="n">
        <v>4</v>
      </c>
      <c r="O367" s="24" t="n">
        <v>5</v>
      </c>
      <c r="P367" s="24" t="n">
        <v>2</v>
      </c>
      <c r="Q367" s="24" t="str">
        <f aca="false">$L367&amp;"-"&amp;TEXT($N367,"00")&amp;"-"&amp;$O367&amp;"-"&amp;TEXT($P367,"00")</f>
        <v>E-04-5-02</v>
      </c>
      <c r="R367" s="34" t="str">
        <f aca="false">"ZONE "&amp;$L367&amp;" / BAY "&amp;TEXT($N367,"00")&amp;" / SHELF "&amp;$O367&amp;" / BIN "&amp;TEXT($P367,"00")</f>
        <v>ZONE E / BAY 04 / SHELF 5 / BIN 02</v>
      </c>
      <c r="S367" s="34" t="s">
        <v>1848</v>
      </c>
      <c r="T367" s="34" t="s">
        <v>1844</v>
      </c>
      <c r="U367" s="27" t="n">
        <v>366</v>
      </c>
      <c r="V367" s="30" t="n">
        <v>46199</v>
      </c>
      <c r="W367" s="34" t="str">
        <f aca="false">IF($H367&gt;0,"Yes - "&amp;$H367&amp;" in stock at Store 0146 (size "&amp;$G367&amp;"). Back room location "&amp;$Q367&amp;" ("&amp;$R367&amp;"), "&amp;$S367&amp;". Back room "&amp;$J367&amp;" / sales floor "&amp;$I367&amp;".","Not currently in stock at Store 0146 (size "&amp;$G367&amp;"). Home location is "&amp;$Q367&amp;" ("&amp;$R367&amp;") when replenished.")</f>
        <v>Yes - 1 in stock at Store 0146 (size 10). Back room location E-04-5-02 (ZONE E / BAY 04 / SHELF 5 / BIN 02), Top shelf - ladder required. Back room 0 / sales floor 1.</v>
      </c>
    </row>
    <row r="368" customFormat="false" ht="15" hidden="false" customHeight="false" outlineLevel="0" collapsed="false">
      <c r="A368" s="34" t="s">
        <v>1355</v>
      </c>
      <c r="B368" s="34" t="s">
        <v>1356</v>
      </c>
      <c r="C368" s="34" t="s">
        <v>684</v>
      </c>
      <c r="D368" s="34" t="s">
        <v>252</v>
      </c>
      <c r="E368" s="34" t="s">
        <v>685</v>
      </c>
      <c r="F368" s="34" t="s">
        <v>687</v>
      </c>
      <c r="G368" s="24" t="s">
        <v>327</v>
      </c>
      <c r="H368" s="27" t="n">
        <f aca="false">IFERROR(INDEX('Inventory Master'!$T$2:$T$525,MATCH($A368,'Inventory Master'!$A$2:$A$525,0)),0)</f>
        <v>2</v>
      </c>
      <c r="I368" s="27" t="n">
        <v>2</v>
      </c>
      <c r="J368" s="27" t="n">
        <f aca="false">MAX(0,$H368-$I368)</f>
        <v>0</v>
      </c>
      <c r="K368" s="34" t="str">
        <f aca="false">IF($H368&gt;0,"In Stock","Out of Stock")</f>
        <v>In Stock</v>
      </c>
      <c r="L368" s="24" t="s">
        <v>1861</v>
      </c>
      <c r="M368" s="34" t="s">
        <v>1862</v>
      </c>
      <c r="N368" s="24" t="n">
        <v>4</v>
      </c>
      <c r="O368" s="24" t="n">
        <v>5</v>
      </c>
      <c r="P368" s="24" t="n">
        <v>3</v>
      </c>
      <c r="Q368" s="24" t="str">
        <f aca="false">$L368&amp;"-"&amp;TEXT($N368,"00")&amp;"-"&amp;$O368&amp;"-"&amp;TEXT($P368,"00")</f>
        <v>E-04-5-03</v>
      </c>
      <c r="R368" s="34" t="str">
        <f aca="false">"ZONE "&amp;$L368&amp;" / BAY "&amp;TEXT($N368,"00")&amp;" / SHELF "&amp;$O368&amp;" / BIN "&amp;TEXT($P368,"00")</f>
        <v>ZONE E / BAY 04 / SHELF 5 / BIN 03</v>
      </c>
      <c r="S368" s="34" t="s">
        <v>1848</v>
      </c>
      <c r="T368" s="34" t="s">
        <v>1844</v>
      </c>
      <c r="U368" s="27" t="n">
        <v>367</v>
      </c>
      <c r="V368" s="30" t="n">
        <v>46177</v>
      </c>
      <c r="W368" s="34" t="str">
        <f aca="false">IF($H368&gt;0,"Yes - "&amp;$H368&amp;" in stock at Store 0146 (size "&amp;$G368&amp;"). Back room location "&amp;$Q368&amp;" ("&amp;$R368&amp;"), "&amp;$S368&amp;". Back room "&amp;$J368&amp;" / sales floor "&amp;$I368&amp;".","Not currently in stock at Store 0146 (size "&amp;$G368&amp;"). Home location is "&amp;$Q368&amp;" ("&amp;$R368&amp;") when replenished.")</f>
        <v>Yes - 2 in stock at Store 0146 (size 10.5). Back room location E-04-5-03 (ZONE E / BAY 04 / SHELF 5 / BIN 03), Top shelf - ladder required. Back room 0 / sales floor 2.</v>
      </c>
    </row>
    <row r="369" customFormat="false" ht="15" hidden="false" customHeight="false" outlineLevel="0" collapsed="false">
      <c r="A369" s="34" t="s">
        <v>726</v>
      </c>
      <c r="B369" s="34" t="s">
        <v>727</v>
      </c>
      <c r="C369" s="34" t="s">
        <v>684</v>
      </c>
      <c r="D369" s="34" t="s">
        <v>252</v>
      </c>
      <c r="E369" s="34" t="s">
        <v>685</v>
      </c>
      <c r="F369" s="34" t="s">
        <v>687</v>
      </c>
      <c r="G369" s="24" t="s">
        <v>258</v>
      </c>
      <c r="H369" s="27" t="n">
        <f aca="false">IFERROR(INDEX('Inventory Master'!$T$2:$T$525,MATCH($A369,'Inventory Master'!$A$2:$A$525,0)),0)</f>
        <v>0</v>
      </c>
      <c r="I369" s="27" t="n">
        <v>0</v>
      </c>
      <c r="J369" s="27" t="n">
        <f aca="false">MAX(0,$H369-$I369)</f>
        <v>0</v>
      </c>
      <c r="K369" s="34" t="str">
        <f aca="false">IF($H369&gt;0,"In Stock","Out of Stock")</f>
        <v>Out of Stock</v>
      </c>
      <c r="L369" s="24" t="s">
        <v>1861</v>
      </c>
      <c r="M369" s="34" t="s">
        <v>1862</v>
      </c>
      <c r="N369" s="24" t="n">
        <v>4</v>
      </c>
      <c r="O369" s="24" t="n">
        <v>5</v>
      </c>
      <c r="P369" s="24" t="n">
        <v>4</v>
      </c>
      <c r="Q369" s="24" t="str">
        <f aca="false">$L369&amp;"-"&amp;TEXT($N369,"00")&amp;"-"&amp;$O369&amp;"-"&amp;TEXT($P369,"00")</f>
        <v>E-04-5-04</v>
      </c>
      <c r="R369" s="34" t="str">
        <f aca="false">"ZONE "&amp;$L369&amp;" / BAY "&amp;TEXT($N369,"00")&amp;" / SHELF "&amp;$O369&amp;" / BIN "&amp;TEXT($P369,"00")</f>
        <v>ZONE E / BAY 04 / SHELF 5 / BIN 04</v>
      </c>
      <c r="S369" s="34" t="s">
        <v>1848</v>
      </c>
      <c r="T369" s="34" t="s">
        <v>1844</v>
      </c>
      <c r="U369" s="27" t="n">
        <v>368</v>
      </c>
      <c r="V369" s="30" t="n">
        <v>46199</v>
      </c>
      <c r="W369" s="34" t="str">
        <f aca="false">IF($H369&gt;0,"Yes - "&amp;$H369&amp;" in stock at Store 0146 (size "&amp;$G369&amp;"). Back room location "&amp;$Q369&amp;" ("&amp;$R369&amp;"), "&amp;$S369&amp;". Back room "&amp;$J369&amp;" / sales floor "&amp;$I369&amp;".","Not currently in stock at Store 0146 (size "&amp;$G369&amp;"). Home location is "&amp;$Q369&amp;" ("&amp;$R369&amp;") when replenished.")</f>
        <v>Not currently in stock at Store 0146 (size 11). Home location is E-04-5-04 (ZONE E / BAY 04 / SHELF 5 / BIN 04) when replenished.</v>
      </c>
    </row>
    <row r="370" customFormat="false" ht="15" hidden="false" customHeight="false" outlineLevel="0" collapsed="false">
      <c r="A370" s="34" t="s">
        <v>1172</v>
      </c>
      <c r="B370" s="34" t="s">
        <v>1173</v>
      </c>
      <c r="C370" s="34" t="s">
        <v>684</v>
      </c>
      <c r="D370" s="34" t="s">
        <v>252</v>
      </c>
      <c r="E370" s="34" t="s">
        <v>685</v>
      </c>
      <c r="F370" s="34" t="s">
        <v>687</v>
      </c>
      <c r="G370" s="24" t="s">
        <v>141</v>
      </c>
      <c r="H370" s="27" t="n">
        <f aca="false">IFERROR(INDEX('Inventory Master'!$T$2:$T$525,MATCH($A370,'Inventory Master'!$A$2:$A$525,0)),0)</f>
        <v>5</v>
      </c>
      <c r="I370" s="27" t="n">
        <v>1</v>
      </c>
      <c r="J370" s="27" t="n">
        <f aca="false">MAX(0,$H370-$I370)</f>
        <v>4</v>
      </c>
      <c r="K370" s="34" t="str">
        <f aca="false">IF($H370&gt;0,"In Stock","Out of Stock")</f>
        <v>In Stock</v>
      </c>
      <c r="L370" s="24" t="s">
        <v>1861</v>
      </c>
      <c r="M370" s="34" t="s">
        <v>1862</v>
      </c>
      <c r="N370" s="24" t="n">
        <v>4</v>
      </c>
      <c r="O370" s="24" t="n">
        <v>5</v>
      </c>
      <c r="P370" s="24" t="n">
        <v>5</v>
      </c>
      <c r="Q370" s="24" t="str">
        <f aca="false">$L370&amp;"-"&amp;TEXT($N370,"00")&amp;"-"&amp;$O370&amp;"-"&amp;TEXT($P370,"00")</f>
        <v>E-04-5-05</v>
      </c>
      <c r="R370" s="34" t="str">
        <f aca="false">"ZONE "&amp;$L370&amp;" / BAY "&amp;TEXT($N370,"00")&amp;" / SHELF "&amp;$O370&amp;" / BIN "&amp;TEXT($P370,"00")</f>
        <v>ZONE E / BAY 04 / SHELF 5 / BIN 05</v>
      </c>
      <c r="S370" s="34" t="s">
        <v>1848</v>
      </c>
      <c r="T370" s="34" t="s">
        <v>1844</v>
      </c>
      <c r="U370" s="27" t="n">
        <v>369</v>
      </c>
      <c r="V370" s="30" t="n">
        <v>46159</v>
      </c>
      <c r="W370" s="34" t="str">
        <f aca="false">IF($H370&gt;0,"Yes - "&amp;$H370&amp;" in stock at Store 0146 (size "&amp;$G370&amp;"). Back room location "&amp;$Q370&amp;" ("&amp;$R370&amp;"), "&amp;$S370&amp;". Back room "&amp;$J370&amp;" / sales floor "&amp;$I370&amp;".","Not currently in stock at Store 0146 (size "&amp;$G370&amp;"). Home location is "&amp;$Q370&amp;" ("&amp;$R370&amp;") when replenished.")</f>
        <v>Yes - 5 in stock at Store 0146 (size 11.5). Back room location E-04-5-05 (ZONE E / BAY 04 / SHELF 5 / BIN 05), Top shelf - ladder required. Back room 4 / sales floor 1.</v>
      </c>
    </row>
    <row r="371" customFormat="false" ht="15" hidden="false" customHeight="false" outlineLevel="0" collapsed="false">
      <c r="A371" s="34" t="s">
        <v>1560</v>
      </c>
      <c r="B371" s="34" t="s">
        <v>1561</v>
      </c>
      <c r="C371" s="34" t="s">
        <v>684</v>
      </c>
      <c r="D371" s="34" t="s">
        <v>252</v>
      </c>
      <c r="E371" s="34" t="s">
        <v>685</v>
      </c>
      <c r="F371" s="34" t="s">
        <v>687</v>
      </c>
      <c r="G371" s="24" t="s">
        <v>130</v>
      </c>
      <c r="H371" s="27" t="n">
        <f aca="false">IFERROR(INDEX('Inventory Master'!$T$2:$T$525,MATCH($A371,'Inventory Master'!$A$2:$A$525,0)),0)</f>
        <v>6</v>
      </c>
      <c r="I371" s="27" t="n">
        <v>1</v>
      </c>
      <c r="J371" s="27" t="n">
        <f aca="false">MAX(0,$H371-$I371)</f>
        <v>5</v>
      </c>
      <c r="K371" s="34" t="str">
        <f aca="false">IF($H371&gt;0,"In Stock","Out of Stock")</f>
        <v>In Stock</v>
      </c>
      <c r="L371" s="24" t="s">
        <v>1861</v>
      </c>
      <c r="M371" s="34" t="s">
        <v>1862</v>
      </c>
      <c r="N371" s="24" t="n">
        <v>4</v>
      </c>
      <c r="O371" s="24" t="n">
        <v>5</v>
      </c>
      <c r="P371" s="24" t="n">
        <v>6</v>
      </c>
      <c r="Q371" s="24" t="str">
        <f aca="false">$L371&amp;"-"&amp;TEXT($N371,"00")&amp;"-"&amp;$O371&amp;"-"&amp;TEXT($P371,"00")</f>
        <v>E-04-5-06</v>
      </c>
      <c r="R371" s="34" t="str">
        <f aca="false">"ZONE "&amp;$L371&amp;" / BAY "&amp;TEXT($N371,"00")&amp;" / SHELF "&amp;$O371&amp;" / BIN "&amp;TEXT($P371,"00")</f>
        <v>ZONE E / BAY 04 / SHELF 5 / BIN 06</v>
      </c>
      <c r="S371" s="34" t="s">
        <v>1848</v>
      </c>
      <c r="T371" s="34" t="s">
        <v>1844</v>
      </c>
      <c r="U371" s="27" t="n">
        <v>370</v>
      </c>
      <c r="V371" s="30" t="n">
        <v>46174</v>
      </c>
      <c r="W371" s="34" t="str">
        <f aca="false">IF($H371&gt;0,"Yes - "&amp;$H371&amp;" in stock at Store 0146 (size "&amp;$G371&amp;"). Back room location "&amp;$Q371&amp;" ("&amp;$R371&amp;"), "&amp;$S371&amp;". Back room "&amp;$J371&amp;" / sales floor "&amp;$I371&amp;".","Not currently in stock at Store 0146 (size "&amp;$G371&amp;"). Home location is "&amp;$Q371&amp;" ("&amp;$R371&amp;") when replenished.")</f>
        <v>Yes - 6 in stock at Store 0146 (size 12). Back room location E-04-5-06 (ZONE E / BAY 04 / SHELF 5 / BIN 06), Top shelf - ladder required. Back room 5 / sales floor 1.</v>
      </c>
    </row>
    <row r="372" customFormat="false" ht="15" hidden="false" customHeight="false" outlineLevel="0" collapsed="false">
      <c r="A372" s="34" t="s">
        <v>954</v>
      </c>
      <c r="B372" s="34" t="s">
        <v>955</v>
      </c>
      <c r="C372" s="34" t="s">
        <v>373</v>
      </c>
      <c r="D372" s="34" t="s">
        <v>375</v>
      </c>
      <c r="E372" s="34" t="s">
        <v>376</v>
      </c>
      <c r="F372" s="34" t="s">
        <v>378</v>
      </c>
      <c r="G372" s="24" t="s">
        <v>188</v>
      </c>
      <c r="H372" s="27" t="n">
        <f aca="false">IFERROR(INDEX('Inventory Master'!$T$2:$T$525,MATCH($A372,'Inventory Master'!$A$2:$A$525,0)),0)</f>
        <v>0</v>
      </c>
      <c r="I372" s="27" t="n">
        <v>0</v>
      </c>
      <c r="J372" s="27" t="n">
        <f aca="false">MAX(0,$H372-$I372)</f>
        <v>0</v>
      </c>
      <c r="K372" s="34" t="str">
        <f aca="false">IF($H372&gt;0,"In Stock","Out of Stock")</f>
        <v>Out of Stock</v>
      </c>
      <c r="L372" s="24" t="s">
        <v>1861</v>
      </c>
      <c r="M372" s="34" t="s">
        <v>1862</v>
      </c>
      <c r="N372" s="24" t="n">
        <v>5</v>
      </c>
      <c r="O372" s="24" t="n">
        <v>1</v>
      </c>
      <c r="P372" s="24" t="n">
        <v>1</v>
      </c>
      <c r="Q372" s="24" t="str">
        <f aca="false">$L372&amp;"-"&amp;TEXT($N372,"00")&amp;"-"&amp;$O372&amp;"-"&amp;TEXT($P372,"00")</f>
        <v>E-05-1-01</v>
      </c>
      <c r="R372" s="34" t="str">
        <f aca="false">"ZONE "&amp;$L372&amp;" / BAY "&amp;TEXT($N372,"00")&amp;" / SHELF "&amp;$O372&amp;" / BIN "&amp;TEXT($P372,"00")</f>
        <v>ZONE E / BAY 05 / SHELF 1 / BIN 01</v>
      </c>
      <c r="S372" s="34" t="s">
        <v>1843</v>
      </c>
      <c r="T372" s="34" t="s">
        <v>1844</v>
      </c>
      <c r="U372" s="27" t="n">
        <v>371</v>
      </c>
      <c r="V372" s="30" t="n">
        <v>46182</v>
      </c>
      <c r="W372" s="34" t="str">
        <f aca="false">IF($H372&gt;0,"Yes - "&amp;$H372&amp;" in stock at Store 0146 (size "&amp;$G372&amp;"). Back room location "&amp;$Q372&amp;" ("&amp;$R372&amp;"), "&amp;$S372&amp;". Back room "&amp;$J372&amp;" / sales floor "&amp;$I372&amp;".","Not currently in stock at Store 0146 (size "&amp;$G372&amp;"). Home location is "&amp;$Q372&amp;" ("&amp;$R372&amp;") when replenished.")</f>
        <v>Not currently in stock at Store 0146 (size 8.5). Home location is E-05-1-01 (ZONE E / BAY 05 / SHELF 1 / BIN 01) when replenished.</v>
      </c>
    </row>
    <row r="373" customFormat="false" ht="15" hidden="false" customHeight="false" outlineLevel="0" collapsed="false">
      <c r="A373" s="34" t="s">
        <v>1380</v>
      </c>
      <c r="B373" s="34" t="s">
        <v>1381</v>
      </c>
      <c r="C373" s="34" t="s">
        <v>373</v>
      </c>
      <c r="D373" s="34" t="s">
        <v>375</v>
      </c>
      <c r="E373" s="34" t="s">
        <v>376</v>
      </c>
      <c r="F373" s="34" t="s">
        <v>378</v>
      </c>
      <c r="G373" s="24" t="s">
        <v>164</v>
      </c>
      <c r="H373" s="27" t="n">
        <f aca="false">IFERROR(INDEX('Inventory Master'!$T$2:$T$525,MATCH($A373,'Inventory Master'!$A$2:$A$525,0)),0)</f>
        <v>1</v>
      </c>
      <c r="I373" s="27" t="n">
        <v>1</v>
      </c>
      <c r="J373" s="27" t="n">
        <f aca="false">MAX(0,$H373-$I373)</f>
        <v>0</v>
      </c>
      <c r="K373" s="34" t="str">
        <f aca="false">IF($H373&gt;0,"In Stock","Out of Stock")</f>
        <v>In Stock</v>
      </c>
      <c r="L373" s="24" t="s">
        <v>1861</v>
      </c>
      <c r="M373" s="34" t="s">
        <v>1862</v>
      </c>
      <c r="N373" s="24" t="n">
        <v>5</v>
      </c>
      <c r="O373" s="24" t="n">
        <v>1</v>
      </c>
      <c r="P373" s="24" t="n">
        <v>2</v>
      </c>
      <c r="Q373" s="24" t="str">
        <f aca="false">$L373&amp;"-"&amp;TEXT($N373,"00")&amp;"-"&amp;$O373&amp;"-"&amp;TEXT($P373,"00")</f>
        <v>E-05-1-02</v>
      </c>
      <c r="R373" s="34" t="str">
        <f aca="false">"ZONE "&amp;$L373&amp;" / BAY "&amp;TEXT($N373,"00")&amp;" / SHELF "&amp;$O373&amp;" / BIN "&amp;TEXT($P373,"00")</f>
        <v>ZONE E / BAY 05 / SHELF 1 / BIN 02</v>
      </c>
      <c r="S373" s="34" t="s">
        <v>1843</v>
      </c>
      <c r="T373" s="34" t="s">
        <v>1844</v>
      </c>
      <c r="U373" s="27" t="n">
        <v>372</v>
      </c>
      <c r="V373" s="30" t="n">
        <v>46146</v>
      </c>
      <c r="W373" s="34" t="str">
        <f aca="false">IF($H373&gt;0,"Yes - "&amp;$H373&amp;" in stock at Store 0146 (size "&amp;$G373&amp;"). Back room location "&amp;$Q373&amp;" ("&amp;$R373&amp;"), "&amp;$S373&amp;". Back room "&amp;$J373&amp;" / sales floor "&amp;$I373&amp;".","Not currently in stock at Store 0146 (size "&amp;$G373&amp;"). Home location is "&amp;$Q373&amp;" ("&amp;$R373&amp;") when replenished.")</f>
        <v>Yes - 1 in stock at Store 0146 (size 9). Back room location E-05-1-02 (ZONE E / BAY 05 / SHELF 1 / BIN 02), Floor level - no reach. Back room 0 / sales floor 1.</v>
      </c>
    </row>
    <row r="374" customFormat="false" ht="15" hidden="false" customHeight="false" outlineLevel="0" collapsed="false">
      <c r="A374" s="34" t="s">
        <v>371</v>
      </c>
      <c r="B374" s="34" t="s">
        <v>372</v>
      </c>
      <c r="C374" s="34" t="s">
        <v>373</v>
      </c>
      <c r="D374" s="34" t="s">
        <v>375</v>
      </c>
      <c r="E374" s="34" t="s">
        <v>376</v>
      </c>
      <c r="F374" s="34" t="s">
        <v>378</v>
      </c>
      <c r="G374" s="24" t="s">
        <v>177</v>
      </c>
      <c r="H374" s="27" t="n">
        <f aca="false">IFERROR(INDEX('Inventory Master'!$T$2:$T$525,MATCH($A374,'Inventory Master'!$A$2:$A$525,0)),0)</f>
        <v>3</v>
      </c>
      <c r="I374" s="27" t="n">
        <v>1</v>
      </c>
      <c r="J374" s="27" t="n">
        <f aca="false">MAX(0,$H374-$I374)</f>
        <v>2</v>
      </c>
      <c r="K374" s="34" t="str">
        <f aca="false">IF($H374&gt;0,"In Stock","Out of Stock")</f>
        <v>In Stock</v>
      </c>
      <c r="L374" s="24" t="s">
        <v>1861</v>
      </c>
      <c r="M374" s="34" t="s">
        <v>1862</v>
      </c>
      <c r="N374" s="24" t="n">
        <v>5</v>
      </c>
      <c r="O374" s="24" t="n">
        <v>1</v>
      </c>
      <c r="P374" s="24" t="n">
        <v>3</v>
      </c>
      <c r="Q374" s="24" t="str">
        <f aca="false">$L374&amp;"-"&amp;TEXT($N374,"00")&amp;"-"&amp;$O374&amp;"-"&amp;TEXT($P374,"00")</f>
        <v>E-05-1-03</v>
      </c>
      <c r="R374" s="34" t="str">
        <f aca="false">"ZONE "&amp;$L374&amp;" / BAY "&amp;TEXT($N374,"00")&amp;" / SHELF "&amp;$O374&amp;" / BIN "&amp;TEXT($P374,"00")</f>
        <v>ZONE E / BAY 05 / SHELF 1 / BIN 03</v>
      </c>
      <c r="S374" s="34" t="s">
        <v>1843</v>
      </c>
      <c r="T374" s="34" t="s">
        <v>1844</v>
      </c>
      <c r="U374" s="27" t="n">
        <v>373</v>
      </c>
      <c r="V374" s="30" t="n">
        <v>46144</v>
      </c>
      <c r="W374" s="34" t="str">
        <f aca="false">IF($H374&gt;0,"Yes - "&amp;$H374&amp;" in stock at Store 0146 (size "&amp;$G374&amp;"). Back room location "&amp;$Q374&amp;" ("&amp;$R374&amp;"), "&amp;$S374&amp;". Back room "&amp;$J374&amp;" / sales floor "&amp;$I374&amp;".","Not currently in stock at Store 0146 (size "&amp;$G374&amp;"). Home location is "&amp;$Q374&amp;" ("&amp;$R374&amp;") when replenished.")</f>
        <v>Yes - 3 in stock at Store 0146 (size 9.5). Back room location E-05-1-03 (ZONE E / BAY 05 / SHELF 1 / BIN 03), Floor level - no reach. Back room 2 / sales floor 1.</v>
      </c>
    </row>
    <row r="375" customFormat="false" ht="15" hidden="false" customHeight="false" outlineLevel="0" collapsed="false">
      <c r="A375" s="34" t="s">
        <v>1733</v>
      </c>
      <c r="B375" s="34" t="s">
        <v>1734</v>
      </c>
      <c r="C375" s="34" t="s">
        <v>373</v>
      </c>
      <c r="D375" s="34" t="s">
        <v>375</v>
      </c>
      <c r="E375" s="34" t="s">
        <v>376</v>
      </c>
      <c r="F375" s="34" t="s">
        <v>378</v>
      </c>
      <c r="G375" s="24" t="s">
        <v>211</v>
      </c>
      <c r="H375" s="27" t="n">
        <f aca="false">IFERROR(INDEX('Inventory Master'!$T$2:$T$525,MATCH($A375,'Inventory Master'!$A$2:$A$525,0)),0)</f>
        <v>0</v>
      </c>
      <c r="I375" s="27" t="n">
        <v>0</v>
      </c>
      <c r="J375" s="27" t="n">
        <f aca="false">MAX(0,$H375-$I375)</f>
        <v>0</v>
      </c>
      <c r="K375" s="34" t="str">
        <f aca="false">IF($H375&gt;0,"In Stock","Out of Stock")</f>
        <v>Out of Stock</v>
      </c>
      <c r="L375" s="24" t="s">
        <v>1861</v>
      </c>
      <c r="M375" s="34" t="s">
        <v>1862</v>
      </c>
      <c r="N375" s="24" t="n">
        <v>5</v>
      </c>
      <c r="O375" s="24" t="n">
        <v>1</v>
      </c>
      <c r="P375" s="24" t="n">
        <v>4</v>
      </c>
      <c r="Q375" s="24" t="str">
        <f aca="false">$L375&amp;"-"&amp;TEXT($N375,"00")&amp;"-"&amp;$O375&amp;"-"&amp;TEXT($P375,"00")</f>
        <v>E-05-1-04</v>
      </c>
      <c r="R375" s="34" t="str">
        <f aca="false">"ZONE "&amp;$L375&amp;" / BAY "&amp;TEXT($N375,"00")&amp;" / SHELF "&amp;$O375&amp;" / BIN "&amp;TEXT($P375,"00")</f>
        <v>ZONE E / BAY 05 / SHELF 1 / BIN 04</v>
      </c>
      <c r="S375" s="34" t="s">
        <v>1843</v>
      </c>
      <c r="T375" s="34" t="s">
        <v>1844</v>
      </c>
      <c r="U375" s="27" t="n">
        <v>374</v>
      </c>
      <c r="V375" s="30" t="n">
        <v>46166</v>
      </c>
      <c r="W375" s="34" t="str">
        <f aca="false">IF($H375&gt;0,"Yes - "&amp;$H375&amp;" in stock at Store 0146 (size "&amp;$G375&amp;"). Back room location "&amp;$Q375&amp;" ("&amp;$R375&amp;"), "&amp;$S375&amp;". Back room "&amp;$J375&amp;" / sales floor "&amp;$I375&amp;".","Not currently in stock at Store 0146 (size "&amp;$G375&amp;"). Home location is "&amp;$Q375&amp;" ("&amp;$R375&amp;") when replenished.")</f>
        <v>Not currently in stock at Store 0146 (size 10). Home location is E-05-1-04 (ZONE E / BAY 05 / SHELF 1 / BIN 04) when replenished.</v>
      </c>
    </row>
    <row r="376" customFormat="false" ht="15" hidden="false" customHeight="false" outlineLevel="0" collapsed="false">
      <c r="A376" s="34" t="s">
        <v>842</v>
      </c>
      <c r="B376" s="34" t="s">
        <v>843</v>
      </c>
      <c r="C376" s="34" t="s">
        <v>373</v>
      </c>
      <c r="D376" s="34" t="s">
        <v>375</v>
      </c>
      <c r="E376" s="34" t="s">
        <v>376</v>
      </c>
      <c r="F376" s="34" t="s">
        <v>378</v>
      </c>
      <c r="G376" s="24" t="s">
        <v>327</v>
      </c>
      <c r="H376" s="27" t="n">
        <f aca="false">IFERROR(INDEX('Inventory Master'!$T$2:$T$525,MATCH($A376,'Inventory Master'!$A$2:$A$525,0)),0)</f>
        <v>5</v>
      </c>
      <c r="I376" s="27" t="n">
        <v>2</v>
      </c>
      <c r="J376" s="27" t="n">
        <f aca="false">MAX(0,$H376-$I376)</f>
        <v>3</v>
      </c>
      <c r="K376" s="34" t="str">
        <f aca="false">IF($H376&gt;0,"In Stock","Out of Stock")</f>
        <v>In Stock</v>
      </c>
      <c r="L376" s="24" t="s">
        <v>1861</v>
      </c>
      <c r="M376" s="34" t="s">
        <v>1862</v>
      </c>
      <c r="N376" s="24" t="n">
        <v>5</v>
      </c>
      <c r="O376" s="24" t="n">
        <v>1</v>
      </c>
      <c r="P376" s="24" t="n">
        <v>5</v>
      </c>
      <c r="Q376" s="24" t="str">
        <f aca="false">$L376&amp;"-"&amp;TEXT($N376,"00")&amp;"-"&amp;$O376&amp;"-"&amp;TEXT($P376,"00")</f>
        <v>E-05-1-05</v>
      </c>
      <c r="R376" s="34" t="str">
        <f aca="false">"ZONE "&amp;$L376&amp;" / BAY "&amp;TEXT($N376,"00")&amp;" / SHELF "&amp;$O376&amp;" / BIN "&amp;TEXT($P376,"00")</f>
        <v>ZONE E / BAY 05 / SHELF 1 / BIN 05</v>
      </c>
      <c r="S376" s="34" t="s">
        <v>1843</v>
      </c>
      <c r="T376" s="34" t="s">
        <v>1844</v>
      </c>
      <c r="U376" s="27" t="n">
        <v>375</v>
      </c>
      <c r="V376" s="30" t="n">
        <v>46211</v>
      </c>
      <c r="W376" s="34" t="str">
        <f aca="false">IF($H376&gt;0,"Yes - "&amp;$H376&amp;" in stock at Store 0146 (size "&amp;$G376&amp;"). Back room location "&amp;$Q376&amp;" ("&amp;$R376&amp;"), "&amp;$S376&amp;". Back room "&amp;$J376&amp;" / sales floor "&amp;$I376&amp;".","Not currently in stock at Store 0146 (size "&amp;$G376&amp;"). Home location is "&amp;$Q376&amp;" ("&amp;$R376&amp;") when replenished.")</f>
        <v>Yes - 5 in stock at Store 0146 (size 10.5). Back room location E-05-1-05 (ZONE E / BAY 05 / SHELF 1 / BIN 05), Floor level - no reach. Back room 3 / sales floor 2.</v>
      </c>
    </row>
    <row r="377" customFormat="false" ht="15" hidden="false" customHeight="false" outlineLevel="0" collapsed="false">
      <c r="A377" s="34" t="s">
        <v>1749</v>
      </c>
      <c r="B377" s="34" t="s">
        <v>1750</v>
      </c>
      <c r="C377" s="34" t="s">
        <v>1584</v>
      </c>
      <c r="D377" s="34" t="s">
        <v>485</v>
      </c>
      <c r="E377" s="34" t="s">
        <v>1585</v>
      </c>
      <c r="F377" s="34" t="s">
        <v>1587</v>
      </c>
      <c r="G377" s="24" t="s">
        <v>442</v>
      </c>
      <c r="H377" s="27" t="n">
        <f aca="false">IFERROR(INDEX('Inventory Master'!$T$2:$T$525,MATCH($A377,'Inventory Master'!$A$2:$A$525,0)),0)</f>
        <v>0</v>
      </c>
      <c r="I377" s="27" t="n">
        <v>0</v>
      </c>
      <c r="J377" s="27" t="n">
        <f aca="false">MAX(0,$H377-$I377)</f>
        <v>0</v>
      </c>
      <c r="K377" s="34" t="str">
        <f aca="false">IF($H377&gt;0,"In Stock","Out of Stock")</f>
        <v>Out of Stock</v>
      </c>
      <c r="L377" s="24" t="s">
        <v>1861</v>
      </c>
      <c r="M377" s="34" t="s">
        <v>1862</v>
      </c>
      <c r="N377" s="24" t="n">
        <v>5</v>
      </c>
      <c r="O377" s="24" t="n">
        <v>2</v>
      </c>
      <c r="P377" s="24" t="n">
        <v>1</v>
      </c>
      <c r="Q377" s="24" t="str">
        <f aca="false">$L377&amp;"-"&amp;TEXT($N377,"00")&amp;"-"&amp;$O377&amp;"-"&amp;TEXT($P377,"00")</f>
        <v>E-05-2-01</v>
      </c>
      <c r="R377" s="34" t="str">
        <f aca="false">"ZONE "&amp;$L377&amp;" / BAY "&amp;TEXT($N377,"00")&amp;" / SHELF "&amp;$O377&amp;" / BIN "&amp;TEXT($P377,"00")</f>
        <v>ZONE E / BAY 05 / SHELF 2 / BIN 01</v>
      </c>
      <c r="S377" s="34" t="s">
        <v>1845</v>
      </c>
      <c r="T377" s="34" t="s">
        <v>1844</v>
      </c>
      <c r="U377" s="27" t="n">
        <v>376</v>
      </c>
      <c r="V377" s="30" t="n">
        <v>46141</v>
      </c>
      <c r="W377" s="34" t="str">
        <f aca="false">IF($H377&gt;0,"Yes - "&amp;$H377&amp;" in stock at Store 0146 (size "&amp;$G377&amp;"). Back room location "&amp;$Q377&amp;" ("&amp;$R377&amp;"), "&amp;$S377&amp;". Back room "&amp;$J377&amp;" / sales floor "&amp;$I377&amp;".","Not currently in stock at Store 0146 (size "&amp;$G377&amp;"). Home location is "&amp;$Q377&amp;" ("&amp;$R377&amp;") when replenished.")</f>
        <v>Not currently in stock at Store 0146 (size 5). Home location is E-05-2-01 (ZONE E / BAY 05 / SHELF 2 / BIN 01) when replenished.</v>
      </c>
    </row>
    <row r="378" customFormat="false" ht="15" hidden="false" customHeight="false" outlineLevel="0" collapsed="false">
      <c r="A378" s="34" t="s">
        <v>1582</v>
      </c>
      <c r="B378" s="34" t="s">
        <v>1583</v>
      </c>
      <c r="C378" s="34" t="s">
        <v>1584</v>
      </c>
      <c r="D378" s="34" t="s">
        <v>485</v>
      </c>
      <c r="E378" s="34" t="s">
        <v>1585</v>
      </c>
      <c r="F378" s="34" t="s">
        <v>1587</v>
      </c>
      <c r="G378" s="24" t="s">
        <v>538</v>
      </c>
      <c r="H378" s="27" t="n">
        <f aca="false">IFERROR(INDEX('Inventory Master'!$T$2:$T$525,MATCH($A378,'Inventory Master'!$A$2:$A$525,0)),0)</f>
        <v>2</v>
      </c>
      <c r="I378" s="27" t="n">
        <v>2</v>
      </c>
      <c r="J378" s="27" t="n">
        <f aca="false">MAX(0,$H378-$I378)</f>
        <v>0</v>
      </c>
      <c r="K378" s="34" t="str">
        <f aca="false">IF($H378&gt;0,"In Stock","Out of Stock")</f>
        <v>In Stock</v>
      </c>
      <c r="L378" s="24" t="s">
        <v>1861</v>
      </c>
      <c r="M378" s="34" t="s">
        <v>1862</v>
      </c>
      <c r="N378" s="24" t="n">
        <v>5</v>
      </c>
      <c r="O378" s="24" t="n">
        <v>2</v>
      </c>
      <c r="P378" s="24" t="n">
        <v>2</v>
      </c>
      <c r="Q378" s="24" t="str">
        <f aca="false">$L378&amp;"-"&amp;TEXT($N378,"00")&amp;"-"&amp;$O378&amp;"-"&amp;TEXT($P378,"00")</f>
        <v>E-05-2-02</v>
      </c>
      <c r="R378" s="34" t="str">
        <f aca="false">"ZONE "&amp;$L378&amp;" / BAY "&amp;TEXT($N378,"00")&amp;" / SHELF "&amp;$O378&amp;" / BIN "&amp;TEXT($P378,"00")</f>
        <v>ZONE E / BAY 05 / SHELF 2 / BIN 02</v>
      </c>
      <c r="S378" s="34" t="s">
        <v>1845</v>
      </c>
      <c r="T378" s="34" t="s">
        <v>1844</v>
      </c>
      <c r="U378" s="27" t="n">
        <v>377</v>
      </c>
      <c r="V378" s="30" t="n">
        <v>46216</v>
      </c>
      <c r="W378" s="34" t="str">
        <f aca="false">IF($H378&gt;0,"Yes - "&amp;$H378&amp;" in stock at Store 0146 (size "&amp;$G378&amp;"). Back room location "&amp;$Q378&amp;" ("&amp;$R378&amp;"), "&amp;$S378&amp;". Back room "&amp;$J378&amp;" / sales floor "&amp;$I378&amp;".","Not currently in stock at Store 0146 (size "&amp;$G378&amp;"). Home location is "&amp;$Q378&amp;" ("&amp;$R378&amp;") when replenished.")</f>
        <v>Yes - 2 in stock at Store 0146 (size 6). Back room location E-05-2-02 (ZONE E / BAY 05 / SHELF 2 / BIN 02), Waist height. Back room 0 / sales floor 2.</v>
      </c>
    </row>
    <row r="379" customFormat="false" ht="15" hidden="false" customHeight="false" outlineLevel="0" collapsed="false">
      <c r="A379" s="34" t="s">
        <v>1773</v>
      </c>
      <c r="B379" s="34" t="s">
        <v>1774</v>
      </c>
      <c r="C379" s="34" t="s">
        <v>1584</v>
      </c>
      <c r="D379" s="34" t="s">
        <v>485</v>
      </c>
      <c r="E379" s="34" t="s">
        <v>1585</v>
      </c>
      <c r="F379" s="34" t="s">
        <v>1587</v>
      </c>
      <c r="G379" s="24" t="s">
        <v>338</v>
      </c>
      <c r="H379" s="27" t="n">
        <f aca="false">IFERROR(INDEX('Inventory Master'!$T$2:$T$525,MATCH($A379,'Inventory Master'!$A$2:$A$525,0)),0)</f>
        <v>2</v>
      </c>
      <c r="I379" s="27" t="n">
        <v>2</v>
      </c>
      <c r="J379" s="27" t="n">
        <f aca="false">MAX(0,$H379-$I379)</f>
        <v>0</v>
      </c>
      <c r="K379" s="34" t="str">
        <f aca="false">IF($H379&gt;0,"In Stock","Out of Stock")</f>
        <v>In Stock</v>
      </c>
      <c r="L379" s="24" t="s">
        <v>1861</v>
      </c>
      <c r="M379" s="34" t="s">
        <v>1862</v>
      </c>
      <c r="N379" s="24" t="n">
        <v>5</v>
      </c>
      <c r="O379" s="24" t="n">
        <v>2</v>
      </c>
      <c r="P379" s="24" t="n">
        <v>3</v>
      </c>
      <c r="Q379" s="24" t="str">
        <f aca="false">$L379&amp;"-"&amp;TEXT($N379,"00")&amp;"-"&amp;$O379&amp;"-"&amp;TEXT($P379,"00")</f>
        <v>E-05-2-03</v>
      </c>
      <c r="R379" s="34" t="str">
        <f aca="false">"ZONE "&amp;$L379&amp;" / BAY "&amp;TEXT($N379,"00")&amp;" / SHELF "&amp;$O379&amp;" / BIN "&amp;TEXT($P379,"00")</f>
        <v>ZONE E / BAY 05 / SHELF 2 / BIN 03</v>
      </c>
      <c r="S379" s="34" t="s">
        <v>1845</v>
      </c>
      <c r="T379" s="34" t="s">
        <v>1844</v>
      </c>
      <c r="U379" s="27" t="n">
        <v>378</v>
      </c>
      <c r="V379" s="30" t="n">
        <v>46226</v>
      </c>
      <c r="W379" s="34" t="str">
        <f aca="false">IF($H379&gt;0,"Yes - "&amp;$H379&amp;" in stock at Store 0146 (size "&amp;$G379&amp;"). Back room location "&amp;$Q379&amp;" ("&amp;$R379&amp;"), "&amp;$S379&amp;". Back room "&amp;$J379&amp;" / sales floor "&amp;$I379&amp;".","Not currently in stock at Store 0146 (size "&amp;$G379&amp;"). Home location is "&amp;$Q379&amp;" ("&amp;$R379&amp;") when replenished.")</f>
        <v>Yes - 2 in stock at Store 0146 (size 7). Back room location E-05-2-03 (ZONE E / BAY 05 / SHELF 2 / BIN 03), Waist height. Back room 0 / sales floor 2.</v>
      </c>
    </row>
    <row r="380" customFormat="false" ht="15" hidden="false" customHeight="false" outlineLevel="0" collapsed="false">
      <c r="A380" s="34" t="s">
        <v>1033</v>
      </c>
      <c r="B380" s="34" t="s">
        <v>1034</v>
      </c>
      <c r="C380" s="34" t="s">
        <v>320</v>
      </c>
      <c r="D380" s="34" t="s">
        <v>321</v>
      </c>
      <c r="E380" s="34" t="s">
        <v>322</v>
      </c>
      <c r="F380" s="34" t="s">
        <v>324</v>
      </c>
      <c r="G380" s="24" t="s">
        <v>188</v>
      </c>
      <c r="H380" s="27" t="n">
        <f aca="false">IFERROR(INDEX('Inventory Master'!$T$2:$T$525,MATCH($A380,'Inventory Master'!$A$2:$A$525,0)),0)</f>
        <v>2</v>
      </c>
      <c r="I380" s="27" t="n">
        <v>1</v>
      </c>
      <c r="J380" s="27" t="n">
        <f aca="false">MAX(0,$H380-$I380)</f>
        <v>1</v>
      </c>
      <c r="K380" s="34" t="str">
        <f aca="false">IF($H380&gt;0,"In Stock","Out of Stock")</f>
        <v>In Stock</v>
      </c>
      <c r="L380" s="24" t="s">
        <v>1861</v>
      </c>
      <c r="M380" s="34" t="s">
        <v>1862</v>
      </c>
      <c r="N380" s="24" t="n">
        <v>5</v>
      </c>
      <c r="O380" s="24" t="n">
        <v>3</v>
      </c>
      <c r="P380" s="24" t="n">
        <v>1</v>
      </c>
      <c r="Q380" s="24" t="str">
        <f aca="false">$L380&amp;"-"&amp;TEXT($N380,"00")&amp;"-"&amp;$O380&amp;"-"&amp;TEXT($P380,"00")</f>
        <v>E-05-3-01</v>
      </c>
      <c r="R380" s="34" t="str">
        <f aca="false">"ZONE "&amp;$L380&amp;" / BAY "&amp;TEXT($N380,"00")&amp;" / SHELF "&amp;$O380&amp;" / BIN "&amp;TEXT($P380,"00")</f>
        <v>ZONE E / BAY 05 / SHELF 3 / BIN 01</v>
      </c>
      <c r="S380" s="34" t="s">
        <v>1846</v>
      </c>
      <c r="T380" s="34" t="s">
        <v>1844</v>
      </c>
      <c r="U380" s="27" t="n">
        <v>379</v>
      </c>
      <c r="V380" s="30" t="n">
        <v>46137</v>
      </c>
      <c r="W380" s="34" t="str">
        <f aca="false">IF($H380&gt;0,"Yes - "&amp;$H380&amp;" in stock at Store 0146 (size "&amp;$G380&amp;"). Back room location "&amp;$Q380&amp;" ("&amp;$R380&amp;"), "&amp;$S380&amp;". Back room "&amp;$J380&amp;" / sales floor "&amp;$I380&amp;".","Not currently in stock at Store 0146 (size "&amp;$G380&amp;"). Home location is "&amp;$Q380&amp;" ("&amp;$R380&amp;") when replenished.")</f>
        <v>Yes - 2 in stock at Store 0146 (size 8.5). Back room location E-05-3-01 (ZONE E / BAY 05 / SHELF 3 / BIN 01), Eye level. Back room 1 / sales floor 1.</v>
      </c>
    </row>
    <row r="381" customFormat="false" ht="15" hidden="false" customHeight="false" outlineLevel="0" collapsed="false">
      <c r="A381" s="34" t="s">
        <v>1516</v>
      </c>
      <c r="B381" s="34" t="s">
        <v>1517</v>
      </c>
      <c r="C381" s="34" t="s">
        <v>320</v>
      </c>
      <c r="D381" s="34" t="s">
        <v>321</v>
      </c>
      <c r="E381" s="34" t="s">
        <v>322</v>
      </c>
      <c r="F381" s="34" t="s">
        <v>324</v>
      </c>
      <c r="G381" s="24" t="s">
        <v>164</v>
      </c>
      <c r="H381" s="27" t="n">
        <f aca="false">IFERROR(INDEX('Inventory Master'!$T$2:$T$525,MATCH($A381,'Inventory Master'!$A$2:$A$525,0)),0)</f>
        <v>0</v>
      </c>
      <c r="I381" s="27" t="n">
        <v>0</v>
      </c>
      <c r="J381" s="27" t="n">
        <f aca="false">MAX(0,$H381-$I381)</f>
        <v>0</v>
      </c>
      <c r="K381" s="34" t="str">
        <f aca="false">IF($H381&gt;0,"In Stock","Out of Stock")</f>
        <v>Out of Stock</v>
      </c>
      <c r="L381" s="24" t="s">
        <v>1861</v>
      </c>
      <c r="M381" s="34" t="s">
        <v>1862</v>
      </c>
      <c r="N381" s="24" t="n">
        <v>5</v>
      </c>
      <c r="O381" s="24" t="n">
        <v>3</v>
      </c>
      <c r="P381" s="24" t="n">
        <v>2</v>
      </c>
      <c r="Q381" s="24" t="str">
        <f aca="false">$L381&amp;"-"&amp;TEXT($N381,"00")&amp;"-"&amp;$O381&amp;"-"&amp;TEXT($P381,"00")</f>
        <v>E-05-3-02</v>
      </c>
      <c r="R381" s="34" t="str">
        <f aca="false">"ZONE "&amp;$L381&amp;" / BAY "&amp;TEXT($N381,"00")&amp;" / SHELF "&amp;$O381&amp;" / BIN "&amp;TEXT($P381,"00")</f>
        <v>ZONE E / BAY 05 / SHELF 3 / BIN 02</v>
      </c>
      <c r="S381" s="34" t="s">
        <v>1846</v>
      </c>
      <c r="T381" s="34" t="s">
        <v>1844</v>
      </c>
      <c r="U381" s="27" t="n">
        <v>380</v>
      </c>
      <c r="V381" s="30" t="n">
        <v>46138</v>
      </c>
      <c r="W381" s="34" t="str">
        <f aca="false">IF($H381&gt;0,"Yes - "&amp;$H381&amp;" in stock at Store 0146 (size "&amp;$G381&amp;"). Back room location "&amp;$Q381&amp;" ("&amp;$R381&amp;"), "&amp;$S381&amp;". Back room "&amp;$J381&amp;" / sales floor "&amp;$I381&amp;".","Not currently in stock at Store 0146 (size "&amp;$G381&amp;"). Home location is "&amp;$Q381&amp;" ("&amp;$R381&amp;") when replenished.")</f>
        <v>Not currently in stock at Store 0146 (size 9). Home location is E-05-3-02 (ZONE E / BAY 05 / SHELF 3 / BIN 02) when replenished.</v>
      </c>
    </row>
    <row r="382" customFormat="false" ht="15" hidden="false" customHeight="false" outlineLevel="0" collapsed="false">
      <c r="A382" s="34" t="s">
        <v>1498</v>
      </c>
      <c r="B382" s="34" t="s">
        <v>1499</v>
      </c>
      <c r="C382" s="34" t="s">
        <v>320</v>
      </c>
      <c r="D382" s="34" t="s">
        <v>321</v>
      </c>
      <c r="E382" s="34" t="s">
        <v>322</v>
      </c>
      <c r="F382" s="34" t="s">
        <v>324</v>
      </c>
      <c r="G382" s="24" t="s">
        <v>177</v>
      </c>
      <c r="H382" s="27" t="n">
        <f aca="false">IFERROR(INDEX('Inventory Master'!$T$2:$T$525,MATCH($A382,'Inventory Master'!$A$2:$A$525,0)),0)</f>
        <v>4</v>
      </c>
      <c r="I382" s="27" t="n">
        <v>1</v>
      </c>
      <c r="J382" s="27" t="n">
        <f aca="false">MAX(0,$H382-$I382)</f>
        <v>3</v>
      </c>
      <c r="K382" s="34" t="str">
        <f aca="false">IF($H382&gt;0,"In Stock","Out of Stock")</f>
        <v>In Stock</v>
      </c>
      <c r="L382" s="24" t="s">
        <v>1861</v>
      </c>
      <c r="M382" s="34" t="s">
        <v>1862</v>
      </c>
      <c r="N382" s="24" t="n">
        <v>5</v>
      </c>
      <c r="O382" s="24" t="n">
        <v>3</v>
      </c>
      <c r="P382" s="24" t="n">
        <v>3</v>
      </c>
      <c r="Q382" s="24" t="str">
        <f aca="false">$L382&amp;"-"&amp;TEXT($N382,"00")&amp;"-"&amp;$O382&amp;"-"&amp;TEXT($P382,"00")</f>
        <v>E-05-3-03</v>
      </c>
      <c r="R382" s="34" t="str">
        <f aca="false">"ZONE "&amp;$L382&amp;" / BAY "&amp;TEXT($N382,"00")&amp;" / SHELF "&amp;$O382&amp;" / BIN "&amp;TEXT($P382,"00")</f>
        <v>ZONE E / BAY 05 / SHELF 3 / BIN 03</v>
      </c>
      <c r="S382" s="34" t="s">
        <v>1846</v>
      </c>
      <c r="T382" s="34" t="s">
        <v>1844</v>
      </c>
      <c r="U382" s="27" t="n">
        <v>381</v>
      </c>
      <c r="V382" s="30" t="n">
        <v>46212</v>
      </c>
      <c r="W382" s="34" t="str">
        <f aca="false">IF($H382&gt;0,"Yes - "&amp;$H382&amp;" in stock at Store 0146 (size "&amp;$G382&amp;"). Back room location "&amp;$Q382&amp;" ("&amp;$R382&amp;"), "&amp;$S382&amp;". Back room "&amp;$J382&amp;" / sales floor "&amp;$I382&amp;".","Not currently in stock at Store 0146 (size "&amp;$G382&amp;"). Home location is "&amp;$Q382&amp;" ("&amp;$R382&amp;") when replenished.")</f>
        <v>Yes - 4 in stock at Store 0146 (size 9.5). Back room location E-05-3-03 (ZONE E / BAY 05 / SHELF 3 / BIN 03), Eye level. Back room 3 / sales floor 1.</v>
      </c>
    </row>
    <row r="383" customFormat="false" ht="15" hidden="false" customHeight="false" outlineLevel="0" collapsed="false">
      <c r="A383" s="34" t="s">
        <v>1227</v>
      </c>
      <c r="B383" s="34" t="s">
        <v>1228</v>
      </c>
      <c r="C383" s="34" t="s">
        <v>320</v>
      </c>
      <c r="D383" s="34" t="s">
        <v>321</v>
      </c>
      <c r="E383" s="34" t="s">
        <v>322</v>
      </c>
      <c r="F383" s="34" t="s">
        <v>324</v>
      </c>
      <c r="G383" s="24" t="s">
        <v>211</v>
      </c>
      <c r="H383" s="27" t="n">
        <f aca="false">IFERROR(INDEX('Inventory Master'!$T$2:$T$525,MATCH($A383,'Inventory Master'!$A$2:$A$525,0)),0)</f>
        <v>5</v>
      </c>
      <c r="I383" s="27" t="n">
        <v>1</v>
      </c>
      <c r="J383" s="27" t="n">
        <f aca="false">MAX(0,$H383-$I383)</f>
        <v>4</v>
      </c>
      <c r="K383" s="34" t="str">
        <f aca="false">IF($H383&gt;0,"In Stock","Out of Stock")</f>
        <v>In Stock</v>
      </c>
      <c r="L383" s="24" t="s">
        <v>1861</v>
      </c>
      <c r="M383" s="34" t="s">
        <v>1862</v>
      </c>
      <c r="N383" s="24" t="n">
        <v>5</v>
      </c>
      <c r="O383" s="24" t="n">
        <v>3</v>
      </c>
      <c r="P383" s="24" t="n">
        <v>4</v>
      </c>
      <c r="Q383" s="24" t="str">
        <f aca="false">$L383&amp;"-"&amp;TEXT($N383,"00")&amp;"-"&amp;$O383&amp;"-"&amp;TEXT($P383,"00")</f>
        <v>E-05-3-04</v>
      </c>
      <c r="R383" s="34" t="str">
        <f aca="false">"ZONE "&amp;$L383&amp;" / BAY "&amp;TEXT($N383,"00")&amp;" / SHELF "&amp;$O383&amp;" / BIN "&amp;TEXT($P383,"00")</f>
        <v>ZONE E / BAY 05 / SHELF 3 / BIN 04</v>
      </c>
      <c r="S383" s="34" t="s">
        <v>1846</v>
      </c>
      <c r="T383" s="34" t="s">
        <v>1844</v>
      </c>
      <c r="U383" s="27" t="n">
        <v>382</v>
      </c>
      <c r="V383" s="30" t="n">
        <v>46191</v>
      </c>
      <c r="W383" s="34" t="str">
        <f aca="false">IF($H383&gt;0,"Yes - "&amp;$H383&amp;" in stock at Store 0146 (size "&amp;$G383&amp;"). Back room location "&amp;$Q383&amp;" ("&amp;$R383&amp;"), "&amp;$S383&amp;". Back room "&amp;$J383&amp;" / sales floor "&amp;$I383&amp;".","Not currently in stock at Store 0146 (size "&amp;$G383&amp;"). Home location is "&amp;$Q383&amp;" ("&amp;$R383&amp;") when replenished.")</f>
        <v>Yes - 5 in stock at Store 0146 (size 10). Back room location E-05-3-04 (ZONE E / BAY 05 / SHELF 3 / BIN 04), Eye level. Back room 4 / sales floor 1.</v>
      </c>
    </row>
    <row r="384" customFormat="false" ht="15" hidden="false" customHeight="false" outlineLevel="0" collapsed="false">
      <c r="A384" s="34" t="s">
        <v>318</v>
      </c>
      <c r="B384" s="34" t="s">
        <v>319</v>
      </c>
      <c r="C384" s="34" t="s">
        <v>320</v>
      </c>
      <c r="D384" s="34" t="s">
        <v>321</v>
      </c>
      <c r="E384" s="34" t="s">
        <v>322</v>
      </c>
      <c r="F384" s="34" t="s">
        <v>324</v>
      </c>
      <c r="G384" s="24" t="s">
        <v>327</v>
      </c>
      <c r="H384" s="27" t="n">
        <f aca="false">IFERROR(INDEX('Inventory Master'!$T$2:$T$525,MATCH($A384,'Inventory Master'!$A$2:$A$525,0)),0)</f>
        <v>5</v>
      </c>
      <c r="I384" s="27" t="n">
        <v>1</v>
      </c>
      <c r="J384" s="27" t="n">
        <f aca="false">MAX(0,$H384-$I384)</f>
        <v>4</v>
      </c>
      <c r="K384" s="34" t="str">
        <f aca="false">IF($H384&gt;0,"In Stock","Out of Stock")</f>
        <v>In Stock</v>
      </c>
      <c r="L384" s="24" t="s">
        <v>1861</v>
      </c>
      <c r="M384" s="34" t="s">
        <v>1862</v>
      </c>
      <c r="N384" s="24" t="n">
        <v>5</v>
      </c>
      <c r="O384" s="24" t="n">
        <v>3</v>
      </c>
      <c r="P384" s="24" t="n">
        <v>5</v>
      </c>
      <c r="Q384" s="24" t="str">
        <f aca="false">$L384&amp;"-"&amp;TEXT($N384,"00")&amp;"-"&amp;$O384&amp;"-"&amp;TEXT($P384,"00")</f>
        <v>E-05-3-05</v>
      </c>
      <c r="R384" s="34" t="str">
        <f aca="false">"ZONE "&amp;$L384&amp;" / BAY "&amp;TEXT($N384,"00")&amp;" / SHELF "&amp;$O384&amp;" / BIN "&amp;TEXT($P384,"00")</f>
        <v>ZONE E / BAY 05 / SHELF 3 / BIN 05</v>
      </c>
      <c r="S384" s="34" t="s">
        <v>1846</v>
      </c>
      <c r="T384" s="34" t="s">
        <v>1844</v>
      </c>
      <c r="U384" s="27" t="n">
        <v>383</v>
      </c>
      <c r="V384" s="30" t="n">
        <v>46156</v>
      </c>
      <c r="W384" s="34" t="str">
        <f aca="false">IF($H384&gt;0,"Yes - "&amp;$H384&amp;" in stock at Store 0146 (size "&amp;$G384&amp;"). Back room location "&amp;$Q384&amp;" ("&amp;$R384&amp;"), "&amp;$S384&amp;". Back room "&amp;$J384&amp;" / sales floor "&amp;$I384&amp;".","Not currently in stock at Store 0146 (size "&amp;$G384&amp;"). Home location is "&amp;$Q384&amp;" ("&amp;$R384&amp;") when replenished.")</f>
        <v>Yes - 5 in stock at Store 0146 (size 10.5). Back room location E-05-3-05 (ZONE E / BAY 05 / SHELF 3 / BIN 05), Eye level. Back room 4 / sales floor 1.</v>
      </c>
    </row>
    <row r="385" customFormat="false" ht="15" hidden="false" customHeight="false" outlineLevel="0" collapsed="false">
      <c r="A385" s="34" t="s">
        <v>857</v>
      </c>
      <c r="B385" s="34" t="s">
        <v>858</v>
      </c>
      <c r="C385" s="34" t="s">
        <v>205</v>
      </c>
      <c r="D385" s="34" t="s">
        <v>182</v>
      </c>
      <c r="E385" s="34" t="s">
        <v>206</v>
      </c>
      <c r="F385" s="34" t="s">
        <v>208</v>
      </c>
      <c r="G385" s="24" t="s">
        <v>442</v>
      </c>
      <c r="H385" s="27" t="n">
        <f aca="false">IFERROR(INDEX('Inventory Master'!$T$2:$T$525,MATCH($A385,'Inventory Master'!$A$2:$A$525,0)),0)</f>
        <v>0</v>
      </c>
      <c r="I385" s="27" t="n">
        <v>0</v>
      </c>
      <c r="J385" s="27" t="n">
        <f aca="false">MAX(0,$H385-$I385)</f>
        <v>0</v>
      </c>
      <c r="K385" s="34" t="str">
        <f aca="false">IF($H385&gt;0,"In Stock","Out of Stock")</f>
        <v>Out of Stock</v>
      </c>
      <c r="L385" s="24" t="s">
        <v>1861</v>
      </c>
      <c r="M385" s="34" t="s">
        <v>1862</v>
      </c>
      <c r="N385" s="24" t="n">
        <v>5</v>
      </c>
      <c r="O385" s="24" t="n">
        <v>4</v>
      </c>
      <c r="P385" s="24" t="n">
        <v>1</v>
      </c>
      <c r="Q385" s="24" t="str">
        <f aca="false">$L385&amp;"-"&amp;TEXT($N385,"00")&amp;"-"&amp;$O385&amp;"-"&amp;TEXT($P385,"00")</f>
        <v>E-05-4-01</v>
      </c>
      <c r="R385" s="34" t="str">
        <f aca="false">"ZONE "&amp;$L385&amp;" / BAY "&amp;TEXT($N385,"00")&amp;" / SHELF "&amp;$O385&amp;" / BIN "&amp;TEXT($P385,"00")</f>
        <v>ZONE E / BAY 05 / SHELF 4 / BIN 01</v>
      </c>
      <c r="S385" s="34" t="s">
        <v>1847</v>
      </c>
      <c r="T385" s="34" t="s">
        <v>1844</v>
      </c>
      <c r="U385" s="27" t="n">
        <v>384</v>
      </c>
      <c r="V385" s="30" t="n">
        <v>46137</v>
      </c>
      <c r="W385" s="34" t="str">
        <f aca="false">IF($H385&gt;0,"Yes - "&amp;$H385&amp;" in stock at Store 0146 (size "&amp;$G385&amp;"). Back room location "&amp;$Q385&amp;" ("&amp;$R385&amp;"), "&amp;$S385&amp;". Back room "&amp;$J385&amp;" / sales floor "&amp;$I385&amp;".","Not currently in stock at Store 0146 (size "&amp;$G385&amp;"). Home location is "&amp;$Q385&amp;" ("&amp;$R385&amp;") when replenished.")</f>
        <v>Not currently in stock at Store 0146 (size 5). Home location is E-05-4-01 (ZONE E / BAY 05 / SHELF 4 / BIN 01) when replenished.</v>
      </c>
    </row>
    <row r="386" customFormat="false" ht="15" hidden="false" customHeight="false" outlineLevel="0" collapsed="false">
      <c r="A386" s="34" t="s">
        <v>1478</v>
      </c>
      <c r="B386" s="34" t="s">
        <v>1479</v>
      </c>
      <c r="C386" s="34" t="s">
        <v>205</v>
      </c>
      <c r="D386" s="34" t="s">
        <v>182</v>
      </c>
      <c r="E386" s="34" t="s">
        <v>206</v>
      </c>
      <c r="F386" s="34" t="s">
        <v>208</v>
      </c>
      <c r="G386" s="24" t="s">
        <v>538</v>
      </c>
      <c r="H386" s="27" t="n">
        <f aca="false">IFERROR(INDEX('Inventory Master'!$T$2:$T$525,MATCH($A386,'Inventory Master'!$A$2:$A$525,0)),0)</f>
        <v>4</v>
      </c>
      <c r="I386" s="27" t="n">
        <v>1</v>
      </c>
      <c r="J386" s="27" t="n">
        <f aca="false">MAX(0,$H386-$I386)</f>
        <v>3</v>
      </c>
      <c r="K386" s="34" t="str">
        <f aca="false">IF($H386&gt;0,"In Stock","Out of Stock")</f>
        <v>In Stock</v>
      </c>
      <c r="L386" s="24" t="s">
        <v>1861</v>
      </c>
      <c r="M386" s="34" t="s">
        <v>1862</v>
      </c>
      <c r="N386" s="24" t="n">
        <v>5</v>
      </c>
      <c r="O386" s="24" t="n">
        <v>4</v>
      </c>
      <c r="P386" s="24" t="n">
        <v>2</v>
      </c>
      <c r="Q386" s="24" t="str">
        <f aca="false">$L386&amp;"-"&amp;TEXT($N386,"00")&amp;"-"&amp;$O386&amp;"-"&amp;TEXT($P386,"00")</f>
        <v>E-05-4-02</v>
      </c>
      <c r="R386" s="34" t="str">
        <f aca="false">"ZONE "&amp;$L386&amp;" / BAY "&amp;TEXT($N386,"00")&amp;" / SHELF "&amp;$O386&amp;" / BIN "&amp;TEXT($P386,"00")</f>
        <v>ZONE E / BAY 05 / SHELF 4 / BIN 02</v>
      </c>
      <c r="S386" s="34" t="s">
        <v>1847</v>
      </c>
      <c r="T386" s="34" t="s">
        <v>1844</v>
      </c>
      <c r="U386" s="27" t="n">
        <v>385</v>
      </c>
      <c r="V386" s="30" t="n">
        <v>46159</v>
      </c>
      <c r="W386" s="34" t="str">
        <f aca="false">IF($H386&gt;0,"Yes - "&amp;$H386&amp;" in stock at Store 0146 (size "&amp;$G386&amp;"). Back room location "&amp;$Q386&amp;" ("&amp;$R386&amp;"), "&amp;$S386&amp;". Back room "&amp;$J386&amp;" / sales floor "&amp;$I386&amp;".","Not currently in stock at Store 0146 (size "&amp;$G386&amp;"). Home location is "&amp;$Q386&amp;" ("&amp;$R386&amp;") when replenished.")</f>
        <v>Yes - 4 in stock at Store 0146 (size 6). Back room location E-05-4-02 (ZONE E / BAY 05 / SHELF 4 / BIN 02), Overhead - step stool. Back room 3 / sales floor 1.</v>
      </c>
    </row>
    <row r="387" customFormat="false" ht="15" hidden="false" customHeight="false" outlineLevel="0" collapsed="false">
      <c r="A387" s="34" t="s">
        <v>1059</v>
      </c>
      <c r="B387" s="34" t="s">
        <v>1060</v>
      </c>
      <c r="C387" s="34" t="s">
        <v>205</v>
      </c>
      <c r="D387" s="34" t="s">
        <v>182</v>
      </c>
      <c r="E387" s="34" t="s">
        <v>206</v>
      </c>
      <c r="F387" s="34" t="s">
        <v>208</v>
      </c>
      <c r="G387" s="24" t="s">
        <v>338</v>
      </c>
      <c r="H387" s="27" t="n">
        <f aca="false">IFERROR(INDEX('Inventory Master'!$T$2:$T$525,MATCH($A387,'Inventory Master'!$A$2:$A$525,0)),0)</f>
        <v>7</v>
      </c>
      <c r="I387" s="27" t="n">
        <v>1</v>
      </c>
      <c r="J387" s="27" t="n">
        <f aca="false">MAX(0,$H387-$I387)</f>
        <v>6</v>
      </c>
      <c r="K387" s="34" t="str">
        <f aca="false">IF($H387&gt;0,"In Stock","Out of Stock")</f>
        <v>In Stock</v>
      </c>
      <c r="L387" s="24" t="s">
        <v>1861</v>
      </c>
      <c r="M387" s="34" t="s">
        <v>1862</v>
      </c>
      <c r="N387" s="24" t="n">
        <v>5</v>
      </c>
      <c r="O387" s="24" t="n">
        <v>4</v>
      </c>
      <c r="P387" s="24" t="n">
        <v>3</v>
      </c>
      <c r="Q387" s="24" t="str">
        <f aca="false">$L387&amp;"-"&amp;TEXT($N387,"00")&amp;"-"&amp;$O387&amp;"-"&amp;TEXT($P387,"00")</f>
        <v>E-05-4-03</v>
      </c>
      <c r="R387" s="34" t="str">
        <f aca="false">"ZONE "&amp;$L387&amp;" / BAY "&amp;TEXT($N387,"00")&amp;" / SHELF "&amp;$O387&amp;" / BIN "&amp;TEXT($P387,"00")</f>
        <v>ZONE E / BAY 05 / SHELF 4 / BIN 03</v>
      </c>
      <c r="S387" s="34" t="s">
        <v>1847</v>
      </c>
      <c r="T387" s="34" t="s">
        <v>1865</v>
      </c>
      <c r="U387" s="27" t="n">
        <v>386</v>
      </c>
      <c r="V387" s="30" t="n">
        <v>46196</v>
      </c>
      <c r="W387" s="34" t="str">
        <f aca="false">IF($H387&gt;0,"Yes - "&amp;$H387&amp;" in stock at Store 0146 (size "&amp;$G387&amp;"). Back room location "&amp;$Q387&amp;" ("&amp;$R387&amp;"), "&amp;$S387&amp;". Back room "&amp;$J387&amp;" / sales floor "&amp;$I387&amp;".","Not currently in stock at Store 0146 (size "&amp;$G387&amp;"). Home location is "&amp;$Q387&amp;" ("&amp;$R387&amp;") when replenished.")</f>
        <v>Yes - 7 in stock at Store 0146 (size 7). Back room location E-05-4-03 (ZONE E / BAY 05 / SHELF 4 / BIN 03), Overhead - step stool. Back room 6 / sales floor 1.</v>
      </c>
    </row>
    <row r="388" customFormat="false" ht="15" hidden="false" customHeight="false" outlineLevel="0" collapsed="false">
      <c r="A388" s="34" t="s">
        <v>776</v>
      </c>
      <c r="B388" s="34" t="s">
        <v>777</v>
      </c>
      <c r="C388" s="34" t="s">
        <v>205</v>
      </c>
      <c r="D388" s="34" t="s">
        <v>182</v>
      </c>
      <c r="E388" s="34" t="s">
        <v>206</v>
      </c>
      <c r="F388" s="34" t="s">
        <v>208</v>
      </c>
      <c r="G388" s="24" t="s">
        <v>356</v>
      </c>
      <c r="H388" s="27" t="n">
        <f aca="false">IFERROR(INDEX('Inventory Master'!$T$2:$T$525,MATCH($A388,'Inventory Master'!$A$2:$A$525,0)),0)</f>
        <v>3</v>
      </c>
      <c r="I388" s="27" t="n">
        <v>1</v>
      </c>
      <c r="J388" s="27" t="n">
        <f aca="false">MAX(0,$H388-$I388)</f>
        <v>2</v>
      </c>
      <c r="K388" s="34" t="str">
        <f aca="false">IF($H388&gt;0,"In Stock","Out of Stock")</f>
        <v>In Stock</v>
      </c>
      <c r="L388" s="24" t="s">
        <v>1861</v>
      </c>
      <c r="M388" s="34" t="s">
        <v>1862</v>
      </c>
      <c r="N388" s="24" t="n">
        <v>5</v>
      </c>
      <c r="O388" s="24" t="n">
        <v>4</v>
      </c>
      <c r="P388" s="24" t="n">
        <v>4</v>
      </c>
      <c r="Q388" s="24" t="str">
        <f aca="false">$L388&amp;"-"&amp;TEXT($N388,"00")&amp;"-"&amp;$O388&amp;"-"&amp;TEXT($P388,"00")</f>
        <v>E-05-4-04</v>
      </c>
      <c r="R388" s="34" t="str">
        <f aca="false">"ZONE "&amp;$L388&amp;" / BAY "&amp;TEXT($N388,"00")&amp;" / SHELF "&amp;$O388&amp;" / BIN "&amp;TEXT($P388,"00")</f>
        <v>ZONE E / BAY 05 / SHELF 4 / BIN 04</v>
      </c>
      <c r="S388" s="34" t="s">
        <v>1847</v>
      </c>
      <c r="T388" s="34" t="s">
        <v>1844</v>
      </c>
      <c r="U388" s="27" t="n">
        <v>387</v>
      </c>
      <c r="V388" s="30" t="n">
        <v>46165</v>
      </c>
      <c r="W388" s="34" t="str">
        <f aca="false">IF($H388&gt;0,"Yes - "&amp;$H388&amp;" in stock at Store 0146 (size "&amp;$G388&amp;"). Back room location "&amp;$Q388&amp;" ("&amp;$R388&amp;"), "&amp;$S388&amp;". Back room "&amp;$J388&amp;" / sales floor "&amp;$I388&amp;".","Not currently in stock at Store 0146 (size "&amp;$G388&amp;"). Home location is "&amp;$Q388&amp;" ("&amp;$R388&amp;") when replenished.")</f>
        <v>Yes - 3 in stock at Store 0146 (size 8). Back room location E-05-4-04 (ZONE E / BAY 05 / SHELF 4 / BIN 04), Overhead - step stool. Back room 2 / sales floor 1.</v>
      </c>
    </row>
    <row r="389" customFormat="false" ht="15" hidden="false" customHeight="false" outlineLevel="0" collapsed="false">
      <c r="A389" s="34" t="s">
        <v>1629</v>
      </c>
      <c r="B389" s="34" t="s">
        <v>1630</v>
      </c>
      <c r="C389" s="34" t="s">
        <v>205</v>
      </c>
      <c r="D389" s="34" t="s">
        <v>182</v>
      </c>
      <c r="E389" s="34" t="s">
        <v>206</v>
      </c>
      <c r="F389" s="34" t="s">
        <v>208</v>
      </c>
      <c r="G389" s="24" t="s">
        <v>164</v>
      </c>
      <c r="H389" s="27" t="n">
        <f aca="false">IFERROR(INDEX('Inventory Master'!$T$2:$T$525,MATCH($A389,'Inventory Master'!$A$2:$A$525,0)),0)</f>
        <v>2</v>
      </c>
      <c r="I389" s="27" t="n">
        <v>2</v>
      </c>
      <c r="J389" s="27" t="n">
        <f aca="false">MAX(0,$H389-$I389)</f>
        <v>0</v>
      </c>
      <c r="K389" s="34" t="str">
        <f aca="false">IF($H389&gt;0,"In Stock","Out of Stock")</f>
        <v>In Stock</v>
      </c>
      <c r="L389" s="24" t="s">
        <v>1861</v>
      </c>
      <c r="M389" s="34" t="s">
        <v>1862</v>
      </c>
      <c r="N389" s="24" t="n">
        <v>5</v>
      </c>
      <c r="O389" s="24" t="n">
        <v>4</v>
      </c>
      <c r="P389" s="24" t="n">
        <v>5</v>
      </c>
      <c r="Q389" s="24" t="str">
        <f aca="false">$L389&amp;"-"&amp;TEXT($N389,"00")&amp;"-"&amp;$O389&amp;"-"&amp;TEXT($P389,"00")</f>
        <v>E-05-4-05</v>
      </c>
      <c r="R389" s="34" t="str">
        <f aca="false">"ZONE "&amp;$L389&amp;" / BAY "&amp;TEXT($N389,"00")&amp;" / SHELF "&amp;$O389&amp;" / BIN "&amp;TEXT($P389,"00")</f>
        <v>ZONE E / BAY 05 / SHELF 4 / BIN 05</v>
      </c>
      <c r="S389" s="34" t="s">
        <v>1847</v>
      </c>
      <c r="T389" s="34" t="s">
        <v>1844</v>
      </c>
      <c r="U389" s="27" t="n">
        <v>388</v>
      </c>
      <c r="V389" s="30" t="n">
        <v>46176</v>
      </c>
      <c r="W389" s="34" t="str">
        <f aca="false">IF($H389&gt;0,"Yes - "&amp;$H389&amp;" in stock at Store 0146 (size "&amp;$G389&amp;"). Back room location "&amp;$Q389&amp;" ("&amp;$R389&amp;"), "&amp;$S389&amp;". Back room "&amp;$J389&amp;" / sales floor "&amp;$I389&amp;".","Not currently in stock at Store 0146 (size "&amp;$G389&amp;"). Home location is "&amp;$Q389&amp;" ("&amp;$R389&amp;") when replenished.")</f>
        <v>Yes - 2 in stock at Store 0146 (size 9). Back room location E-05-4-05 (ZONE E / BAY 05 / SHELF 4 / BIN 05), Overhead - step stool. Back room 0 / sales floor 2.</v>
      </c>
    </row>
    <row r="390" customFormat="false" ht="15" hidden="false" customHeight="false" outlineLevel="0" collapsed="false">
      <c r="A390" s="34" t="s">
        <v>203</v>
      </c>
      <c r="B390" s="34" t="s">
        <v>204</v>
      </c>
      <c r="C390" s="34" t="s">
        <v>205</v>
      </c>
      <c r="D390" s="34" t="s">
        <v>182</v>
      </c>
      <c r="E390" s="34" t="s">
        <v>206</v>
      </c>
      <c r="F390" s="34" t="s">
        <v>208</v>
      </c>
      <c r="G390" s="24" t="s">
        <v>211</v>
      </c>
      <c r="H390" s="27" t="n">
        <f aca="false">IFERROR(INDEX('Inventory Master'!$T$2:$T$525,MATCH($A390,'Inventory Master'!$A$2:$A$525,0)),0)</f>
        <v>4</v>
      </c>
      <c r="I390" s="27" t="n">
        <v>2</v>
      </c>
      <c r="J390" s="27" t="n">
        <f aca="false">MAX(0,$H390-$I390)</f>
        <v>2</v>
      </c>
      <c r="K390" s="34" t="str">
        <f aca="false">IF($H390&gt;0,"In Stock","Out of Stock")</f>
        <v>In Stock</v>
      </c>
      <c r="L390" s="24" t="s">
        <v>1861</v>
      </c>
      <c r="M390" s="34" t="s">
        <v>1862</v>
      </c>
      <c r="N390" s="24" t="n">
        <v>5</v>
      </c>
      <c r="O390" s="24" t="n">
        <v>4</v>
      </c>
      <c r="P390" s="24" t="n">
        <v>6</v>
      </c>
      <c r="Q390" s="24" t="str">
        <f aca="false">$L390&amp;"-"&amp;TEXT($N390,"00")&amp;"-"&amp;$O390&amp;"-"&amp;TEXT($P390,"00")</f>
        <v>E-05-4-06</v>
      </c>
      <c r="R390" s="34" t="str">
        <f aca="false">"ZONE "&amp;$L390&amp;" / BAY "&amp;TEXT($N390,"00")&amp;" / SHELF "&amp;$O390&amp;" / BIN "&amp;TEXT($P390,"00")</f>
        <v>ZONE E / BAY 05 / SHELF 4 / BIN 06</v>
      </c>
      <c r="S390" s="34" t="s">
        <v>1847</v>
      </c>
      <c r="T390" s="34" t="s">
        <v>1844</v>
      </c>
      <c r="U390" s="27" t="n">
        <v>389</v>
      </c>
      <c r="V390" s="30" t="n">
        <v>46227</v>
      </c>
      <c r="W390" s="34" t="str">
        <f aca="false">IF($H390&gt;0,"Yes - "&amp;$H390&amp;" in stock at Store 0146 (size "&amp;$G390&amp;"). Back room location "&amp;$Q390&amp;" ("&amp;$R390&amp;"), "&amp;$S390&amp;". Back room "&amp;$J390&amp;" / sales floor "&amp;$I390&amp;".","Not currently in stock at Store 0146 (size "&amp;$G390&amp;"). Home location is "&amp;$Q390&amp;" ("&amp;$R390&amp;") when replenished.")</f>
        <v>Yes - 4 in stock at Store 0146 (size 10). Back room location E-05-4-06 (ZONE E / BAY 05 / SHELF 4 / BIN 06), Overhead - step stool. Back room 2 / sales floor 2.</v>
      </c>
    </row>
    <row r="391" customFormat="false" ht="15" hidden="false" customHeight="false" outlineLevel="0" collapsed="false">
      <c r="A391" s="34" t="s">
        <v>1359</v>
      </c>
      <c r="B391" s="34" t="s">
        <v>1360</v>
      </c>
      <c r="C391" s="34" t="s">
        <v>460</v>
      </c>
      <c r="D391" s="34" t="s">
        <v>182</v>
      </c>
      <c r="E391" s="34" t="s">
        <v>461</v>
      </c>
      <c r="F391" s="34" t="s">
        <v>463</v>
      </c>
      <c r="G391" s="24" t="s">
        <v>538</v>
      </c>
      <c r="H391" s="27" t="n">
        <f aca="false">IFERROR(INDEX('Inventory Master'!$T$2:$T$525,MATCH($A391,'Inventory Master'!$A$2:$A$525,0)),0)</f>
        <v>2</v>
      </c>
      <c r="I391" s="27" t="n">
        <v>1</v>
      </c>
      <c r="J391" s="27" t="n">
        <f aca="false">MAX(0,$H391-$I391)</f>
        <v>1</v>
      </c>
      <c r="K391" s="34" t="str">
        <f aca="false">IF($H391&gt;0,"In Stock","Out of Stock")</f>
        <v>In Stock</v>
      </c>
      <c r="L391" s="24" t="s">
        <v>1861</v>
      </c>
      <c r="M391" s="34" t="s">
        <v>1862</v>
      </c>
      <c r="N391" s="24" t="n">
        <v>5</v>
      </c>
      <c r="O391" s="24" t="n">
        <v>5</v>
      </c>
      <c r="P391" s="24" t="n">
        <v>1</v>
      </c>
      <c r="Q391" s="24" t="str">
        <f aca="false">$L391&amp;"-"&amp;TEXT($N391,"00")&amp;"-"&amp;$O391&amp;"-"&amp;TEXT($P391,"00")</f>
        <v>E-05-5-01</v>
      </c>
      <c r="R391" s="34" t="str">
        <f aca="false">"ZONE "&amp;$L391&amp;" / BAY "&amp;TEXT($N391,"00")&amp;" / SHELF "&amp;$O391&amp;" / BIN "&amp;TEXT($P391,"00")</f>
        <v>ZONE E / BAY 05 / SHELF 5 / BIN 01</v>
      </c>
      <c r="S391" s="34" t="s">
        <v>1848</v>
      </c>
      <c r="T391" s="34" t="s">
        <v>1844</v>
      </c>
      <c r="U391" s="27" t="n">
        <v>390</v>
      </c>
      <c r="V391" s="30" t="n">
        <v>46144</v>
      </c>
      <c r="W391" s="34" t="str">
        <f aca="false">IF($H391&gt;0,"Yes - "&amp;$H391&amp;" in stock at Store 0146 (size "&amp;$G391&amp;"). Back room location "&amp;$Q391&amp;" ("&amp;$R391&amp;"), "&amp;$S391&amp;". Back room "&amp;$J391&amp;" / sales floor "&amp;$I391&amp;".","Not currently in stock at Store 0146 (size "&amp;$G391&amp;"). Home location is "&amp;$Q391&amp;" ("&amp;$R391&amp;") when replenished.")</f>
        <v>Yes - 2 in stock at Store 0146 (size 6). Back room location E-05-5-01 (ZONE E / BAY 05 / SHELF 5 / BIN 01), Top shelf - ladder required. Back room 1 / sales floor 1.</v>
      </c>
    </row>
    <row r="392" customFormat="false" ht="15" hidden="false" customHeight="false" outlineLevel="0" collapsed="false">
      <c r="A392" s="34" t="s">
        <v>752</v>
      </c>
      <c r="B392" s="34" t="s">
        <v>753</v>
      </c>
      <c r="C392" s="34" t="s">
        <v>460</v>
      </c>
      <c r="D392" s="34" t="s">
        <v>182</v>
      </c>
      <c r="E392" s="34" t="s">
        <v>461</v>
      </c>
      <c r="F392" s="34" t="s">
        <v>463</v>
      </c>
      <c r="G392" s="24" t="s">
        <v>338</v>
      </c>
      <c r="H392" s="27" t="n">
        <f aca="false">IFERROR(INDEX('Inventory Master'!$T$2:$T$525,MATCH($A392,'Inventory Master'!$A$2:$A$525,0)),0)</f>
        <v>0</v>
      </c>
      <c r="I392" s="27" t="n">
        <v>0</v>
      </c>
      <c r="J392" s="27" t="n">
        <f aca="false">MAX(0,$H392-$I392)</f>
        <v>0</v>
      </c>
      <c r="K392" s="34" t="str">
        <f aca="false">IF($H392&gt;0,"In Stock","Out of Stock")</f>
        <v>Out of Stock</v>
      </c>
      <c r="L392" s="24" t="s">
        <v>1861</v>
      </c>
      <c r="M392" s="34" t="s">
        <v>1862</v>
      </c>
      <c r="N392" s="24" t="n">
        <v>5</v>
      </c>
      <c r="O392" s="24" t="n">
        <v>5</v>
      </c>
      <c r="P392" s="24" t="n">
        <v>2</v>
      </c>
      <c r="Q392" s="24" t="str">
        <f aca="false">$L392&amp;"-"&amp;TEXT($N392,"00")&amp;"-"&amp;$O392&amp;"-"&amp;TEXT($P392,"00")</f>
        <v>E-05-5-02</v>
      </c>
      <c r="R392" s="34" t="str">
        <f aca="false">"ZONE "&amp;$L392&amp;" / BAY "&amp;TEXT($N392,"00")&amp;" / SHELF "&amp;$O392&amp;" / BIN "&amp;TEXT($P392,"00")</f>
        <v>ZONE E / BAY 05 / SHELF 5 / BIN 02</v>
      </c>
      <c r="S392" s="34" t="s">
        <v>1848</v>
      </c>
      <c r="T392" s="34" t="s">
        <v>1844</v>
      </c>
      <c r="U392" s="27" t="n">
        <v>391</v>
      </c>
      <c r="V392" s="30" t="n">
        <v>46193</v>
      </c>
      <c r="W392" s="34" t="str">
        <f aca="false">IF($H392&gt;0,"Yes - "&amp;$H392&amp;" in stock at Store 0146 (size "&amp;$G392&amp;"). Back room location "&amp;$Q392&amp;" ("&amp;$R392&amp;"), "&amp;$S392&amp;". Back room "&amp;$J392&amp;" / sales floor "&amp;$I392&amp;".","Not currently in stock at Store 0146 (size "&amp;$G392&amp;"). Home location is "&amp;$Q392&amp;" ("&amp;$R392&amp;") when replenished.")</f>
        <v>Not currently in stock at Store 0146 (size 7). Home location is E-05-5-02 (ZONE E / BAY 05 / SHELF 5 / BIN 02) when replenished.</v>
      </c>
    </row>
    <row r="393" customFormat="false" ht="15" hidden="false" customHeight="false" outlineLevel="0" collapsed="false">
      <c r="A393" s="34" t="s">
        <v>1070</v>
      </c>
      <c r="B393" s="34" t="s">
        <v>1071</v>
      </c>
      <c r="C393" s="34" t="s">
        <v>460</v>
      </c>
      <c r="D393" s="34" t="s">
        <v>182</v>
      </c>
      <c r="E393" s="34" t="s">
        <v>461</v>
      </c>
      <c r="F393" s="34" t="s">
        <v>463</v>
      </c>
      <c r="G393" s="24" t="s">
        <v>356</v>
      </c>
      <c r="H393" s="27" t="n">
        <f aca="false">IFERROR(INDEX('Inventory Master'!$T$2:$T$525,MATCH($A393,'Inventory Master'!$A$2:$A$525,0)),0)</f>
        <v>3</v>
      </c>
      <c r="I393" s="27" t="n">
        <v>1</v>
      </c>
      <c r="J393" s="27" t="n">
        <f aca="false">MAX(0,$H393-$I393)</f>
        <v>2</v>
      </c>
      <c r="K393" s="34" t="str">
        <f aca="false">IF($H393&gt;0,"In Stock","Out of Stock")</f>
        <v>In Stock</v>
      </c>
      <c r="L393" s="24" t="s">
        <v>1861</v>
      </c>
      <c r="M393" s="34" t="s">
        <v>1862</v>
      </c>
      <c r="N393" s="24" t="n">
        <v>5</v>
      </c>
      <c r="O393" s="24" t="n">
        <v>5</v>
      </c>
      <c r="P393" s="24" t="n">
        <v>3</v>
      </c>
      <c r="Q393" s="24" t="str">
        <f aca="false">$L393&amp;"-"&amp;TEXT($N393,"00")&amp;"-"&amp;$O393&amp;"-"&amp;TEXT($P393,"00")</f>
        <v>E-05-5-03</v>
      </c>
      <c r="R393" s="34" t="str">
        <f aca="false">"ZONE "&amp;$L393&amp;" / BAY "&amp;TEXT($N393,"00")&amp;" / SHELF "&amp;$O393&amp;" / BIN "&amp;TEXT($P393,"00")</f>
        <v>ZONE E / BAY 05 / SHELF 5 / BIN 03</v>
      </c>
      <c r="S393" s="34" t="s">
        <v>1848</v>
      </c>
      <c r="T393" s="34" t="s">
        <v>1844</v>
      </c>
      <c r="U393" s="27" t="n">
        <v>392</v>
      </c>
      <c r="V393" s="30" t="n">
        <v>46197</v>
      </c>
      <c r="W393" s="34" t="str">
        <f aca="false">IF($H393&gt;0,"Yes - "&amp;$H393&amp;" in stock at Store 0146 (size "&amp;$G393&amp;"). Back room location "&amp;$Q393&amp;" ("&amp;$R393&amp;"), "&amp;$S393&amp;". Back room "&amp;$J393&amp;" / sales floor "&amp;$I393&amp;".","Not currently in stock at Store 0146 (size "&amp;$G393&amp;"). Home location is "&amp;$Q393&amp;" ("&amp;$R393&amp;") when replenished.")</f>
        <v>Yes - 3 in stock at Store 0146 (size 8). Back room location E-05-5-03 (ZONE E / BAY 05 / SHELF 5 / BIN 03), Top shelf - ladder required. Back room 2 / sales floor 1.</v>
      </c>
    </row>
    <row r="394" customFormat="false" ht="15" hidden="false" customHeight="false" outlineLevel="0" collapsed="false">
      <c r="A394" s="34" t="s">
        <v>458</v>
      </c>
      <c r="B394" s="34" t="s">
        <v>459</v>
      </c>
      <c r="C394" s="34" t="s">
        <v>460</v>
      </c>
      <c r="D394" s="34" t="s">
        <v>182</v>
      </c>
      <c r="E394" s="34" t="s">
        <v>461</v>
      </c>
      <c r="F394" s="34" t="s">
        <v>463</v>
      </c>
      <c r="G394" s="24" t="s">
        <v>164</v>
      </c>
      <c r="H394" s="27" t="n">
        <f aca="false">IFERROR(INDEX('Inventory Master'!$T$2:$T$525,MATCH($A394,'Inventory Master'!$A$2:$A$525,0)),0)</f>
        <v>6</v>
      </c>
      <c r="I394" s="27" t="n">
        <v>1</v>
      </c>
      <c r="J394" s="27" t="n">
        <f aca="false">MAX(0,$H394-$I394)</f>
        <v>5</v>
      </c>
      <c r="K394" s="34" t="str">
        <f aca="false">IF($H394&gt;0,"In Stock","Out of Stock")</f>
        <v>In Stock</v>
      </c>
      <c r="L394" s="24" t="s">
        <v>1861</v>
      </c>
      <c r="M394" s="34" t="s">
        <v>1862</v>
      </c>
      <c r="N394" s="24" t="n">
        <v>5</v>
      </c>
      <c r="O394" s="24" t="n">
        <v>5</v>
      </c>
      <c r="P394" s="24" t="n">
        <v>4</v>
      </c>
      <c r="Q394" s="24" t="str">
        <f aca="false">$L394&amp;"-"&amp;TEXT($N394,"00")&amp;"-"&amp;$O394&amp;"-"&amp;TEXT($P394,"00")</f>
        <v>E-05-5-04</v>
      </c>
      <c r="R394" s="34" t="str">
        <f aca="false">"ZONE "&amp;$L394&amp;" / BAY "&amp;TEXT($N394,"00")&amp;" / SHELF "&amp;$O394&amp;" / BIN "&amp;TEXT($P394,"00")</f>
        <v>ZONE E / BAY 05 / SHELF 5 / BIN 04</v>
      </c>
      <c r="S394" s="34" t="s">
        <v>1848</v>
      </c>
      <c r="T394" s="34" t="s">
        <v>1844</v>
      </c>
      <c r="U394" s="27" t="n">
        <v>393</v>
      </c>
      <c r="V394" s="30" t="n">
        <v>46184</v>
      </c>
      <c r="W394" s="34" t="str">
        <f aca="false">IF($H394&gt;0,"Yes - "&amp;$H394&amp;" in stock at Store 0146 (size "&amp;$G394&amp;"). Back room location "&amp;$Q394&amp;" ("&amp;$R394&amp;"), "&amp;$S394&amp;". Back room "&amp;$J394&amp;" / sales floor "&amp;$I394&amp;".","Not currently in stock at Store 0146 (size "&amp;$G394&amp;"). Home location is "&amp;$Q394&amp;" ("&amp;$R394&amp;") when replenished.")</f>
        <v>Yes - 6 in stock at Store 0146 (size 9). Back room location E-05-5-04 (ZONE E / BAY 05 / SHELF 5 / BIN 04), Top shelf - ladder required. Back room 5 / sales floor 1.</v>
      </c>
    </row>
    <row r="395" customFormat="false" ht="15" hidden="false" customHeight="false" outlineLevel="0" collapsed="false">
      <c r="A395" s="34" t="s">
        <v>987</v>
      </c>
      <c r="B395" s="34" t="s">
        <v>988</v>
      </c>
      <c r="C395" s="34" t="s">
        <v>460</v>
      </c>
      <c r="D395" s="34" t="s">
        <v>182</v>
      </c>
      <c r="E395" s="34" t="s">
        <v>461</v>
      </c>
      <c r="F395" s="34" t="s">
        <v>463</v>
      </c>
      <c r="G395" s="24" t="s">
        <v>211</v>
      </c>
      <c r="H395" s="27" t="n">
        <f aca="false">IFERROR(INDEX('Inventory Master'!$T$2:$T$525,MATCH($A395,'Inventory Master'!$A$2:$A$525,0)),0)</f>
        <v>4</v>
      </c>
      <c r="I395" s="27" t="n">
        <v>2</v>
      </c>
      <c r="J395" s="27" t="n">
        <f aca="false">MAX(0,$H395-$I395)</f>
        <v>2</v>
      </c>
      <c r="K395" s="34" t="str">
        <f aca="false">IF($H395&gt;0,"In Stock","Out of Stock")</f>
        <v>In Stock</v>
      </c>
      <c r="L395" s="24" t="s">
        <v>1861</v>
      </c>
      <c r="M395" s="34" t="s">
        <v>1862</v>
      </c>
      <c r="N395" s="24" t="n">
        <v>5</v>
      </c>
      <c r="O395" s="24" t="n">
        <v>5</v>
      </c>
      <c r="P395" s="24" t="n">
        <v>5</v>
      </c>
      <c r="Q395" s="24" t="str">
        <f aca="false">$L395&amp;"-"&amp;TEXT($N395,"00")&amp;"-"&amp;$O395&amp;"-"&amp;TEXT($P395,"00")</f>
        <v>E-05-5-05</v>
      </c>
      <c r="R395" s="34" t="str">
        <f aca="false">"ZONE "&amp;$L395&amp;" / BAY "&amp;TEXT($N395,"00")&amp;" / SHELF "&amp;$O395&amp;" / BIN "&amp;TEXT($P395,"00")</f>
        <v>ZONE E / BAY 05 / SHELF 5 / BIN 05</v>
      </c>
      <c r="S395" s="34" t="s">
        <v>1848</v>
      </c>
      <c r="T395" s="34" t="s">
        <v>1844</v>
      </c>
      <c r="U395" s="27" t="n">
        <v>394</v>
      </c>
      <c r="V395" s="30" t="n">
        <v>46136</v>
      </c>
      <c r="W395" s="34" t="str">
        <f aca="false">IF($H395&gt;0,"Yes - "&amp;$H395&amp;" in stock at Store 0146 (size "&amp;$G395&amp;"). Back room location "&amp;$Q395&amp;" ("&amp;$R395&amp;"), "&amp;$S395&amp;". Back room "&amp;$J395&amp;" / sales floor "&amp;$I395&amp;".","Not currently in stock at Store 0146 (size "&amp;$G395&amp;"). Home location is "&amp;$Q395&amp;" ("&amp;$R395&amp;") when replenished.")</f>
        <v>Yes - 4 in stock at Store 0146 (size 10). Back room location E-05-5-05 (ZONE E / BAY 05 / SHELF 5 / BIN 05), Top shelf - ladder required. Back room 2 / sales floor 2.</v>
      </c>
    </row>
    <row r="396" customFormat="false" ht="15" hidden="false" customHeight="false" outlineLevel="0" collapsed="false">
      <c r="A396" s="34" t="s">
        <v>944</v>
      </c>
      <c r="B396" s="34" t="s">
        <v>945</v>
      </c>
      <c r="C396" s="34" t="s">
        <v>460</v>
      </c>
      <c r="D396" s="34" t="s">
        <v>182</v>
      </c>
      <c r="E396" s="34" t="s">
        <v>461</v>
      </c>
      <c r="F396" s="34" t="s">
        <v>463</v>
      </c>
      <c r="G396" s="24" t="s">
        <v>258</v>
      </c>
      <c r="H396" s="27" t="n">
        <f aca="false">IFERROR(INDEX('Inventory Master'!$T$2:$T$525,MATCH($A396,'Inventory Master'!$A$2:$A$525,0)),0)</f>
        <v>6</v>
      </c>
      <c r="I396" s="27" t="n">
        <v>1</v>
      </c>
      <c r="J396" s="27" t="n">
        <f aca="false">MAX(0,$H396-$I396)</f>
        <v>5</v>
      </c>
      <c r="K396" s="34" t="str">
        <f aca="false">IF($H396&gt;0,"In Stock","Out of Stock")</f>
        <v>In Stock</v>
      </c>
      <c r="L396" s="24" t="s">
        <v>1861</v>
      </c>
      <c r="M396" s="34" t="s">
        <v>1862</v>
      </c>
      <c r="N396" s="24" t="n">
        <v>5</v>
      </c>
      <c r="O396" s="24" t="n">
        <v>5</v>
      </c>
      <c r="P396" s="24" t="n">
        <v>6</v>
      </c>
      <c r="Q396" s="24" t="str">
        <f aca="false">$L396&amp;"-"&amp;TEXT($N396,"00")&amp;"-"&amp;$O396&amp;"-"&amp;TEXT($P396,"00")</f>
        <v>E-05-5-06</v>
      </c>
      <c r="R396" s="34" t="str">
        <f aca="false">"ZONE "&amp;$L396&amp;" / BAY "&amp;TEXT($N396,"00")&amp;" / SHELF "&amp;$O396&amp;" / BIN "&amp;TEXT($P396,"00")</f>
        <v>ZONE E / BAY 05 / SHELF 5 / BIN 06</v>
      </c>
      <c r="S396" s="34" t="s">
        <v>1848</v>
      </c>
      <c r="T396" s="34" t="s">
        <v>1844</v>
      </c>
      <c r="U396" s="27" t="n">
        <v>395</v>
      </c>
      <c r="V396" s="30" t="n">
        <v>46147</v>
      </c>
      <c r="W396" s="34" t="str">
        <f aca="false">IF($H396&gt;0,"Yes - "&amp;$H396&amp;" in stock at Store 0146 (size "&amp;$G396&amp;"). Back room location "&amp;$Q396&amp;" ("&amp;$R396&amp;"), "&amp;$S396&amp;". Back room "&amp;$J396&amp;" / sales floor "&amp;$I396&amp;".","Not currently in stock at Store 0146 (size "&amp;$G396&amp;"). Home location is "&amp;$Q396&amp;" ("&amp;$R396&amp;") when replenished.")</f>
        <v>Yes - 6 in stock at Store 0146 (size 11). Back room location E-05-5-06 (ZONE E / BAY 05 / SHELF 5 / BIN 06), Top shelf - ladder required. Back room 5 / sales floor 1.</v>
      </c>
    </row>
    <row r="397" customFormat="false" ht="15" hidden="false" customHeight="false" outlineLevel="0" collapsed="false">
      <c r="A397" s="34" t="s">
        <v>1283</v>
      </c>
      <c r="B397" s="34" t="s">
        <v>1284</v>
      </c>
      <c r="C397" s="34" t="s">
        <v>604</v>
      </c>
      <c r="D397" s="34" t="s">
        <v>157</v>
      </c>
      <c r="E397" s="34" t="s">
        <v>605</v>
      </c>
      <c r="F397" s="34" t="s">
        <v>607</v>
      </c>
      <c r="G397" s="24" t="s">
        <v>258</v>
      </c>
      <c r="H397" s="27" t="n">
        <f aca="false">IFERROR(INDEX('Inventory Master'!$T$2:$T$525,MATCH($A397,'Inventory Master'!$A$2:$A$525,0)),0)</f>
        <v>2</v>
      </c>
      <c r="I397" s="27" t="n">
        <v>2</v>
      </c>
      <c r="J397" s="27" t="n">
        <f aca="false">MAX(0,$H397-$I397)</f>
        <v>0</v>
      </c>
      <c r="K397" s="34" t="str">
        <f aca="false">IF($H397&gt;0,"In Stock","Out of Stock")</f>
        <v>In Stock</v>
      </c>
      <c r="L397" s="24" t="s">
        <v>1861</v>
      </c>
      <c r="M397" s="34" t="s">
        <v>1862</v>
      </c>
      <c r="N397" s="24" t="n">
        <v>6</v>
      </c>
      <c r="O397" s="24" t="n">
        <v>1</v>
      </c>
      <c r="P397" s="24" t="n">
        <v>1</v>
      </c>
      <c r="Q397" s="24" t="str">
        <f aca="false">$L397&amp;"-"&amp;TEXT($N397,"00")&amp;"-"&amp;$O397&amp;"-"&amp;TEXT($P397,"00")</f>
        <v>E-06-1-01</v>
      </c>
      <c r="R397" s="34" t="str">
        <f aca="false">"ZONE "&amp;$L397&amp;" / BAY "&amp;TEXT($N397,"00")&amp;" / SHELF "&amp;$O397&amp;" / BIN "&amp;TEXT($P397,"00")</f>
        <v>ZONE E / BAY 06 / SHELF 1 / BIN 01</v>
      </c>
      <c r="S397" s="34" t="s">
        <v>1843</v>
      </c>
      <c r="T397" s="34" t="s">
        <v>1844</v>
      </c>
      <c r="U397" s="27" t="n">
        <v>396</v>
      </c>
      <c r="V397" s="30" t="n">
        <v>46146</v>
      </c>
      <c r="W397" s="34" t="str">
        <f aca="false">IF($H397&gt;0,"Yes - "&amp;$H397&amp;" in stock at Store 0146 (size "&amp;$G397&amp;"). Back room location "&amp;$Q397&amp;" ("&amp;$R397&amp;"), "&amp;$S397&amp;". Back room "&amp;$J397&amp;" / sales floor "&amp;$I397&amp;".","Not currently in stock at Store 0146 (size "&amp;$G397&amp;"). Home location is "&amp;$Q397&amp;" ("&amp;$R397&amp;") when replenished.")</f>
        <v>Yes - 2 in stock at Store 0146 (size 11). Back room location E-06-1-01 (ZONE E / BAY 06 / SHELF 1 / BIN 01), Floor level - no reach. Back room 0 / sales floor 2.</v>
      </c>
    </row>
    <row r="398" customFormat="false" ht="15" hidden="false" customHeight="false" outlineLevel="0" collapsed="false">
      <c r="A398" s="34" t="s">
        <v>1703</v>
      </c>
      <c r="B398" s="34" t="s">
        <v>1704</v>
      </c>
      <c r="C398" s="34" t="s">
        <v>604</v>
      </c>
      <c r="D398" s="34" t="s">
        <v>157</v>
      </c>
      <c r="E398" s="34" t="s">
        <v>605</v>
      </c>
      <c r="F398" s="34" t="s">
        <v>607</v>
      </c>
      <c r="G398" s="24" t="s">
        <v>141</v>
      </c>
      <c r="H398" s="27" t="n">
        <f aca="false">IFERROR(INDEX('Inventory Master'!$T$2:$T$525,MATCH($A398,'Inventory Master'!$A$2:$A$525,0)),0)</f>
        <v>0</v>
      </c>
      <c r="I398" s="27" t="n">
        <v>0</v>
      </c>
      <c r="J398" s="27" t="n">
        <f aca="false">MAX(0,$H398-$I398)</f>
        <v>0</v>
      </c>
      <c r="K398" s="34" t="str">
        <f aca="false">IF($H398&gt;0,"In Stock","Out of Stock")</f>
        <v>Out of Stock</v>
      </c>
      <c r="L398" s="24" t="s">
        <v>1861</v>
      </c>
      <c r="M398" s="34" t="s">
        <v>1862</v>
      </c>
      <c r="N398" s="24" t="n">
        <v>6</v>
      </c>
      <c r="O398" s="24" t="n">
        <v>1</v>
      </c>
      <c r="P398" s="24" t="n">
        <v>2</v>
      </c>
      <c r="Q398" s="24" t="str">
        <f aca="false">$L398&amp;"-"&amp;TEXT($N398,"00")&amp;"-"&amp;$O398&amp;"-"&amp;TEXT($P398,"00")</f>
        <v>E-06-1-02</v>
      </c>
      <c r="R398" s="34" t="str">
        <f aca="false">"ZONE "&amp;$L398&amp;" / BAY "&amp;TEXT($N398,"00")&amp;" / SHELF "&amp;$O398&amp;" / BIN "&amp;TEXT($P398,"00")</f>
        <v>ZONE E / BAY 06 / SHELF 1 / BIN 02</v>
      </c>
      <c r="S398" s="34" t="s">
        <v>1843</v>
      </c>
      <c r="T398" s="34" t="s">
        <v>1844</v>
      </c>
      <c r="U398" s="27" t="n">
        <v>397</v>
      </c>
      <c r="V398" s="30" t="n">
        <v>46229</v>
      </c>
      <c r="W398" s="34" t="str">
        <f aca="false">IF($H398&gt;0,"Yes - "&amp;$H398&amp;" in stock at Store 0146 (size "&amp;$G398&amp;"). Back room location "&amp;$Q398&amp;" ("&amp;$R398&amp;"), "&amp;$S398&amp;". Back room "&amp;$J398&amp;" / sales floor "&amp;$I398&amp;".","Not currently in stock at Store 0146 (size "&amp;$G398&amp;"). Home location is "&amp;$Q398&amp;" ("&amp;$R398&amp;") when replenished.")</f>
        <v>Not currently in stock at Store 0146 (size 11.5). Home location is E-06-1-02 (ZONE E / BAY 06 / SHELF 1 / BIN 02) when replenished.</v>
      </c>
    </row>
    <row r="399" customFormat="false" ht="15" hidden="false" customHeight="false" outlineLevel="0" collapsed="false">
      <c r="A399" s="34" t="s">
        <v>602</v>
      </c>
      <c r="B399" s="34" t="s">
        <v>603</v>
      </c>
      <c r="C399" s="34" t="s">
        <v>604</v>
      </c>
      <c r="D399" s="34" t="s">
        <v>157</v>
      </c>
      <c r="E399" s="34" t="s">
        <v>605</v>
      </c>
      <c r="F399" s="34" t="s">
        <v>607</v>
      </c>
      <c r="G399" s="24" t="s">
        <v>130</v>
      </c>
      <c r="H399" s="27" t="n">
        <f aca="false">IFERROR(INDEX('Inventory Master'!$T$2:$T$525,MATCH($A399,'Inventory Master'!$A$2:$A$525,0)),0)</f>
        <v>2</v>
      </c>
      <c r="I399" s="27" t="n">
        <v>2</v>
      </c>
      <c r="J399" s="27" t="n">
        <f aca="false">MAX(0,$H399-$I399)</f>
        <v>0</v>
      </c>
      <c r="K399" s="34" t="str">
        <f aca="false">IF($H399&gt;0,"In Stock","Out of Stock")</f>
        <v>In Stock</v>
      </c>
      <c r="L399" s="24" t="s">
        <v>1861</v>
      </c>
      <c r="M399" s="34" t="s">
        <v>1862</v>
      </c>
      <c r="N399" s="24" t="n">
        <v>6</v>
      </c>
      <c r="O399" s="24" t="n">
        <v>1</v>
      </c>
      <c r="P399" s="24" t="n">
        <v>3</v>
      </c>
      <c r="Q399" s="24" t="str">
        <f aca="false">$L399&amp;"-"&amp;TEXT($N399,"00")&amp;"-"&amp;$O399&amp;"-"&amp;TEXT($P399,"00")</f>
        <v>E-06-1-03</v>
      </c>
      <c r="R399" s="34" t="str">
        <f aca="false">"ZONE "&amp;$L399&amp;" / BAY "&amp;TEXT($N399,"00")&amp;" / SHELF "&amp;$O399&amp;" / BIN "&amp;TEXT($P399,"00")</f>
        <v>ZONE E / BAY 06 / SHELF 1 / BIN 03</v>
      </c>
      <c r="S399" s="34" t="s">
        <v>1843</v>
      </c>
      <c r="T399" s="34" t="s">
        <v>1844</v>
      </c>
      <c r="U399" s="27" t="n">
        <v>398</v>
      </c>
      <c r="V399" s="30" t="n">
        <v>46159</v>
      </c>
      <c r="W399" s="34" t="str">
        <f aca="false">IF($H399&gt;0,"Yes - "&amp;$H399&amp;" in stock at Store 0146 (size "&amp;$G399&amp;"). Back room location "&amp;$Q399&amp;" ("&amp;$R399&amp;"), "&amp;$S399&amp;". Back room "&amp;$J399&amp;" / sales floor "&amp;$I399&amp;".","Not currently in stock at Store 0146 (size "&amp;$G399&amp;"). Home location is "&amp;$Q399&amp;" ("&amp;$R399&amp;") when replenished.")</f>
        <v>Yes - 2 in stock at Store 0146 (size 12). Back room location E-06-1-03 (ZONE E / BAY 06 / SHELF 1 / BIN 03), Floor level - no reach. Back room 0 / sales floor 2.</v>
      </c>
    </row>
    <row r="400" customFormat="false" ht="15" hidden="false" customHeight="false" outlineLevel="0" collapsed="false">
      <c r="A400" s="34" t="s">
        <v>1544</v>
      </c>
      <c r="B400" s="34" t="s">
        <v>1545</v>
      </c>
      <c r="C400" s="34" t="s">
        <v>604</v>
      </c>
      <c r="D400" s="34" t="s">
        <v>157</v>
      </c>
      <c r="E400" s="34" t="s">
        <v>605</v>
      </c>
      <c r="F400" s="34" t="s">
        <v>607</v>
      </c>
      <c r="G400" s="24" t="s">
        <v>115</v>
      </c>
      <c r="H400" s="27" t="n">
        <f aca="false">IFERROR(INDEX('Inventory Master'!$T$2:$T$525,MATCH($A400,'Inventory Master'!$A$2:$A$525,0)),0)</f>
        <v>2</v>
      </c>
      <c r="I400" s="27" t="n">
        <v>2</v>
      </c>
      <c r="J400" s="27" t="n">
        <f aca="false">MAX(0,$H400-$I400)</f>
        <v>0</v>
      </c>
      <c r="K400" s="34" t="str">
        <f aca="false">IF($H400&gt;0,"In Stock","Out of Stock")</f>
        <v>In Stock</v>
      </c>
      <c r="L400" s="24" t="s">
        <v>1861</v>
      </c>
      <c r="M400" s="34" t="s">
        <v>1862</v>
      </c>
      <c r="N400" s="24" t="n">
        <v>6</v>
      </c>
      <c r="O400" s="24" t="n">
        <v>1</v>
      </c>
      <c r="P400" s="24" t="n">
        <v>4</v>
      </c>
      <c r="Q400" s="24" t="str">
        <f aca="false">$L400&amp;"-"&amp;TEXT($N400,"00")&amp;"-"&amp;$O400&amp;"-"&amp;TEXT($P400,"00")</f>
        <v>E-06-1-04</v>
      </c>
      <c r="R400" s="34" t="str">
        <f aca="false">"ZONE "&amp;$L400&amp;" / BAY "&amp;TEXT($N400,"00")&amp;" / SHELF "&amp;$O400&amp;" / BIN "&amp;TEXT($P400,"00")</f>
        <v>ZONE E / BAY 06 / SHELF 1 / BIN 04</v>
      </c>
      <c r="S400" s="34" t="s">
        <v>1843</v>
      </c>
      <c r="T400" s="34" t="s">
        <v>1844</v>
      </c>
      <c r="U400" s="27" t="n">
        <v>399</v>
      </c>
      <c r="V400" s="30" t="n">
        <v>46180</v>
      </c>
      <c r="W400" s="34" t="str">
        <f aca="false">IF($H400&gt;0,"Yes - "&amp;$H400&amp;" in stock at Store 0146 (size "&amp;$G400&amp;"). Back room location "&amp;$Q400&amp;" ("&amp;$R400&amp;"), "&amp;$S400&amp;". Back room "&amp;$J400&amp;" / sales floor "&amp;$I400&amp;".","Not currently in stock at Store 0146 (size "&amp;$G400&amp;"). Home location is "&amp;$Q400&amp;" ("&amp;$R400&amp;") when replenished.")</f>
        <v>Yes - 2 in stock at Store 0146 (size 13). Back room location E-06-1-04 (ZONE E / BAY 06 / SHELF 1 / BIN 04), Floor level - no reach. Back room 0 / sales floor 2.</v>
      </c>
    </row>
    <row r="401" customFormat="false" ht="15" hidden="false" customHeight="false" outlineLevel="0" collapsed="false">
      <c r="A401" s="34" t="s">
        <v>904</v>
      </c>
      <c r="B401" s="34" t="s">
        <v>905</v>
      </c>
      <c r="C401" s="34" t="s">
        <v>730</v>
      </c>
      <c r="D401" s="34" t="s">
        <v>157</v>
      </c>
      <c r="E401" s="34" t="s">
        <v>731</v>
      </c>
      <c r="F401" s="34" t="s">
        <v>733</v>
      </c>
      <c r="G401" s="24" t="s">
        <v>258</v>
      </c>
      <c r="H401" s="27" t="n">
        <f aca="false">IFERROR(INDEX('Inventory Master'!$T$2:$T$525,MATCH($A401,'Inventory Master'!$A$2:$A$525,0)),0)</f>
        <v>0</v>
      </c>
      <c r="I401" s="27" t="n">
        <v>0</v>
      </c>
      <c r="J401" s="27" t="n">
        <f aca="false">MAX(0,$H401-$I401)</f>
        <v>0</v>
      </c>
      <c r="K401" s="34" t="str">
        <f aca="false">IF($H401&gt;0,"In Stock","Out of Stock")</f>
        <v>Out of Stock</v>
      </c>
      <c r="L401" s="24" t="s">
        <v>1861</v>
      </c>
      <c r="M401" s="34" t="s">
        <v>1862</v>
      </c>
      <c r="N401" s="24" t="n">
        <v>6</v>
      </c>
      <c r="O401" s="24" t="n">
        <v>2</v>
      </c>
      <c r="P401" s="24" t="n">
        <v>1</v>
      </c>
      <c r="Q401" s="24" t="str">
        <f aca="false">$L401&amp;"-"&amp;TEXT($N401,"00")&amp;"-"&amp;$O401&amp;"-"&amp;TEXT($P401,"00")</f>
        <v>E-06-2-01</v>
      </c>
      <c r="R401" s="34" t="str">
        <f aca="false">"ZONE "&amp;$L401&amp;" / BAY "&amp;TEXT($N401,"00")&amp;" / SHELF "&amp;$O401&amp;" / BIN "&amp;TEXT($P401,"00")</f>
        <v>ZONE E / BAY 06 / SHELF 2 / BIN 01</v>
      </c>
      <c r="S401" s="34" t="s">
        <v>1845</v>
      </c>
      <c r="T401" s="34" t="s">
        <v>1844</v>
      </c>
      <c r="U401" s="27" t="n">
        <v>400</v>
      </c>
      <c r="V401" s="30" t="n">
        <v>46224</v>
      </c>
      <c r="W401" s="34" t="str">
        <f aca="false">IF($H401&gt;0,"Yes - "&amp;$H401&amp;" in stock at Store 0146 (size "&amp;$G401&amp;"). Back room location "&amp;$Q401&amp;" ("&amp;$R401&amp;"), "&amp;$S401&amp;". Back room "&amp;$J401&amp;" / sales floor "&amp;$I401&amp;".","Not currently in stock at Store 0146 (size "&amp;$G401&amp;"). Home location is "&amp;$Q401&amp;" ("&amp;$R401&amp;") when replenished.")</f>
        <v>Not currently in stock at Store 0146 (size 11). Home location is E-06-2-01 (ZONE E / BAY 06 / SHELF 2 / BIN 01) when replenished.</v>
      </c>
    </row>
    <row r="402" customFormat="false" ht="15" hidden="false" customHeight="false" outlineLevel="0" collapsed="false">
      <c r="A402" s="34" t="s">
        <v>1304</v>
      </c>
      <c r="B402" s="34" t="s">
        <v>1305</v>
      </c>
      <c r="C402" s="34" t="s">
        <v>730</v>
      </c>
      <c r="D402" s="34" t="s">
        <v>157</v>
      </c>
      <c r="E402" s="34" t="s">
        <v>731</v>
      </c>
      <c r="F402" s="34" t="s">
        <v>733</v>
      </c>
      <c r="G402" s="24" t="s">
        <v>141</v>
      </c>
      <c r="H402" s="27" t="n">
        <f aca="false">IFERROR(INDEX('Inventory Master'!$T$2:$T$525,MATCH($A402,'Inventory Master'!$A$2:$A$525,0)),0)</f>
        <v>1</v>
      </c>
      <c r="I402" s="27" t="n">
        <v>1</v>
      </c>
      <c r="J402" s="27" t="n">
        <f aca="false">MAX(0,$H402-$I402)</f>
        <v>0</v>
      </c>
      <c r="K402" s="34" t="str">
        <f aca="false">IF($H402&gt;0,"In Stock","Out of Stock")</f>
        <v>In Stock</v>
      </c>
      <c r="L402" s="24" t="s">
        <v>1861</v>
      </c>
      <c r="M402" s="34" t="s">
        <v>1862</v>
      </c>
      <c r="N402" s="24" t="n">
        <v>6</v>
      </c>
      <c r="O402" s="24" t="n">
        <v>2</v>
      </c>
      <c r="P402" s="24" t="n">
        <v>2</v>
      </c>
      <c r="Q402" s="24" t="str">
        <f aca="false">$L402&amp;"-"&amp;TEXT($N402,"00")&amp;"-"&amp;$O402&amp;"-"&amp;TEXT($P402,"00")</f>
        <v>E-06-2-02</v>
      </c>
      <c r="R402" s="34" t="str">
        <f aca="false">"ZONE "&amp;$L402&amp;" / BAY "&amp;TEXT($N402,"00")&amp;" / SHELF "&amp;$O402&amp;" / BIN "&amp;TEXT($P402,"00")</f>
        <v>ZONE E / BAY 06 / SHELF 2 / BIN 02</v>
      </c>
      <c r="S402" s="34" t="s">
        <v>1845</v>
      </c>
      <c r="T402" s="34" t="s">
        <v>1844</v>
      </c>
      <c r="U402" s="27" t="n">
        <v>401</v>
      </c>
      <c r="V402" s="30" t="n">
        <v>46189</v>
      </c>
      <c r="W402" s="34" t="str">
        <f aca="false">IF($H402&gt;0,"Yes - "&amp;$H402&amp;" in stock at Store 0146 (size "&amp;$G402&amp;"). Back room location "&amp;$Q402&amp;" ("&amp;$R402&amp;"), "&amp;$S402&amp;". Back room "&amp;$J402&amp;" / sales floor "&amp;$I402&amp;".","Not currently in stock at Store 0146 (size "&amp;$G402&amp;"). Home location is "&amp;$Q402&amp;" ("&amp;$R402&amp;") when replenished.")</f>
        <v>Yes - 1 in stock at Store 0146 (size 11.5). Back room location E-06-2-02 (ZONE E / BAY 06 / SHELF 2 / BIN 02), Waist height. Back room 0 / sales floor 1.</v>
      </c>
    </row>
    <row r="403" customFormat="false" ht="15" hidden="false" customHeight="false" outlineLevel="0" collapsed="false">
      <c r="A403" s="34" t="s">
        <v>1813</v>
      </c>
      <c r="B403" s="34" t="s">
        <v>1814</v>
      </c>
      <c r="C403" s="34" t="s">
        <v>730</v>
      </c>
      <c r="D403" s="34" t="s">
        <v>157</v>
      </c>
      <c r="E403" s="34" t="s">
        <v>731</v>
      </c>
      <c r="F403" s="34" t="s">
        <v>733</v>
      </c>
      <c r="G403" s="24" t="s">
        <v>130</v>
      </c>
      <c r="H403" s="27" t="n">
        <f aca="false">IFERROR(INDEX('Inventory Master'!$T$2:$T$525,MATCH($A403,'Inventory Master'!$A$2:$A$525,0)),0)</f>
        <v>6</v>
      </c>
      <c r="I403" s="27" t="n">
        <v>2</v>
      </c>
      <c r="J403" s="27" t="n">
        <f aca="false">MAX(0,$H403-$I403)</f>
        <v>4</v>
      </c>
      <c r="K403" s="34" t="str">
        <f aca="false">IF($H403&gt;0,"In Stock","Out of Stock")</f>
        <v>In Stock</v>
      </c>
      <c r="L403" s="24" t="s">
        <v>1861</v>
      </c>
      <c r="M403" s="34" t="s">
        <v>1862</v>
      </c>
      <c r="N403" s="24" t="n">
        <v>6</v>
      </c>
      <c r="O403" s="24" t="n">
        <v>2</v>
      </c>
      <c r="P403" s="24" t="n">
        <v>3</v>
      </c>
      <c r="Q403" s="24" t="str">
        <f aca="false">$L403&amp;"-"&amp;TEXT($N403,"00")&amp;"-"&amp;$O403&amp;"-"&amp;TEXT($P403,"00")</f>
        <v>E-06-2-03</v>
      </c>
      <c r="R403" s="34" t="str">
        <f aca="false">"ZONE "&amp;$L403&amp;" / BAY "&amp;TEXT($N403,"00")&amp;" / SHELF "&amp;$O403&amp;" / BIN "&amp;TEXT($P403,"00")</f>
        <v>ZONE E / BAY 06 / SHELF 2 / BIN 03</v>
      </c>
      <c r="S403" s="34" t="s">
        <v>1845</v>
      </c>
      <c r="T403" s="34" t="s">
        <v>1844</v>
      </c>
      <c r="U403" s="27" t="n">
        <v>402</v>
      </c>
      <c r="V403" s="30" t="n">
        <v>46170</v>
      </c>
      <c r="W403" s="34" t="str">
        <f aca="false">IF($H403&gt;0,"Yes - "&amp;$H403&amp;" in stock at Store 0146 (size "&amp;$G403&amp;"). Back room location "&amp;$Q403&amp;" ("&amp;$R403&amp;"), "&amp;$S403&amp;". Back room "&amp;$J403&amp;" / sales floor "&amp;$I403&amp;".","Not currently in stock at Store 0146 (size "&amp;$G403&amp;"). Home location is "&amp;$Q403&amp;" ("&amp;$R403&amp;") when replenished.")</f>
        <v>Yes - 6 in stock at Store 0146 (size 12). Back room location E-06-2-03 (ZONE E / BAY 06 / SHELF 2 / BIN 03), Waist height. Back room 4 / sales floor 2.</v>
      </c>
    </row>
    <row r="404" customFormat="false" ht="15" hidden="false" customHeight="false" outlineLevel="0" collapsed="false">
      <c r="A404" s="34" t="s">
        <v>728</v>
      </c>
      <c r="B404" s="34" t="s">
        <v>729</v>
      </c>
      <c r="C404" s="34" t="s">
        <v>730</v>
      </c>
      <c r="D404" s="34" t="s">
        <v>157</v>
      </c>
      <c r="E404" s="34" t="s">
        <v>731</v>
      </c>
      <c r="F404" s="34" t="s">
        <v>733</v>
      </c>
      <c r="G404" s="24" t="s">
        <v>115</v>
      </c>
      <c r="H404" s="27" t="n">
        <f aca="false">IFERROR(INDEX('Inventory Master'!$T$2:$T$525,MATCH($A404,'Inventory Master'!$A$2:$A$525,0)),0)</f>
        <v>4</v>
      </c>
      <c r="I404" s="27" t="n">
        <v>1</v>
      </c>
      <c r="J404" s="27" t="n">
        <f aca="false">MAX(0,$H404-$I404)</f>
        <v>3</v>
      </c>
      <c r="K404" s="34" t="str">
        <f aca="false">IF($H404&gt;0,"In Stock","Out of Stock")</f>
        <v>In Stock</v>
      </c>
      <c r="L404" s="24" t="s">
        <v>1861</v>
      </c>
      <c r="M404" s="34" t="s">
        <v>1862</v>
      </c>
      <c r="N404" s="24" t="n">
        <v>6</v>
      </c>
      <c r="O404" s="24" t="n">
        <v>2</v>
      </c>
      <c r="P404" s="24" t="n">
        <v>4</v>
      </c>
      <c r="Q404" s="24" t="str">
        <f aca="false">$L404&amp;"-"&amp;TEXT($N404,"00")&amp;"-"&amp;$O404&amp;"-"&amp;TEXT($P404,"00")</f>
        <v>E-06-2-04</v>
      </c>
      <c r="R404" s="34" t="str">
        <f aca="false">"ZONE "&amp;$L404&amp;" / BAY "&amp;TEXT($N404,"00")&amp;" / SHELF "&amp;$O404&amp;" / BIN "&amp;TEXT($P404,"00")</f>
        <v>ZONE E / BAY 06 / SHELF 2 / BIN 04</v>
      </c>
      <c r="S404" s="34" t="s">
        <v>1845</v>
      </c>
      <c r="T404" s="34" t="s">
        <v>1844</v>
      </c>
      <c r="U404" s="27" t="n">
        <v>403</v>
      </c>
      <c r="V404" s="30" t="n">
        <v>46208</v>
      </c>
      <c r="W404" s="34" t="str">
        <f aca="false">IF($H404&gt;0,"Yes - "&amp;$H404&amp;" in stock at Store 0146 (size "&amp;$G404&amp;"). Back room location "&amp;$Q404&amp;" ("&amp;$R404&amp;"), "&amp;$S404&amp;". Back room "&amp;$J404&amp;" / sales floor "&amp;$I404&amp;".","Not currently in stock at Store 0146 (size "&amp;$G404&amp;"). Home location is "&amp;$Q404&amp;" ("&amp;$R404&amp;") when replenished.")</f>
        <v>Yes - 4 in stock at Store 0146 (size 13). Back room location E-06-2-04 (ZONE E / BAY 06 / SHELF 2 / BIN 04), Waist height. Back room 3 / sales floor 1.</v>
      </c>
    </row>
    <row r="405" customFormat="false" ht="15" hidden="false" customHeight="false" outlineLevel="0" collapsed="false">
      <c r="A405" s="34" t="s">
        <v>154</v>
      </c>
      <c r="B405" s="34" t="s">
        <v>155</v>
      </c>
      <c r="C405" s="34" t="s">
        <v>156</v>
      </c>
      <c r="D405" s="34" t="s">
        <v>157</v>
      </c>
      <c r="E405" s="34" t="s">
        <v>158</v>
      </c>
      <c r="F405" s="34" t="s">
        <v>160</v>
      </c>
      <c r="G405" s="24" t="s">
        <v>164</v>
      </c>
      <c r="H405" s="27" t="n">
        <f aca="false">IFERROR(INDEX('Inventory Master'!$T$2:$T$525,MATCH($A405,'Inventory Master'!$A$2:$A$525,0)),0)</f>
        <v>2</v>
      </c>
      <c r="I405" s="27" t="n">
        <v>1</v>
      </c>
      <c r="J405" s="27" t="n">
        <f aca="false">MAX(0,$H405-$I405)</f>
        <v>1</v>
      </c>
      <c r="K405" s="34" t="str">
        <f aca="false">IF($H405&gt;0,"In Stock","Out of Stock")</f>
        <v>In Stock</v>
      </c>
      <c r="L405" s="24" t="s">
        <v>1861</v>
      </c>
      <c r="M405" s="34" t="s">
        <v>1862</v>
      </c>
      <c r="N405" s="24" t="n">
        <v>6</v>
      </c>
      <c r="O405" s="24" t="n">
        <v>3</v>
      </c>
      <c r="P405" s="24" t="n">
        <v>1</v>
      </c>
      <c r="Q405" s="24" t="str">
        <f aca="false">$L405&amp;"-"&amp;TEXT($N405,"00")&amp;"-"&amp;$O405&amp;"-"&amp;TEXT($P405,"00")</f>
        <v>E-06-3-01</v>
      </c>
      <c r="R405" s="34" t="str">
        <f aca="false">"ZONE "&amp;$L405&amp;" / BAY "&amp;TEXT($N405,"00")&amp;" / SHELF "&amp;$O405&amp;" / BIN "&amp;TEXT($P405,"00")</f>
        <v>ZONE E / BAY 06 / SHELF 3 / BIN 01</v>
      </c>
      <c r="S405" s="34" t="s">
        <v>1846</v>
      </c>
      <c r="T405" s="34" t="s">
        <v>1844</v>
      </c>
      <c r="U405" s="27" t="n">
        <v>404</v>
      </c>
      <c r="V405" s="30" t="n">
        <v>46207</v>
      </c>
      <c r="W405" s="34" t="str">
        <f aca="false">IF($H405&gt;0,"Yes - "&amp;$H405&amp;" in stock at Store 0146 (size "&amp;$G405&amp;"). Back room location "&amp;$Q405&amp;" ("&amp;$R405&amp;"), "&amp;$S405&amp;". Back room "&amp;$J405&amp;" / sales floor "&amp;$I405&amp;".","Not currently in stock at Store 0146 (size "&amp;$G405&amp;"). Home location is "&amp;$Q405&amp;" ("&amp;$R405&amp;") when replenished.")</f>
        <v>Yes - 2 in stock at Store 0146 (size 9). Back room location E-06-3-01 (ZONE E / BAY 06 / SHELF 3 / BIN 01), Eye level. Back room 1 / sales floor 1.</v>
      </c>
    </row>
    <row r="406" customFormat="false" ht="15" hidden="false" customHeight="false" outlineLevel="0" collapsed="false">
      <c r="A406" s="34" t="s">
        <v>1428</v>
      </c>
      <c r="B406" s="34" t="s">
        <v>1429</v>
      </c>
      <c r="C406" s="34" t="s">
        <v>156</v>
      </c>
      <c r="D406" s="34" t="s">
        <v>157</v>
      </c>
      <c r="E406" s="34" t="s">
        <v>158</v>
      </c>
      <c r="F406" s="34" t="s">
        <v>160</v>
      </c>
      <c r="G406" s="24" t="s">
        <v>177</v>
      </c>
      <c r="H406" s="27" t="n">
        <f aca="false">IFERROR(INDEX('Inventory Master'!$T$2:$T$525,MATCH($A406,'Inventory Master'!$A$2:$A$525,0)),0)</f>
        <v>3</v>
      </c>
      <c r="I406" s="27" t="n">
        <v>1</v>
      </c>
      <c r="J406" s="27" t="n">
        <f aca="false">MAX(0,$H406-$I406)</f>
        <v>2</v>
      </c>
      <c r="K406" s="34" t="str">
        <f aca="false">IF($H406&gt;0,"In Stock","Out of Stock")</f>
        <v>In Stock</v>
      </c>
      <c r="L406" s="24" t="s">
        <v>1861</v>
      </c>
      <c r="M406" s="34" t="s">
        <v>1862</v>
      </c>
      <c r="N406" s="24" t="n">
        <v>6</v>
      </c>
      <c r="O406" s="24" t="n">
        <v>3</v>
      </c>
      <c r="P406" s="24" t="n">
        <v>2</v>
      </c>
      <c r="Q406" s="24" t="str">
        <f aca="false">$L406&amp;"-"&amp;TEXT($N406,"00")&amp;"-"&amp;$O406&amp;"-"&amp;TEXT($P406,"00")</f>
        <v>E-06-3-02</v>
      </c>
      <c r="R406" s="34" t="str">
        <f aca="false">"ZONE "&amp;$L406&amp;" / BAY "&amp;TEXT($N406,"00")&amp;" / SHELF "&amp;$O406&amp;" / BIN "&amp;TEXT($P406,"00")</f>
        <v>ZONE E / BAY 06 / SHELF 3 / BIN 02</v>
      </c>
      <c r="S406" s="34" t="s">
        <v>1846</v>
      </c>
      <c r="T406" s="34" t="s">
        <v>1844</v>
      </c>
      <c r="U406" s="27" t="n">
        <v>405</v>
      </c>
      <c r="V406" s="30" t="n">
        <v>46158</v>
      </c>
      <c r="W406" s="34" t="str">
        <f aca="false">IF($H406&gt;0,"Yes - "&amp;$H406&amp;" in stock at Store 0146 (size "&amp;$G406&amp;"). Back room location "&amp;$Q406&amp;" ("&amp;$R406&amp;"), "&amp;$S406&amp;". Back room "&amp;$J406&amp;" / sales floor "&amp;$I406&amp;".","Not currently in stock at Store 0146 (size "&amp;$G406&amp;"). Home location is "&amp;$Q406&amp;" ("&amp;$R406&amp;") when replenished.")</f>
        <v>Yes - 3 in stock at Store 0146 (size 9.5). Back room location E-06-3-02 (ZONE E / BAY 06 / SHELF 3 / BIN 02), Eye level. Back room 2 / sales floor 1.</v>
      </c>
    </row>
    <row r="407" customFormat="false" ht="15" hidden="false" customHeight="false" outlineLevel="0" collapsed="false">
      <c r="A407" s="34" t="s">
        <v>1239</v>
      </c>
      <c r="B407" s="34" t="s">
        <v>1240</v>
      </c>
      <c r="C407" s="34" t="s">
        <v>156</v>
      </c>
      <c r="D407" s="34" t="s">
        <v>157</v>
      </c>
      <c r="E407" s="34" t="s">
        <v>158</v>
      </c>
      <c r="F407" s="34" t="s">
        <v>160</v>
      </c>
      <c r="G407" s="24" t="s">
        <v>211</v>
      </c>
      <c r="H407" s="27" t="n">
        <f aca="false">IFERROR(INDEX('Inventory Master'!$T$2:$T$525,MATCH($A407,'Inventory Master'!$A$2:$A$525,0)),0)</f>
        <v>2</v>
      </c>
      <c r="I407" s="27" t="n">
        <v>1</v>
      </c>
      <c r="J407" s="27" t="n">
        <f aca="false">MAX(0,$H407-$I407)</f>
        <v>1</v>
      </c>
      <c r="K407" s="34" t="str">
        <f aca="false">IF($H407&gt;0,"In Stock","Out of Stock")</f>
        <v>In Stock</v>
      </c>
      <c r="L407" s="24" t="s">
        <v>1861</v>
      </c>
      <c r="M407" s="34" t="s">
        <v>1862</v>
      </c>
      <c r="N407" s="24" t="n">
        <v>6</v>
      </c>
      <c r="O407" s="24" t="n">
        <v>3</v>
      </c>
      <c r="P407" s="24" t="n">
        <v>3</v>
      </c>
      <c r="Q407" s="24" t="str">
        <f aca="false">$L407&amp;"-"&amp;TEXT($N407,"00")&amp;"-"&amp;$O407&amp;"-"&amp;TEXT($P407,"00")</f>
        <v>E-06-3-03</v>
      </c>
      <c r="R407" s="34" t="str">
        <f aca="false">"ZONE "&amp;$L407&amp;" / BAY "&amp;TEXT($N407,"00")&amp;" / SHELF "&amp;$O407&amp;" / BIN "&amp;TEXT($P407,"00")</f>
        <v>ZONE E / BAY 06 / SHELF 3 / BIN 03</v>
      </c>
      <c r="S407" s="34" t="s">
        <v>1846</v>
      </c>
      <c r="T407" s="34" t="s">
        <v>1844</v>
      </c>
      <c r="U407" s="27" t="n">
        <v>406</v>
      </c>
      <c r="V407" s="30" t="n">
        <v>46218</v>
      </c>
      <c r="W407" s="34" t="str">
        <f aca="false">IF($H407&gt;0,"Yes - "&amp;$H407&amp;" in stock at Store 0146 (size "&amp;$G407&amp;"). Back room location "&amp;$Q407&amp;" ("&amp;$R407&amp;"), "&amp;$S407&amp;". Back room "&amp;$J407&amp;" / sales floor "&amp;$I407&amp;".","Not currently in stock at Store 0146 (size "&amp;$G407&amp;"). Home location is "&amp;$Q407&amp;" ("&amp;$R407&amp;") when replenished.")</f>
        <v>Yes - 2 in stock at Store 0146 (size 10). Back room location E-06-3-03 (ZONE E / BAY 06 / SHELF 3 / BIN 03), Eye level. Back room 1 / sales floor 1.</v>
      </c>
    </row>
    <row r="408" customFormat="false" ht="15" hidden="false" customHeight="false" outlineLevel="0" collapsed="false">
      <c r="A408" s="34" t="s">
        <v>1200</v>
      </c>
      <c r="B408" s="34" t="s">
        <v>1201</v>
      </c>
      <c r="C408" s="34" t="s">
        <v>156</v>
      </c>
      <c r="D408" s="34" t="s">
        <v>157</v>
      </c>
      <c r="E408" s="34" t="s">
        <v>158</v>
      </c>
      <c r="F408" s="34" t="s">
        <v>160</v>
      </c>
      <c r="G408" s="24" t="s">
        <v>327</v>
      </c>
      <c r="H408" s="27" t="n">
        <f aca="false">IFERROR(INDEX('Inventory Master'!$T$2:$T$525,MATCH($A408,'Inventory Master'!$A$2:$A$525,0)),0)</f>
        <v>0</v>
      </c>
      <c r="I408" s="27" t="n">
        <v>0</v>
      </c>
      <c r="J408" s="27" t="n">
        <f aca="false">MAX(0,$H408-$I408)</f>
        <v>0</v>
      </c>
      <c r="K408" s="34" t="str">
        <f aca="false">IF($H408&gt;0,"In Stock","Out of Stock")</f>
        <v>Out of Stock</v>
      </c>
      <c r="L408" s="24" t="s">
        <v>1861</v>
      </c>
      <c r="M408" s="34" t="s">
        <v>1862</v>
      </c>
      <c r="N408" s="24" t="n">
        <v>6</v>
      </c>
      <c r="O408" s="24" t="n">
        <v>3</v>
      </c>
      <c r="P408" s="24" t="n">
        <v>4</v>
      </c>
      <c r="Q408" s="24" t="str">
        <f aca="false">$L408&amp;"-"&amp;TEXT($N408,"00")&amp;"-"&amp;$O408&amp;"-"&amp;TEXT($P408,"00")</f>
        <v>E-06-3-04</v>
      </c>
      <c r="R408" s="34" t="str">
        <f aca="false">"ZONE "&amp;$L408&amp;" / BAY "&amp;TEXT($N408,"00")&amp;" / SHELF "&amp;$O408&amp;" / BIN "&amp;TEXT($P408,"00")</f>
        <v>ZONE E / BAY 06 / SHELF 3 / BIN 04</v>
      </c>
      <c r="S408" s="34" t="s">
        <v>1846</v>
      </c>
      <c r="T408" s="34" t="s">
        <v>1844</v>
      </c>
      <c r="U408" s="27" t="n">
        <v>407</v>
      </c>
      <c r="V408" s="30" t="n">
        <v>46156</v>
      </c>
      <c r="W408" s="34" t="str">
        <f aca="false">IF($H408&gt;0,"Yes - "&amp;$H408&amp;" in stock at Store 0146 (size "&amp;$G408&amp;"). Back room location "&amp;$Q408&amp;" ("&amp;$R408&amp;"), "&amp;$S408&amp;". Back room "&amp;$J408&amp;" / sales floor "&amp;$I408&amp;".","Not currently in stock at Store 0146 (size "&amp;$G408&amp;"). Home location is "&amp;$Q408&amp;" ("&amp;$R408&amp;") when replenished.")</f>
        <v>Not currently in stock at Store 0146 (size 10.5). Home location is E-06-3-04 (ZONE E / BAY 06 / SHELF 3 / BIN 04) when replenished.</v>
      </c>
    </row>
    <row r="409" customFormat="false" ht="15" hidden="false" customHeight="false" outlineLevel="0" collapsed="false">
      <c r="A409" s="34" t="s">
        <v>492</v>
      </c>
      <c r="B409" s="34" t="s">
        <v>493</v>
      </c>
      <c r="C409" s="34" t="s">
        <v>494</v>
      </c>
      <c r="D409" s="34" t="s">
        <v>157</v>
      </c>
      <c r="E409" s="34" t="s">
        <v>495</v>
      </c>
      <c r="F409" s="34" t="s">
        <v>497</v>
      </c>
      <c r="G409" s="24" t="s">
        <v>356</v>
      </c>
      <c r="H409" s="27" t="n">
        <f aca="false">IFERROR(INDEX('Inventory Master'!$T$2:$T$525,MATCH($A409,'Inventory Master'!$A$2:$A$525,0)),0)</f>
        <v>3</v>
      </c>
      <c r="I409" s="27" t="n">
        <v>1</v>
      </c>
      <c r="J409" s="27" t="n">
        <f aca="false">MAX(0,$H409-$I409)</f>
        <v>2</v>
      </c>
      <c r="K409" s="34" t="str">
        <f aca="false">IF($H409&gt;0,"In Stock","Out of Stock")</f>
        <v>In Stock</v>
      </c>
      <c r="L409" s="24" t="s">
        <v>1861</v>
      </c>
      <c r="M409" s="34" t="s">
        <v>1862</v>
      </c>
      <c r="N409" s="24" t="n">
        <v>6</v>
      </c>
      <c r="O409" s="24" t="n">
        <v>4</v>
      </c>
      <c r="P409" s="24" t="n">
        <v>1</v>
      </c>
      <c r="Q409" s="24" t="str">
        <f aca="false">$L409&amp;"-"&amp;TEXT($N409,"00")&amp;"-"&amp;$O409&amp;"-"&amp;TEXT($P409,"00")</f>
        <v>E-06-4-01</v>
      </c>
      <c r="R409" s="34" t="str">
        <f aca="false">"ZONE "&amp;$L409&amp;" / BAY "&amp;TEXT($N409,"00")&amp;" / SHELF "&amp;$O409&amp;" / BIN "&amp;TEXT($P409,"00")</f>
        <v>ZONE E / BAY 06 / SHELF 4 / BIN 01</v>
      </c>
      <c r="S409" s="34" t="s">
        <v>1847</v>
      </c>
      <c r="T409" s="34" t="s">
        <v>1844</v>
      </c>
      <c r="U409" s="27" t="n">
        <v>408</v>
      </c>
      <c r="V409" s="30" t="n">
        <v>46215</v>
      </c>
      <c r="W409" s="34" t="str">
        <f aca="false">IF($H409&gt;0,"Yes - "&amp;$H409&amp;" in stock at Store 0146 (size "&amp;$G409&amp;"). Back room location "&amp;$Q409&amp;" ("&amp;$R409&amp;"), "&amp;$S409&amp;". Back room "&amp;$J409&amp;" / sales floor "&amp;$I409&amp;".","Not currently in stock at Store 0146 (size "&amp;$G409&amp;"). Home location is "&amp;$Q409&amp;" ("&amp;$R409&amp;") when replenished.")</f>
        <v>Yes - 3 in stock at Store 0146 (size 8). Back room location E-06-4-01 (ZONE E / BAY 06 / SHELF 4 / BIN 01), Overhead - step stool. Back room 2 / sales floor 1.</v>
      </c>
    </row>
    <row r="410" customFormat="false" ht="15" hidden="false" customHeight="false" outlineLevel="0" collapsed="false">
      <c r="A410" s="34" t="s">
        <v>1661</v>
      </c>
      <c r="B410" s="34" t="s">
        <v>1662</v>
      </c>
      <c r="C410" s="34" t="s">
        <v>494</v>
      </c>
      <c r="D410" s="34" t="s">
        <v>157</v>
      </c>
      <c r="E410" s="34" t="s">
        <v>495</v>
      </c>
      <c r="F410" s="34" t="s">
        <v>497</v>
      </c>
      <c r="G410" s="24" t="s">
        <v>188</v>
      </c>
      <c r="H410" s="27" t="n">
        <f aca="false">IFERROR(INDEX('Inventory Master'!$T$2:$T$525,MATCH($A410,'Inventory Master'!$A$2:$A$525,0)),0)</f>
        <v>2</v>
      </c>
      <c r="I410" s="27" t="n">
        <v>1</v>
      </c>
      <c r="J410" s="27" t="n">
        <f aca="false">MAX(0,$H410-$I410)</f>
        <v>1</v>
      </c>
      <c r="K410" s="34" t="str">
        <f aca="false">IF($H410&gt;0,"In Stock","Out of Stock")</f>
        <v>In Stock</v>
      </c>
      <c r="L410" s="24" t="s">
        <v>1861</v>
      </c>
      <c r="M410" s="34" t="s">
        <v>1862</v>
      </c>
      <c r="N410" s="24" t="n">
        <v>6</v>
      </c>
      <c r="O410" s="24" t="n">
        <v>4</v>
      </c>
      <c r="P410" s="24" t="n">
        <v>2</v>
      </c>
      <c r="Q410" s="24" t="str">
        <f aca="false">$L410&amp;"-"&amp;TEXT($N410,"00")&amp;"-"&amp;$O410&amp;"-"&amp;TEXT($P410,"00")</f>
        <v>E-06-4-02</v>
      </c>
      <c r="R410" s="34" t="str">
        <f aca="false">"ZONE "&amp;$L410&amp;" / BAY "&amp;TEXT($N410,"00")&amp;" / SHELF "&amp;$O410&amp;" / BIN "&amp;TEXT($P410,"00")</f>
        <v>ZONE E / BAY 06 / SHELF 4 / BIN 02</v>
      </c>
      <c r="S410" s="34" t="s">
        <v>1847</v>
      </c>
      <c r="T410" s="34" t="s">
        <v>1844</v>
      </c>
      <c r="U410" s="27" t="n">
        <v>409</v>
      </c>
      <c r="V410" s="30" t="n">
        <v>46139</v>
      </c>
      <c r="W410" s="34" t="str">
        <f aca="false">IF($H410&gt;0,"Yes - "&amp;$H410&amp;" in stock at Store 0146 (size "&amp;$G410&amp;"). Back room location "&amp;$Q410&amp;" ("&amp;$R410&amp;"), "&amp;$S410&amp;". Back room "&amp;$J410&amp;" / sales floor "&amp;$I410&amp;".","Not currently in stock at Store 0146 (size "&amp;$G410&amp;"). Home location is "&amp;$Q410&amp;" ("&amp;$R410&amp;") when replenished.")</f>
        <v>Yes - 2 in stock at Store 0146 (size 8.5). Back room location E-06-4-02 (ZONE E / BAY 06 / SHELF 4 / BIN 02), Overhead - step stool. Back room 1 / sales floor 1.</v>
      </c>
    </row>
    <row r="411" customFormat="false" ht="15" hidden="false" customHeight="false" outlineLevel="0" collapsed="false">
      <c r="A411" s="34" t="s">
        <v>740</v>
      </c>
      <c r="B411" s="34" t="s">
        <v>741</v>
      </c>
      <c r="C411" s="34" t="s">
        <v>494</v>
      </c>
      <c r="D411" s="34" t="s">
        <v>157</v>
      </c>
      <c r="E411" s="34" t="s">
        <v>495</v>
      </c>
      <c r="F411" s="34" t="s">
        <v>497</v>
      </c>
      <c r="G411" s="24" t="s">
        <v>164</v>
      </c>
      <c r="H411" s="27" t="n">
        <f aca="false">IFERROR(INDEX('Inventory Master'!$T$2:$T$525,MATCH($A411,'Inventory Master'!$A$2:$A$525,0)),0)</f>
        <v>3</v>
      </c>
      <c r="I411" s="27" t="n">
        <v>1</v>
      </c>
      <c r="J411" s="27" t="n">
        <f aca="false">MAX(0,$H411-$I411)</f>
        <v>2</v>
      </c>
      <c r="K411" s="34" t="str">
        <f aca="false">IF($H411&gt;0,"In Stock","Out of Stock")</f>
        <v>In Stock</v>
      </c>
      <c r="L411" s="24" t="s">
        <v>1861</v>
      </c>
      <c r="M411" s="34" t="s">
        <v>1862</v>
      </c>
      <c r="N411" s="24" t="n">
        <v>6</v>
      </c>
      <c r="O411" s="24" t="n">
        <v>4</v>
      </c>
      <c r="P411" s="24" t="n">
        <v>3</v>
      </c>
      <c r="Q411" s="24" t="str">
        <f aca="false">$L411&amp;"-"&amp;TEXT($N411,"00")&amp;"-"&amp;$O411&amp;"-"&amp;TEXT($P411,"00")</f>
        <v>E-06-4-03</v>
      </c>
      <c r="R411" s="34" t="str">
        <f aca="false">"ZONE "&amp;$L411&amp;" / BAY "&amp;TEXT($N411,"00")&amp;" / SHELF "&amp;$O411&amp;" / BIN "&amp;TEXT($P411,"00")</f>
        <v>ZONE E / BAY 06 / SHELF 4 / BIN 03</v>
      </c>
      <c r="S411" s="34" t="s">
        <v>1847</v>
      </c>
      <c r="T411" s="34" t="s">
        <v>1844</v>
      </c>
      <c r="U411" s="27" t="n">
        <v>410</v>
      </c>
      <c r="V411" s="30" t="n">
        <v>46181</v>
      </c>
      <c r="W411" s="34" t="str">
        <f aca="false">IF($H411&gt;0,"Yes - "&amp;$H411&amp;" in stock at Store 0146 (size "&amp;$G411&amp;"). Back room location "&amp;$Q411&amp;" ("&amp;$R411&amp;"), "&amp;$S411&amp;". Back room "&amp;$J411&amp;" / sales floor "&amp;$I411&amp;".","Not currently in stock at Store 0146 (size "&amp;$G411&amp;"). Home location is "&amp;$Q411&amp;" ("&amp;$R411&amp;") when replenished.")</f>
        <v>Yes - 3 in stock at Store 0146 (size 9). Back room location E-06-4-03 (ZONE E / BAY 06 / SHELF 4 / BIN 03), Overhead - step stool. Back room 2 / sales floor 1.</v>
      </c>
    </row>
    <row r="412" customFormat="false" ht="15" hidden="false" customHeight="false" outlineLevel="0" collapsed="false">
      <c r="A412" s="34" t="s">
        <v>1170</v>
      </c>
      <c r="B412" s="34" t="s">
        <v>1171</v>
      </c>
      <c r="C412" s="34" t="s">
        <v>494</v>
      </c>
      <c r="D412" s="34" t="s">
        <v>157</v>
      </c>
      <c r="E412" s="34" t="s">
        <v>495</v>
      </c>
      <c r="F412" s="34" t="s">
        <v>497</v>
      </c>
      <c r="G412" s="24" t="s">
        <v>177</v>
      </c>
      <c r="H412" s="27" t="n">
        <f aca="false">IFERROR(INDEX('Inventory Master'!$T$2:$T$525,MATCH($A412,'Inventory Master'!$A$2:$A$525,0)),0)</f>
        <v>0</v>
      </c>
      <c r="I412" s="27" t="n">
        <v>0</v>
      </c>
      <c r="J412" s="27" t="n">
        <f aca="false">MAX(0,$H412-$I412)</f>
        <v>0</v>
      </c>
      <c r="K412" s="34" t="str">
        <f aca="false">IF($H412&gt;0,"In Stock","Out of Stock")</f>
        <v>Out of Stock</v>
      </c>
      <c r="L412" s="24" t="s">
        <v>1861</v>
      </c>
      <c r="M412" s="34" t="s">
        <v>1862</v>
      </c>
      <c r="N412" s="24" t="n">
        <v>6</v>
      </c>
      <c r="O412" s="24" t="n">
        <v>4</v>
      </c>
      <c r="P412" s="24" t="n">
        <v>4</v>
      </c>
      <c r="Q412" s="24" t="str">
        <f aca="false">$L412&amp;"-"&amp;TEXT($N412,"00")&amp;"-"&amp;$O412&amp;"-"&amp;TEXT($P412,"00")</f>
        <v>E-06-4-04</v>
      </c>
      <c r="R412" s="34" t="str">
        <f aca="false">"ZONE "&amp;$L412&amp;" / BAY "&amp;TEXT($N412,"00")&amp;" / SHELF "&amp;$O412&amp;" / BIN "&amp;TEXT($P412,"00")</f>
        <v>ZONE E / BAY 06 / SHELF 4 / BIN 04</v>
      </c>
      <c r="S412" s="34" t="s">
        <v>1847</v>
      </c>
      <c r="T412" s="34" t="s">
        <v>1844</v>
      </c>
      <c r="U412" s="27" t="n">
        <v>411</v>
      </c>
      <c r="V412" s="30" t="n">
        <v>46184</v>
      </c>
      <c r="W412" s="34" t="str">
        <f aca="false">IF($H412&gt;0,"Yes - "&amp;$H412&amp;" in stock at Store 0146 (size "&amp;$G412&amp;"). Back room location "&amp;$Q412&amp;" ("&amp;$R412&amp;"), "&amp;$S412&amp;". Back room "&amp;$J412&amp;" / sales floor "&amp;$I412&amp;".","Not currently in stock at Store 0146 (size "&amp;$G412&amp;"). Home location is "&amp;$Q412&amp;" ("&amp;$R412&amp;") when replenished.")</f>
        <v>Not currently in stock at Store 0146 (size 9.5). Home location is E-06-4-04 (ZONE E / BAY 06 / SHELF 4 / BIN 04) when replenished.</v>
      </c>
    </row>
    <row r="413" customFormat="false" ht="15" hidden="false" customHeight="false" outlineLevel="0" collapsed="false">
      <c r="A413" s="34" t="s">
        <v>1745</v>
      </c>
      <c r="B413" s="34" t="s">
        <v>1746</v>
      </c>
      <c r="C413" s="34" t="s">
        <v>494</v>
      </c>
      <c r="D413" s="34" t="s">
        <v>157</v>
      </c>
      <c r="E413" s="34" t="s">
        <v>495</v>
      </c>
      <c r="F413" s="34" t="s">
        <v>497</v>
      </c>
      <c r="G413" s="24" t="s">
        <v>211</v>
      </c>
      <c r="H413" s="27" t="n">
        <f aca="false">IFERROR(INDEX('Inventory Master'!$T$2:$T$525,MATCH($A413,'Inventory Master'!$A$2:$A$525,0)),0)</f>
        <v>1</v>
      </c>
      <c r="I413" s="27" t="n">
        <v>0</v>
      </c>
      <c r="J413" s="27" t="n">
        <f aca="false">MAX(0,$H413-$I413)</f>
        <v>1</v>
      </c>
      <c r="K413" s="34" t="str">
        <f aca="false">IF($H413&gt;0,"In Stock","Out of Stock")</f>
        <v>In Stock</v>
      </c>
      <c r="L413" s="24" t="s">
        <v>1861</v>
      </c>
      <c r="M413" s="34" t="s">
        <v>1862</v>
      </c>
      <c r="N413" s="24" t="n">
        <v>6</v>
      </c>
      <c r="O413" s="24" t="n">
        <v>4</v>
      </c>
      <c r="P413" s="24" t="n">
        <v>5</v>
      </c>
      <c r="Q413" s="24" t="str">
        <f aca="false">$L413&amp;"-"&amp;TEXT($N413,"00")&amp;"-"&amp;$O413&amp;"-"&amp;TEXT($P413,"00")</f>
        <v>E-06-4-05</v>
      </c>
      <c r="R413" s="34" t="str">
        <f aca="false">"ZONE "&amp;$L413&amp;" / BAY "&amp;TEXT($N413,"00")&amp;" / SHELF "&amp;$O413&amp;" / BIN "&amp;TEXT($P413,"00")</f>
        <v>ZONE E / BAY 06 / SHELF 4 / BIN 05</v>
      </c>
      <c r="S413" s="34" t="s">
        <v>1847</v>
      </c>
      <c r="T413" s="34" t="s">
        <v>1844</v>
      </c>
      <c r="U413" s="27" t="n">
        <v>412</v>
      </c>
      <c r="V413" s="30" t="n">
        <v>46140</v>
      </c>
      <c r="W413" s="34" t="str">
        <f aca="false">IF($H413&gt;0,"Yes - "&amp;$H413&amp;" in stock at Store 0146 (size "&amp;$G413&amp;"). Back room location "&amp;$Q413&amp;" ("&amp;$R413&amp;"), "&amp;$S413&amp;". Back room "&amp;$J413&amp;" / sales floor "&amp;$I413&amp;".","Not currently in stock at Store 0146 (size "&amp;$G413&amp;"). Home location is "&amp;$Q413&amp;" ("&amp;$R413&amp;") when replenished.")</f>
        <v>Yes - 1 in stock at Store 0146 (size 10). Back room location E-06-4-05 (ZONE E / BAY 06 / SHELF 4 / BIN 05), Overhead - step stool. Back room 1 / sales floor 0.</v>
      </c>
    </row>
    <row r="414" customFormat="false" ht="15" hidden="false" customHeight="false" outlineLevel="0" collapsed="false">
      <c r="A414" s="34" t="s">
        <v>433</v>
      </c>
      <c r="B414" s="34" t="s">
        <v>434</v>
      </c>
      <c r="C414" s="34" t="s">
        <v>435</v>
      </c>
      <c r="D414" s="34" t="s">
        <v>437</v>
      </c>
      <c r="E414" s="34" t="s">
        <v>438</v>
      </c>
      <c r="F414" s="34" t="s">
        <v>440</v>
      </c>
      <c r="G414" s="24" t="s">
        <v>442</v>
      </c>
      <c r="H414" s="27" t="n">
        <f aca="false">IFERROR(INDEX('Inventory Master'!$T$2:$T$525,MATCH($A414,'Inventory Master'!$A$2:$A$525,0)),0)</f>
        <v>3</v>
      </c>
      <c r="I414" s="27" t="n">
        <v>1</v>
      </c>
      <c r="J414" s="27" t="n">
        <f aca="false">MAX(0,$H414-$I414)</f>
        <v>2</v>
      </c>
      <c r="K414" s="34" t="str">
        <f aca="false">IF($H414&gt;0,"In Stock","Out of Stock")</f>
        <v>In Stock</v>
      </c>
      <c r="L414" s="24" t="s">
        <v>1866</v>
      </c>
      <c r="M414" s="34" t="s">
        <v>1867</v>
      </c>
      <c r="N414" s="24" t="n">
        <v>1</v>
      </c>
      <c r="O414" s="24" t="n">
        <v>1</v>
      </c>
      <c r="P414" s="24" t="n">
        <v>1</v>
      </c>
      <c r="Q414" s="24" t="str">
        <f aca="false">$L414&amp;"-"&amp;TEXT($N414,"00")&amp;"-"&amp;$O414&amp;"-"&amp;TEXT($P414,"00")</f>
        <v>F-01-1-01</v>
      </c>
      <c r="R414" s="34" t="str">
        <f aca="false">"ZONE "&amp;$L414&amp;" / BAY "&amp;TEXT($N414,"00")&amp;" / SHELF "&amp;$O414&amp;" / BIN "&amp;TEXT($P414,"00")</f>
        <v>ZONE F / BAY 01 / SHELF 1 / BIN 01</v>
      </c>
      <c r="S414" s="34" t="s">
        <v>1843</v>
      </c>
      <c r="T414" s="34" t="s">
        <v>1844</v>
      </c>
      <c r="U414" s="27" t="n">
        <v>413</v>
      </c>
      <c r="V414" s="30" t="n">
        <v>46146</v>
      </c>
      <c r="W414" s="34" t="str">
        <f aca="false">IF($H414&gt;0,"Yes - "&amp;$H414&amp;" in stock at Store 0146 (size "&amp;$G414&amp;"). Back room location "&amp;$Q414&amp;" ("&amp;$R414&amp;"), "&amp;$S414&amp;". Back room "&amp;$J414&amp;" / sales floor "&amp;$I414&amp;".","Not currently in stock at Store 0146 (size "&amp;$G414&amp;"). Home location is "&amp;$Q414&amp;" ("&amp;$R414&amp;") when replenished.")</f>
        <v>Yes - 3 in stock at Store 0146 (size 5). Back room location F-01-1-01 (ZONE F / BAY 01 / SHELF 1 / BIN 01), Floor level - no reach. Back room 2 / sales floor 1.</v>
      </c>
    </row>
    <row r="415" customFormat="false" ht="15" hidden="false" customHeight="false" outlineLevel="0" collapsed="false">
      <c r="A415" s="34" t="s">
        <v>1338</v>
      </c>
      <c r="B415" s="34" t="s">
        <v>1339</v>
      </c>
      <c r="C415" s="34" t="s">
        <v>435</v>
      </c>
      <c r="D415" s="34" t="s">
        <v>437</v>
      </c>
      <c r="E415" s="34" t="s">
        <v>438</v>
      </c>
      <c r="F415" s="34" t="s">
        <v>440</v>
      </c>
      <c r="G415" s="24" t="s">
        <v>538</v>
      </c>
      <c r="H415" s="27" t="n">
        <f aca="false">IFERROR(INDEX('Inventory Master'!$T$2:$T$525,MATCH($A415,'Inventory Master'!$A$2:$A$525,0)),0)</f>
        <v>0</v>
      </c>
      <c r="I415" s="27" t="n">
        <v>0</v>
      </c>
      <c r="J415" s="27" t="n">
        <f aca="false">MAX(0,$H415-$I415)</f>
        <v>0</v>
      </c>
      <c r="K415" s="34" t="str">
        <f aca="false">IF($H415&gt;0,"In Stock","Out of Stock")</f>
        <v>Out of Stock</v>
      </c>
      <c r="L415" s="24" t="s">
        <v>1866</v>
      </c>
      <c r="M415" s="34" t="s">
        <v>1867</v>
      </c>
      <c r="N415" s="24" t="n">
        <v>1</v>
      </c>
      <c r="O415" s="24" t="n">
        <v>1</v>
      </c>
      <c r="P415" s="24" t="n">
        <v>2</v>
      </c>
      <c r="Q415" s="24" t="str">
        <f aca="false">$L415&amp;"-"&amp;TEXT($N415,"00")&amp;"-"&amp;$O415&amp;"-"&amp;TEXT($P415,"00")</f>
        <v>F-01-1-02</v>
      </c>
      <c r="R415" s="34" t="str">
        <f aca="false">"ZONE "&amp;$L415&amp;" / BAY "&amp;TEXT($N415,"00")&amp;" / SHELF "&amp;$O415&amp;" / BIN "&amp;TEXT($P415,"00")</f>
        <v>ZONE F / BAY 01 / SHELF 1 / BIN 02</v>
      </c>
      <c r="S415" s="34" t="s">
        <v>1843</v>
      </c>
      <c r="T415" s="34" t="s">
        <v>1844</v>
      </c>
      <c r="U415" s="27" t="n">
        <v>414</v>
      </c>
      <c r="V415" s="30" t="n">
        <v>46212</v>
      </c>
      <c r="W415" s="34" t="str">
        <f aca="false">IF($H415&gt;0,"Yes - "&amp;$H415&amp;" in stock at Store 0146 (size "&amp;$G415&amp;"). Back room location "&amp;$Q415&amp;" ("&amp;$R415&amp;"), "&amp;$S415&amp;". Back room "&amp;$J415&amp;" / sales floor "&amp;$I415&amp;".","Not currently in stock at Store 0146 (size "&amp;$G415&amp;"). Home location is "&amp;$Q415&amp;" ("&amp;$R415&amp;") when replenished.")</f>
        <v>Not currently in stock at Store 0146 (size 6). Home location is F-01-1-02 (ZONE F / BAY 01 / SHELF 1 / BIN 02) when replenished.</v>
      </c>
    </row>
    <row r="416" customFormat="false" ht="15" hidden="false" customHeight="false" outlineLevel="0" collapsed="false">
      <c r="A416" s="34" t="s">
        <v>1137</v>
      </c>
      <c r="B416" s="34" t="s">
        <v>1138</v>
      </c>
      <c r="C416" s="34" t="s">
        <v>435</v>
      </c>
      <c r="D416" s="34" t="s">
        <v>437</v>
      </c>
      <c r="E416" s="34" t="s">
        <v>438</v>
      </c>
      <c r="F416" s="34" t="s">
        <v>440</v>
      </c>
      <c r="G416" s="24" t="s">
        <v>338</v>
      </c>
      <c r="H416" s="27" t="n">
        <f aca="false">IFERROR(INDEX('Inventory Master'!$T$2:$T$525,MATCH($A416,'Inventory Master'!$A$2:$A$525,0)),0)</f>
        <v>4</v>
      </c>
      <c r="I416" s="27" t="n">
        <v>1</v>
      </c>
      <c r="J416" s="27" t="n">
        <f aca="false">MAX(0,$H416-$I416)</f>
        <v>3</v>
      </c>
      <c r="K416" s="34" t="str">
        <f aca="false">IF($H416&gt;0,"In Stock","Out of Stock")</f>
        <v>In Stock</v>
      </c>
      <c r="L416" s="24" t="s">
        <v>1866</v>
      </c>
      <c r="M416" s="34" t="s">
        <v>1867</v>
      </c>
      <c r="N416" s="24" t="n">
        <v>1</v>
      </c>
      <c r="O416" s="24" t="n">
        <v>1</v>
      </c>
      <c r="P416" s="24" t="n">
        <v>3</v>
      </c>
      <c r="Q416" s="24" t="str">
        <f aca="false">$L416&amp;"-"&amp;TEXT($N416,"00")&amp;"-"&amp;$O416&amp;"-"&amp;TEXT($P416,"00")</f>
        <v>F-01-1-03</v>
      </c>
      <c r="R416" s="34" t="str">
        <f aca="false">"ZONE "&amp;$L416&amp;" / BAY "&amp;TEXT($N416,"00")&amp;" / SHELF "&amp;$O416&amp;" / BIN "&amp;TEXT($P416,"00")</f>
        <v>ZONE F / BAY 01 / SHELF 1 / BIN 03</v>
      </c>
      <c r="S416" s="34" t="s">
        <v>1843</v>
      </c>
      <c r="T416" s="34" t="s">
        <v>1844</v>
      </c>
      <c r="U416" s="27" t="n">
        <v>415</v>
      </c>
      <c r="V416" s="30" t="n">
        <v>46173</v>
      </c>
      <c r="W416" s="34" t="str">
        <f aca="false">IF($H416&gt;0,"Yes - "&amp;$H416&amp;" in stock at Store 0146 (size "&amp;$G416&amp;"). Back room location "&amp;$Q416&amp;" ("&amp;$R416&amp;"), "&amp;$S416&amp;". Back room "&amp;$J416&amp;" / sales floor "&amp;$I416&amp;".","Not currently in stock at Store 0146 (size "&amp;$G416&amp;"). Home location is "&amp;$Q416&amp;" ("&amp;$R416&amp;") when replenished.")</f>
        <v>Yes - 4 in stock at Store 0146 (size 7). Back room location F-01-1-03 (ZONE F / BAY 01 / SHELF 1 / BIN 03), Floor level - no reach. Back room 3 / sales floor 1.</v>
      </c>
    </row>
    <row r="417" customFormat="false" ht="15" hidden="false" customHeight="false" outlineLevel="0" collapsed="false">
      <c r="A417" s="34" t="s">
        <v>1410</v>
      </c>
      <c r="B417" s="34" t="s">
        <v>1411</v>
      </c>
      <c r="C417" s="34" t="s">
        <v>435</v>
      </c>
      <c r="D417" s="34" t="s">
        <v>437</v>
      </c>
      <c r="E417" s="34" t="s">
        <v>438</v>
      </c>
      <c r="F417" s="34" t="s">
        <v>440</v>
      </c>
      <c r="G417" s="24" t="s">
        <v>356</v>
      </c>
      <c r="H417" s="27" t="n">
        <f aca="false">IFERROR(INDEX('Inventory Master'!$T$2:$T$525,MATCH($A417,'Inventory Master'!$A$2:$A$525,0)),0)</f>
        <v>0</v>
      </c>
      <c r="I417" s="27" t="n">
        <v>0</v>
      </c>
      <c r="J417" s="27" t="n">
        <f aca="false">MAX(0,$H417-$I417)</f>
        <v>0</v>
      </c>
      <c r="K417" s="34" t="str">
        <f aca="false">IF($H417&gt;0,"In Stock","Out of Stock")</f>
        <v>Out of Stock</v>
      </c>
      <c r="L417" s="24" t="s">
        <v>1866</v>
      </c>
      <c r="M417" s="34" t="s">
        <v>1867</v>
      </c>
      <c r="N417" s="24" t="n">
        <v>1</v>
      </c>
      <c r="O417" s="24" t="n">
        <v>1</v>
      </c>
      <c r="P417" s="24" t="n">
        <v>4</v>
      </c>
      <c r="Q417" s="24" t="str">
        <f aca="false">$L417&amp;"-"&amp;TEXT($N417,"00")&amp;"-"&amp;$O417&amp;"-"&amp;TEXT($P417,"00")</f>
        <v>F-01-1-04</v>
      </c>
      <c r="R417" s="34" t="str">
        <f aca="false">"ZONE "&amp;$L417&amp;" / BAY "&amp;TEXT($N417,"00")&amp;" / SHELF "&amp;$O417&amp;" / BIN "&amp;TEXT($P417,"00")</f>
        <v>ZONE F / BAY 01 / SHELF 1 / BIN 04</v>
      </c>
      <c r="S417" s="34" t="s">
        <v>1843</v>
      </c>
      <c r="T417" s="34" t="s">
        <v>1844</v>
      </c>
      <c r="U417" s="27" t="n">
        <v>416</v>
      </c>
      <c r="V417" s="30" t="n">
        <v>46187</v>
      </c>
      <c r="W417" s="34" t="str">
        <f aca="false">IF($H417&gt;0,"Yes - "&amp;$H417&amp;" in stock at Store 0146 (size "&amp;$G417&amp;"). Back room location "&amp;$Q417&amp;" ("&amp;$R417&amp;"), "&amp;$S417&amp;". Back room "&amp;$J417&amp;" / sales floor "&amp;$I417&amp;".","Not currently in stock at Store 0146 (size "&amp;$G417&amp;"). Home location is "&amp;$Q417&amp;" ("&amp;$R417&amp;") when replenished.")</f>
        <v>Not currently in stock at Store 0146 (size 8). Home location is F-01-1-04 (ZONE F / BAY 01 / SHELF 1 / BIN 04) when replenished.</v>
      </c>
    </row>
    <row r="418" customFormat="false" ht="15" hidden="false" customHeight="false" outlineLevel="0" collapsed="false">
      <c r="A418" s="34" t="s">
        <v>1795</v>
      </c>
      <c r="B418" s="34" t="s">
        <v>1796</v>
      </c>
      <c r="C418" s="34" t="s">
        <v>435</v>
      </c>
      <c r="D418" s="34" t="s">
        <v>437</v>
      </c>
      <c r="E418" s="34" t="s">
        <v>438</v>
      </c>
      <c r="F418" s="34" t="s">
        <v>440</v>
      </c>
      <c r="G418" s="24" t="s">
        <v>164</v>
      </c>
      <c r="H418" s="27" t="n">
        <f aca="false">IFERROR(INDEX('Inventory Master'!$T$2:$T$525,MATCH($A418,'Inventory Master'!$A$2:$A$525,0)),0)</f>
        <v>3</v>
      </c>
      <c r="I418" s="27" t="n">
        <v>1</v>
      </c>
      <c r="J418" s="27" t="n">
        <f aca="false">MAX(0,$H418-$I418)</f>
        <v>2</v>
      </c>
      <c r="K418" s="34" t="str">
        <f aca="false">IF($H418&gt;0,"In Stock","Out of Stock")</f>
        <v>In Stock</v>
      </c>
      <c r="L418" s="24" t="s">
        <v>1866</v>
      </c>
      <c r="M418" s="34" t="s">
        <v>1867</v>
      </c>
      <c r="N418" s="24" t="n">
        <v>1</v>
      </c>
      <c r="O418" s="24" t="n">
        <v>1</v>
      </c>
      <c r="P418" s="24" t="n">
        <v>5</v>
      </c>
      <c r="Q418" s="24" t="str">
        <f aca="false">$L418&amp;"-"&amp;TEXT($N418,"00")&amp;"-"&amp;$O418&amp;"-"&amp;TEXT($P418,"00")</f>
        <v>F-01-1-05</v>
      </c>
      <c r="R418" s="34" t="str">
        <f aca="false">"ZONE "&amp;$L418&amp;" / BAY "&amp;TEXT($N418,"00")&amp;" / SHELF "&amp;$O418&amp;" / BIN "&amp;TEXT($P418,"00")</f>
        <v>ZONE F / BAY 01 / SHELF 1 / BIN 05</v>
      </c>
      <c r="S418" s="34" t="s">
        <v>1843</v>
      </c>
      <c r="T418" s="34" t="s">
        <v>1844</v>
      </c>
      <c r="U418" s="27" t="n">
        <v>417</v>
      </c>
      <c r="V418" s="30" t="n">
        <v>46174</v>
      </c>
      <c r="W418" s="34" t="str">
        <f aca="false">IF($H418&gt;0,"Yes - "&amp;$H418&amp;" in stock at Store 0146 (size "&amp;$G418&amp;"). Back room location "&amp;$Q418&amp;" ("&amp;$R418&amp;"), "&amp;$S418&amp;". Back room "&amp;$J418&amp;" / sales floor "&amp;$I418&amp;".","Not currently in stock at Store 0146 (size "&amp;$G418&amp;"). Home location is "&amp;$Q418&amp;" ("&amp;$R418&amp;") when replenished.")</f>
        <v>Yes - 3 in stock at Store 0146 (size 9). Back room location F-01-1-05 (ZONE F / BAY 01 / SHELF 1 / BIN 05), Floor level - no reach. Back room 2 / sales floor 1.</v>
      </c>
    </row>
    <row r="419" customFormat="false" ht="15" hidden="false" customHeight="false" outlineLevel="0" collapsed="false">
      <c r="A419" s="34" t="s">
        <v>1025</v>
      </c>
      <c r="B419" s="34" t="s">
        <v>1026</v>
      </c>
      <c r="C419" s="34" t="s">
        <v>435</v>
      </c>
      <c r="D419" s="34" t="s">
        <v>437</v>
      </c>
      <c r="E419" s="34" t="s">
        <v>438</v>
      </c>
      <c r="F419" s="34" t="s">
        <v>440</v>
      </c>
      <c r="G419" s="24" t="s">
        <v>211</v>
      </c>
      <c r="H419" s="27" t="n">
        <f aca="false">IFERROR(INDEX('Inventory Master'!$T$2:$T$525,MATCH($A419,'Inventory Master'!$A$2:$A$525,0)),0)</f>
        <v>1</v>
      </c>
      <c r="I419" s="27" t="n">
        <v>1</v>
      </c>
      <c r="J419" s="27" t="n">
        <f aca="false">MAX(0,$H419-$I419)</f>
        <v>0</v>
      </c>
      <c r="K419" s="34" t="str">
        <f aca="false">IF($H419&gt;0,"In Stock","Out of Stock")</f>
        <v>In Stock</v>
      </c>
      <c r="L419" s="24" t="s">
        <v>1866</v>
      </c>
      <c r="M419" s="34" t="s">
        <v>1867</v>
      </c>
      <c r="N419" s="24" t="n">
        <v>1</v>
      </c>
      <c r="O419" s="24" t="n">
        <v>1</v>
      </c>
      <c r="P419" s="24" t="n">
        <v>6</v>
      </c>
      <c r="Q419" s="24" t="str">
        <f aca="false">$L419&amp;"-"&amp;TEXT($N419,"00")&amp;"-"&amp;$O419&amp;"-"&amp;TEXT($P419,"00")</f>
        <v>F-01-1-06</v>
      </c>
      <c r="R419" s="34" t="str">
        <f aca="false">"ZONE "&amp;$L419&amp;" / BAY "&amp;TEXT($N419,"00")&amp;" / SHELF "&amp;$O419&amp;" / BIN "&amp;TEXT($P419,"00")</f>
        <v>ZONE F / BAY 01 / SHELF 1 / BIN 06</v>
      </c>
      <c r="S419" s="34" t="s">
        <v>1843</v>
      </c>
      <c r="T419" s="34" t="s">
        <v>1844</v>
      </c>
      <c r="U419" s="27" t="n">
        <v>418</v>
      </c>
      <c r="V419" s="30" t="n">
        <v>46221</v>
      </c>
      <c r="W419" s="34" t="str">
        <f aca="false">IF($H419&gt;0,"Yes - "&amp;$H419&amp;" in stock at Store 0146 (size "&amp;$G419&amp;"). Back room location "&amp;$Q419&amp;" ("&amp;$R419&amp;"), "&amp;$S419&amp;". Back room "&amp;$J419&amp;" / sales floor "&amp;$I419&amp;".","Not currently in stock at Store 0146 (size "&amp;$G419&amp;"). Home location is "&amp;$Q419&amp;" ("&amp;$R419&amp;") when replenished.")</f>
        <v>Yes - 1 in stock at Store 0146 (size 10). Back room location F-01-1-06 (ZONE F / BAY 01 / SHELF 1 / BIN 06), Floor level - no reach. Back room 0 / sales floor 1.</v>
      </c>
    </row>
    <row r="420" customFormat="false" ht="15" hidden="false" customHeight="false" outlineLevel="0" collapsed="false">
      <c r="A420" s="34" t="s">
        <v>1139</v>
      </c>
      <c r="B420" s="34" t="s">
        <v>1140</v>
      </c>
      <c r="C420" s="34" t="s">
        <v>803</v>
      </c>
      <c r="D420" s="34" t="s">
        <v>194</v>
      </c>
      <c r="E420" s="34" t="s">
        <v>804</v>
      </c>
      <c r="F420" s="34" t="s">
        <v>806</v>
      </c>
      <c r="G420" s="24" t="s">
        <v>442</v>
      </c>
      <c r="H420" s="27" t="n">
        <f aca="false">IFERROR(INDEX('Inventory Master'!$T$2:$T$525,MATCH($A420,'Inventory Master'!$A$2:$A$525,0)),0)</f>
        <v>0</v>
      </c>
      <c r="I420" s="27" t="n">
        <v>0</v>
      </c>
      <c r="J420" s="27" t="n">
        <f aca="false">MAX(0,$H420-$I420)</f>
        <v>0</v>
      </c>
      <c r="K420" s="34" t="str">
        <f aca="false">IF($H420&gt;0,"In Stock","Out of Stock")</f>
        <v>Out of Stock</v>
      </c>
      <c r="L420" s="24" t="s">
        <v>1866</v>
      </c>
      <c r="M420" s="34" t="s">
        <v>1867</v>
      </c>
      <c r="N420" s="24" t="n">
        <v>1</v>
      </c>
      <c r="O420" s="24" t="n">
        <v>2</v>
      </c>
      <c r="P420" s="24" t="n">
        <v>1</v>
      </c>
      <c r="Q420" s="24" t="str">
        <f aca="false">$L420&amp;"-"&amp;TEXT($N420,"00")&amp;"-"&amp;$O420&amp;"-"&amp;TEXT($P420,"00")</f>
        <v>F-01-2-01</v>
      </c>
      <c r="R420" s="34" t="str">
        <f aca="false">"ZONE "&amp;$L420&amp;" / BAY "&amp;TEXT($N420,"00")&amp;" / SHELF "&amp;$O420&amp;" / BIN "&amp;TEXT($P420,"00")</f>
        <v>ZONE F / BAY 01 / SHELF 2 / BIN 01</v>
      </c>
      <c r="S420" s="34" t="s">
        <v>1845</v>
      </c>
      <c r="T420" s="34" t="s">
        <v>1844</v>
      </c>
      <c r="U420" s="27" t="n">
        <v>419</v>
      </c>
      <c r="V420" s="30" t="n">
        <v>46159</v>
      </c>
      <c r="W420" s="34" t="str">
        <f aca="false">IF($H420&gt;0,"Yes - "&amp;$H420&amp;" in stock at Store 0146 (size "&amp;$G420&amp;"). Back room location "&amp;$Q420&amp;" ("&amp;$R420&amp;"), "&amp;$S420&amp;". Back room "&amp;$J420&amp;" / sales floor "&amp;$I420&amp;".","Not currently in stock at Store 0146 (size "&amp;$G420&amp;"). Home location is "&amp;$Q420&amp;" ("&amp;$R420&amp;") when replenished.")</f>
        <v>Not currently in stock at Store 0146 (size 5). Home location is F-01-2-01 (ZONE F / BAY 01 / SHELF 2 / BIN 01) when replenished.</v>
      </c>
    </row>
    <row r="421" customFormat="false" ht="15" hidden="false" customHeight="false" outlineLevel="0" collapsed="false">
      <c r="A421" s="34" t="s">
        <v>801</v>
      </c>
      <c r="B421" s="34" t="s">
        <v>802</v>
      </c>
      <c r="C421" s="34" t="s">
        <v>803</v>
      </c>
      <c r="D421" s="34" t="s">
        <v>194</v>
      </c>
      <c r="E421" s="34" t="s">
        <v>804</v>
      </c>
      <c r="F421" s="34" t="s">
        <v>806</v>
      </c>
      <c r="G421" s="24" t="s">
        <v>538</v>
      </c>
      <c r="H421" s="27" t="n">
        <f aca="false">IFERROR(INDEX('Inventory Master'!$T$2:$T$525,MATCH($A421,'Inventory Master'!$A$2:$A$525,0)),0)</f>
        <v>6</v>
      </c>
      <c r="I421" s="27" t="n">
        <v>1</v>
      </c>
      <c r="J421" s="27" t="n">
        <f aca="false">MAX(0,$H421-$I421)</f>
        <v>5</v>
      </c>
      <c r="K421" s="34" t="str">
        <f aca="false">IF($H421&gt;0,"In Stock","Out of Stock")</f>
        <v>In Stock</v>
      </c>
      <c r="L421" s="24" t="s">
        <v>1866</v>
      </c>
      <c r="M421" s="34" t="s">
        <v>1867</v>
      </c>
      <c r="N421" s="24" t="n">
        <v>1</v>
      </c>
      <c r="O421" s="24" t="n">
        <v>2</v>
      </c>
      <c r="P421" s="24" t="n">
        <v>2</v>
      </c>
      <c r="Q421" s="24" t="str">
        <f aca="false">$L421&amp;"-"&amp;TEXT($N421,"00")&amp;"-"&amp;$O421&amp;"-"&amp;TEXT($P421,"00")</f>
        <v>F-01-2-02</v>
      </c>
      <c r="R421" s="34" t="str">
        <f aca="false">"ZONE "&amp;$L421&amp;" / BAY "&amp;TEXT($N421,"00")&amp;" / SHELF "&amp;$O421&amp;" / BIN "&amp;TEXT($P421,"00")</f>
        <v>ZONE F / BAY 01 / SHELF 2 / BIN 02</v>
      </c>
      <c r="S421" s="34" t="s">
        <v>1845</v>
      </c>
      <c r="T421" s="34" t="s">
        <v>1844</v>
      </c>
      <c r="U421" s="27" t="n">
        <v>420</v>
      </c>
      <c r="V421" s="30" t="n">
        <v>46230</v>
      </c>
      <c r="W421" s="34" t="str">
        <f aca="false">IF($H421&gt;0,"Yes - "&amp;$H421&amp;" in stock at Store 0146 (size "&amp;$G421&amp;"). Back room location "&amp;$Q421&amp;" ("&amp;$R421&amp;"), "&amp;$S421&amp;". Back room "&amp;$J421&amp;" / sales floor "&amp;$I421&amp;".","Not currently in stock at Store 0146 (size "&amp;$G421&amp;"). Home location is "&amp;$Q421&amp;" ("&amp;$R421&amp;") when replenished.")</f>
        <v>Yes - 6 in stock at Store 0146 (size 6). Back room location F-01-2-02 (ZONE F / BAY 01 / SHELF 2 / BIN 02), Waist height. Back room 5 / sales floor 1.</v>
      </c>
    </row>
    <row r="422" customFormat="false" ht="15" hidden="false" customHeight="false" outlineLevel="0" collapsed="false">
      <c r="A422" s="34" t="s">
        <v>946</v>
      </c>
      <c r="B422" s="34" t="s">
        <v>947</v>
      </c>
      <c r="C422" s="34" t="s">
        <v>803</v>
      </c>
      <c r="D422" s="34" t="s">
        <v>194</v>
      </c>
      <c r="E422" s="34" t="s">
        <v>804</v>
      </c>
      <c r="F422" s="34" t="s">
        <v>806</v>
      </c>
      <c r="G422" s="24" t="s">
        <v>338</v>
      </c>
      <c r="H422" s="27" t="n">
        <f aca="false">IFERROR(INDEX('Inventory Master'!$T$2:$T$525,MATCH($A422,'Inventory Master'!$A$2:$A$525,0)),0)</f>
        <v>5</v>
      </c>
      <c r="I422" s="27" t="n">
        <v>1</v>
      </c>
      <c r="J422" s="27" t="n">
        <f aca="false">MAX(0,$H422-$I422)</f>
        <v>4</v>
      </c>
      <c r="K422" s="34" t="str">
        <f aca="false">IF($H422&gt;0,"In Stock","Out of Stock")</f>
        <v>In Stock</v>
      </c>
      <c r="L422" s="24" t="s">
        <v>1866</v>
      </c>
      <c r="M422" s="34" t="s">
        <v>1867</v>
      </c>
      <c r="N422" s="24" t="n">
        <v>1</v>
      </c>
      <c r="O422" s="24" t="n">
        <v>2</v>
      </c>
      <c r="P422" s="24" t="n">
        <v>3</v>
      </c>
      <c r="Q422" s="24" t="str">
        <f aca="false">$L422&amp;"-"&amp;TEXT($N422,"00")&amp;"-"&amp;$O422&amp;"-"&amp;TEXT($P422,"00")</f>
        <v>F-01-2-03</v>
      </c>
      <c r="R422" s="34" t="str">
        <f aca="false">"ZONE "&amp;$L422&amp;" / BAY "&amp;TEXT($N422,"00")&amp;" / SHELF "&amp;$O422&amp;" / BIN "&amp;TEXT($P422,"00")</f>
        <v>ZONE F / BAY 01 / SHELF 2 / BIN 03</v>
      </c>
      <c r="S422" s="34" t="s">
        <v>1845</v>
      </c>
      <c r="T422" s="34" t="s">
        <v>1844</v>
      </c>
      <c r="U422" s="27" t="n">
        <v>421</v>
      </c>
      <c r="V422" s="30" t="n">
        <v>46207</v>
      </c>
      <c r="W422" s="34" t="str">
        <f aca="false">IF($H422&gt;0,"Yes - "&amp;$H422&amp;" in stock at Store 0146 (size "&amp;$G422&amp;"). Back room location "&amp;$Q422&amp;" ("&amp;$R422&amp;"), "&amp;$S422&amp;". Back room "&amp;$J422&amp;" / sales floor "&amp;$I422&amp;".","Not currently in stock at Store 0146 (size "&amp;$G422&amp;"). Home location is "&amp;$Q422&amp;" ("&amp;$R422&amp;") when replenished.")</f>
        <v>Yes - 5 in stock at Store 0146 (size 7). Back room location F-01-2-03 (ZONE F / BAY 01 / SHELF 2 / BIN 03), Waist height. Back room 4 / sales floor 1.</v>
      </c>
    </row>
    <row r="423" customFormat="false" ht="15" hidden="false" customHeight="false" outlineLevel="0" collapsed="false">
      <c r="A423" s="34" t="s">
        <v>1759</v>
      </c>
      <c r="B423" s="34" t="s">
        <v>1760</v>
      </c>
      <c r="C423" s="34" t="s">
        <v>803</v>
      </c>
      <c r="D423" s="34" t="s">
        <v>194</v>
      </c>
      <c r="E423" s="34" t="s">
        <v>804</v>
      </c>
      <c r="F423" s="34" t="s">
        <v>806</v>
      </c>
      <c r="G423" s="24" t="s">
        <v>356</v>
      </c>
      <c r="H423" s="27" t="n">
        <f aca="false">IFERROR(INDEX('Inventory Master'!$T$2:$T$525,MATCH($A423,'Inventory Master'!$A$2:$A$525,0)),0)</f>
        <v>0</v>
      </c>
      <c r="I423" s="27" t="n">
        <v>0</v>
      </c>
      <c r="J423" s="27" t="n">
        <f aca="false">MAX(0,$H423-$I423)</f>
        <v>0</v>
      </c>
      <c r="K423" s="34" t="str">
        <f aca="false">IF($H423&gt;0,"In Stock","Out of Stock")</f>
        <v>Out of Stock</v>
      </c>
      <c r="L423" s="24" t="s">
        <v>1866</v>
      </c>
      <c r="M423" s="34" t="s">
        <v>1867</v>
      </c>
      <c r="N423" s="24" t="n">
        <v>1</v>
      </c>
      <c r="O423" s="24" t="n">
        <v>2</v>
      </c>
      <c r="P423" s="24" t="n">
        <v>4</v>
      </c>
      <c r="Q423" s="24" t="str">
        <f aca="false">$L423&amp;"-"&amp;TEXT($N423,"00")&amp;"-"&amp;$O423&amp;"-"&amp;TEXT($P423,"00")</f>
        <v>F-01-2-04</v>
      </c>
      <c r="R423" s="34" t="str">
        <f aca="false">"ZONE "&amp;$L423&amp;" / BAY "&amp;TEXT($N423,"00")&amp;" / SHELF "&amp;$O423&amp;" / BIN "&amp;TEXT($P423,"00")</f>
        <v>ZONE F / BAY 01 / SHELF 2 / BIN 04</v>
      </c>
      <c r="S423" s="34" t="s">
        <v>1845</v>
      </c>
      <c r="T423" s="34" t="s">
        <v>1844</v>
      </c>
      <c r="U423" s="27" t="n">
        <v>422</v>
      </c>
      <c r="V423" s="30" t="n">
        <v>46210</v>
      </c>
      <c r="W423" s="34" t="str">
        <f aca="false">IF($H423&gt;0,"Yes - "&amp;$H423&amp;" in stock at Store 0146 (size "&amp;$G423&amp;"). Back room location "&amp;$Q423&amp;" ("&amp;$R423&amp;"), "&amp;$S423&amp;". Back room "&amp;$J423&amp;" / sales floor "&amp;$I423&amp;".","Not currently in stock at Store 0146 (size "&amp;$G423&amp;"). Home location is "&amp;$Q423&amp;" ("&amp;$R423&amp;") when replenished.")</f>
        <v>Not currently in stock at Store 0146 (size 8). Home location is F-01-2-04 (ZONE F / BAY 01 / SHELF 2 / BIN 04) when replenished.</v>
      </c>
    </row>
    <row r="424" customFormat="false" ht="15" hidden="false" customHeight="false" outlineLevel="0" collapsed="false">
      <c r="A424" s="34" t="s">
        <v>1460</v>
      </c>
      <c r="B424" s="34" t="s">
        <v>1461</v>
      </c>
      <c r="C424" s="34" t="s">
        <v>803</v>
      </c>
      <c r="D424" s="34" t="s">
        <v>194</v>
      </c>
      <c r="E424" s="34" t="s">
        <v>804</v>
      </c>
      <c r="F424" s="34" t="s">
        <v>806</v>
      </c>
      <c r="G424" s="24" t="s">
        <v>164</v>
      </c>
      <c r="H424" s="27" t="n">
        <f aca="false">IFERROR(INDEX('Inventory Master'!$T$2:$T$525,MATCH($A424,'Inventory Master'!$A$2:$A$525,0)),0)</f>
        <v>3</v>
      </c>
      <c r="I424" s="27" t="n">
        <v>1</v>
      </c>
      <c r="J424" s="27" t="n">
        <f aca="false">MAX(0,$H424-$I424)</f>
        <v>2</v>
      </c>
      <c r="K424" s="34" t="str">
        <f aca="false">IF($H424&gt;0,"In Stock","Out of Stock")</f>
        <v>In Stock</v>
      </c>
      <c r="L424" s="24" t="s">
        <v>1866</v>
      </c>
      <c r="M424" s="34" t="s">
        <v>1867</v>
      </c>
      <c r="N424" s="24" t="n">
        <v>1</v>
      </c>
      <c r="O424" s="24" t="n">
        <v>2</v>
      </c>
      <c r="P424" s="24" t="n">
        <v>5</v>
      </c>
      <c r="Q424" s="24" t="str">
        <f aca="false">$L424&amp;"-"&amp;TEXT($N424,"00")&amp;"-"&amp;$O424&amp;"-"&amp;TEXT($P424,"00")</f>
        <v>F-01-2-05</v>
      </c>
      <c r="R424" s="34" t="str">
        <f aca="false">"ZONE "&amp;$L424&amp;" / BAY "&amp;TEXT($N424,"00")&amp;" / SHELF "&amp;$O424&amp;" / BIN "&amp;TEXT($P424,"00")</f>
        <v>ZONE F / BAY 01 / SHELF 2 / BIN 05</v>
      </c>
      <c r="S424" s="34" t="s">
        <v>1845</v>
      </c>
      <c r="T424" s="34" t="s">
        <v>1844</v>
      </c>
      <c r="U424" s="27" t="n">
        <v>423</v>
      </c>
      <c r="V424" s="30" t="n">
        <v>46196</v>
      </c>
      <c r="W424" s="34" t="str">
        <f aca="false">IF($H424&gt;0,"Yes - "&amp;$H424&amp;" in stock at Store 0146 (size "&amp;$G424&amp;"). Back room location "&amp;$Q424&amp;" ("&amp;$R424&amp;"), "&amp;$S424&amp;". Back room "&amp;$J424&amp;" / sales floor "&amp;$I424&amp;".","Not currently in stock at Store 0146 (size "&amp;$G424&amp;"). Home location is "&amp;$Q424&amp;" ("&amp;$R424&amp;") when replenished.")</f>
        <v>Yes - 3 in stock at Store 0146 (size 9). Back room location F-01-2-05 (ZONE F / BAY 01 / SHELF 2 / BIN 05), Waist height. Back room 2 / sales floor 1.</v>
      </c>
    </row>
    <row r="425" customFormat="false" ht="15" hidden="false" customHeight="false" outlineLevel="0" collapsed="false">
      <c r="A425" s="34" t="s">
        <v>1002</v>
      </c>
      <c r="B425" s="34" t="s">
        <v>1003</v>
      </c>
      <c r="C425" s="34" t="s">
        <v>803</v>
      </c>
      <c r="D425" s="34" t="s">
        <v>194</v>
      </c>
      <c r="E425" s="34" t="s">
        <v>804</v>
      </c>
      <c r="F425" s="34" t="s">
        <v>806</v>
      </c>
      <c r="G425" s="24" t="s">
        <v>211</v>
      </c>
      <c r="H425" s="27" t="n">
        <f aca="false">IFERROR(INDEX('Inventory Master'!$T$2:$T$525,MATCH($A425,'Inventory Master'!$A$2:$A$525,0)),0)</f>
        <v>3</v>
      </c>
      <c r="I425" s="27" t="n">
        <v>1</v>
      </c>
      <c r="J425" s="27" t="n">
        <f aca="false">MAX(0,$H425-$I425)</f>
        <v>2</v>
      </c>
      <c r="K425" s="34" t="str">
        <f aca="false">IF($H425&gt;0,"In Stock","Out of Stock")</f>
        <v>In Stock</v>
      </c>
      <c r="L425" s="24" t="s">
        <v>1866</v>
      </c>
      <c r="M425" s="34" t="s">
        <v>1867</v>
      </c>
      <c r="N425" s="24" t="n">
        <v>1</v>
      </c>
      <c r="O425" s="24" t="n">
        <v>2</v>
      </c>
      <c r="P425" s="24" t="n">
        <v>6</v>
      </c>
      <c r="Q425" s="24" t="str">
        <f aca="false">$L425&amp;"-"&amp;TEXT($N425,"00")&amp;"-"&amp;$O425&amp;"-"&amp;TEXT($P425,"00")</f>
        <v>F-01-2-06</v>
      </c>
      <c r="R425" s="34" t="str">
        <f aca="false">"ZONE "&amp;$L425&amp;" / BAY "&amp;TEXT($N425,"00")&amp;" / SHELF "&amp;$O425&amp;" / BIN "&amp;TEXT($P425,"00")</f>
        <v>ZONE F / BAY 01 / SHELF 2 / BIN 06</v>
      </c>
      <c r="S425" s="34" t="s">
        <v>1845</v>
      </c>
      <c r="T425" s="34" t="s">
        <v>1844</v>
      </c>
      <c r="U425" s="27" t="n">
        <v>424</v>
      </c>
      <c r="V425" s="30" t="n">
        <v>46158</v>
      </c>
      <c r="W425" s="34" t="str">
        <f aca="false">IF($H425&gt;0,"Yes - "&amp;$H425&amp;" in stock at Store 0146 (size "&amp;$G425&amp;"). Back room location "&amp;$Q425&amp;" ("&amp;$R425&amp;"), "&amp;$S425&amp;". Back room "&amp;$J425&amp;" / sales floor "&amp;$I425&amp;".","Not currently in stock at Store 0146 (size "&amp;$G425&amp;"). Home location is "&amp;$Q425&amp;" ("&amp;$R425&amp;") when replenished.")</f>
        <v>Yes - 3 in stock at Store 0146 (size 10). Back room location F-01-2-06 (ZONE F / BAY 01 / SHELF 2 / BIN 06), Waist height. Back room 2 / sales floor 1.</v>
      </c>
    </row>
    <row r="426" customFormat="false" ht="15" hidden="false" customHeight="false" outlineLevel="0" collapsed="false">
      <c r="A426" s="34" t="s">
        <v>1229</v>
      </c>
      <c r="B426" s="34" t="s">
        <v>1230</v>
      </c>
      <c r="C426" s="34" t="s">
        <v>192</v>
      </c>
      <c r="D426" s="34" t="s">
        <v>194</v>
      </c>
      <c r="E426" s="34" t="s">
        <v>195</v>
      </c>
      <c r="F426" s="34" t="s">
        <v>197</v>
      </c>
      <c r="G426" s="24" t="s">
        <v>810</v>
      </c>
      <c r="H426" s="27" t="n">
        <f aca="false">IFERROR(INDEX('Inventory Master'!$T$2:$T$525,MATCH($A426,'Inventory Master'!$A$2:$A$525,0)),0)</f>
        <v>2</v>
      </c>
      <c r="I426" s="27" t="n">
        <v>2</v>
      </c>
      <c r="J426" s="27" t="n">
        <f aca="false">MAX(0,$H426-$I426)</f>
        <v>0</v>
      </c>
      <c r="K426" s="34" t="str">
        <f aca="false">IF($H426&gt;0,"In Stock","Out of Stock")</f>
        <v>In Stock</v>
      </c>
      <c r="L426" s="24" t="s">
        <v>1866</v>
      </c>
      <c r="M426" s="34" t="s">
        <v>1867</v>
      </c>
      <c r="N426" s="24" t="n">
        <v>1</v>
      </c>
      <c r="O426" s="24" t="n">
        <v>3</v>
      </c>
      <c r="P426" s="24" t="n">
        <v>1</v>
      </c>
      <c r="Q426" s="24" t="str">
        <f aca="false">$L426&amp;"-"&amp;TEXT($N426,"00")&amp;"-"&amp;$O426&amp;"-"&amp;TEXT($P426,"00")</f>
        <v>F-01-3-01</v>
      </c>
      <c r="R426" s="34" t="str">
        <f aca="false">"ZONE "&amp;$L426&amp;" / BAY "&amp;TEXT($N426,"00")&amp;" / SHELF "&amp;$O426&amp;" / BIN "&amp;TEXT($P426,"00")</f>
        <v>ZONE F / BAY 01 / SHELF 3 / BIN 01</v>
      </c>
      <c r="S426" s="34" t="s">
        <v>1846</v>
      </c>
      <c r="T426" s="34" t="s">
        <v>1844</v>
      </c>
      <c r="U426" s="27" t="n">
        <v>425</v>
      </c>
      <c r="V426" s="30" t="n">
        <v>46175</v>
      </c>
      <c r="W426" s="34" t="str">
        <f aca="false">IF($H426&gt;0,"Yes - "&amp;$H426&amp;" in stock at Store 0146 (size "&amp;$G426&amp;"). Back room location "&amp;$Q426&amp;" ("&amp;$R426&amp;"), "&amp;$S426&amp;". Back room "&amp;$J426&amp;" / sales floor "&amp;$I426&amp;".","Not currently in stock at Store 0146 (size "&amp;$G426&amp;"). Home location is "&amp;$Q426&amp;" ("&amp;$R426&amp;") when replenished.")</f>
        <v>Yes - 2 in stock at Store 0146 (size 13C). Back room location F-01-3-01 (ZONE F / BAY 01 / SHELF 3 / BIN 01), Eye level. Back room 0 / sales floor 2.</v>
      </c>
    </row>
    <row r="427" customFormat="false" ht="15" hidden="false" customHeight="false" outlineLevel="0" collapsed="false">
      <c r="A427" s="34" t="s">
        <v>1143</v>
      </c>
      <c r="B427" s="34" t="s">
        <v>1144</v>
      </c>
      <c r="C427" s="34" t="s">
        <v>192</v>
      </c>
      <c r="D427" s="34" t="s">
        <v>194</v>
      </c>
      <c r="E427" s="34" t="s">
        <v>195</v>
      </c>
      <c r="F427" s="34" t="s">
        <v>197</v>
      </c>
      <c r="G427" s="24" t="s">
        <v>1145</v>
      </c>
      <c r="H427" s="27" t="n">
        <f aca="false">IFERROR(INDEX('Inventory Master'!$T$2:$T$525,MATCH($A427,'Inventory Master'!$A$2:$A$525,0)),0)</f>
        <v>0</v>
      </c>
      <c r="I427" s="27" t="n">
        <v>0</v>
      </c>
      <c r="J427" s="27" t="n">
        <f aca="false">MAX(0,$H427-$I427)</f>
        <v>0</v>
      </c>
      <c r="K427" s="34" t="str">
        <f aca="false">IF($H427&gt;0,"In Stock","Out of Stock")</f>
        <v>Out of Stock</v>
      </c>
      <c r="L427" s="24" t="s">
        <v>1866</v>
      </c>
      <c r="M427" s="34" t="s">
        <v>1867</v>
      </c>
      <c r="N427" s="24" t="n">
        <v>1</v>
      </c>
      <c r="O427" s="24" t="n">
        <v>3</v>
      </c>
      <c r="P427" s="24" t="n">
        <v>2</v>
      </c>
      <c r="Q427" s="24" t="str">
        <f aca="false">$L427&amp;"-"&amp;TEXT($N427,"00")&amp;"-"&amp;$O427&amp;"-"&amp;TEXT($P427,"00")</f>
        <v>F-01-3-02</v>
      </c>
      <c r="R427" s="34" t="str">
        <f aca="false">"ZONE "&amp;$L427&amp;" / BAY "&amp;TEXT($N427,"00")&amp;" / SHELF "&amp;$O427&amp;" / BIN "&amp;TEXT($P427,"00")</f>
        <v>ZONE F / BAY 01 / SHELF 3 / BIN 02</v>
      </c>
      <c r="S427" s="34" t="s">
        <v>1846</v>
      </c>
      <c r="T427" s="34" t="s">
        <v>1844</v>
      </c>
      <c r="U427" s="27" t="n">
        <v>426</v>
      </c>
      <c r="V427" s="30" t="n">
        <v>46215</v>
      </c>
      <c r="W427" s="34" t="str">
        <f aca="false">IF($H427&gt;0,"Yes - "&amp;$H427&amp;" in stock at Store 0146 (size "&amp;$G427&amp;"). Back room location "&amp;$Q427&amp;" ("&amp;$R427&amp;"), "&amp;$S427&amp;". Back room "&amp;$J427&amp;" / sales floor "&amp;$I427&amp;".","Not currently in stock at Store 0146 (size "&amp;$G427&amp;"). Home location is "&amp;$Q427&amp;" ("&amp;$R427&amp;") when replenished.")</f>
        <v>Not currently in stock at Store 0146 (size 1Y). Home location is F-01-3-02 (ZONE F / BAY 01 / SHELF 3 / BIN 02) when replenished.</v>
      </c>
    </row>
    <row r="428" customFormat="false" ht="15" hidden="false" customHeight="false" outlineLevel="0" collapsed="false">
      <c r="A428" s="34" t="s">
        <v>190</v>
      </c>
      <c r="B428" s="34" t="s">
        <v>191</v>
      </c>
      <c r="C428" s="34" t="s">
        <v>192</v>
      </c>
      <c r="D428" s="34" t="s">
        <v>194</v>
      </c>
      <c r="E428" s="34" t="s">
        <v>195</v>
      </c>
      <c r="F428" s="34" t="s">
        <v>197</v>
      </c>
      <c r="G428" s="24" t="s">
        <v>201</v>
      </c>
      <c r="H428" s="27" t="n">
        <f aca="false">IFERROR(INDEX('Inventory Master'!$T$2:$T$525,MATCH($A428,'Inventory Master'!$A$2:$A$525,0)),0)</f>
        <v>3</v>
      </c>
      <c r="I428" s="27" t="n">
        <v>1</v>
      </c>
      <c r="J428" s="27" t="n">
        <f aca="false">MAX(0,$H428-$I428)</f>
        <v>2</v>
      </c>
      <c r="K428" s="34" t="str">
        <f aca="false">IF($H428&gt;0,"In Stock","Out of Stock")</f>
        <v>In Stock</v>
      </c>
      <c r="L428" s="24" t="s">
        <v>1866</v>
      </c>
      <c r="M428" s="34" t="s">
        <v>1867</v>
      </c>
      <c r="N428" s="24" t="n">
        <v>1</v>
      </c>
      <c r="O428" s="24" t="n">
        <v>3</v>
      </c>
      <c r="P428" s="24" t="n">
        <v>3</v>
      </c>
      <c r="Q428" s="24" t="str">
        <f aca="false">$L428&amp;"-"&amp;TEXT($N428,"00")&amp;"-"&amp;$O428&amp;"-"&amp;TEXT($P428,"00")</f>
        <v>F-01-3-03</v>
      </c>
      <c r="R428" s="34" t="str">
        <f aca="false">"ZONE "&amp;$L428&amp;" / BAY "&amp;TEXT($N428,"00")&amp;" / SHELF "&amp;$O428&amp;" / BIN "&amp;TEXT($P428,"00")</f>
        <v>ZONE F / BAY 01 / SHELF 3 / BIN 03</v>
      </c>
      <c r="S428" s="34" t="s">
        <v>1846</v>
      </c>
      <c r="T428" s="34" t="s">
        <v>1844</v>
      </c>
      <c r="U428" s="27" t="n">
        <v>427</v>
      </c>
      <c r="V428" s="30" t="n">
        <v>46160</v>
      </c>
      <c r="W428" s="34" t="str">
        <f aca="false">IF($H428&gt;0,"Yes - "&amp;$H428&amp;" in stock at Store 0146 (size "&amp;$G428&amp;"). Back room location "&amp;$Q428&amp;" ("&amp;$R428&amp;"), "&amp;$S428&amp;". Back room "&amp;$J428&amp;" / sales floor "&amp;$I428&amp;".","Not currently in stock at Store 0146 (size "&amp;$G428&amp;"). Home location is "&amp;$Q428&amp;" ("&amp;$R428&amp;") when replenished.")</f>
        <v>Yes - 3 in stock at Store 0146 (size 2Y). Back room location F-01-3-03 (ZONE F / BAY 01 / SHELF 3 / BIN 03), Eye level. Back room 2 / sales floor 1.</v>
      </c>
    </row>
    <row r="429" customFormat="false" ht="15" hidden="false" customHeight="false" outlineLevel="0" collapsed="false">
      <c r="A429" s="34" t="s">
        <v>1160</v>
      </c>
      <c r="B429" s="34" t="s">
        <v>1161</v>
      </c>
      <c r="C429" s="34" t="s">
        <v>192</v>
      </c>
      <c r="D429" s="34" t="s">
        <v>194</v>
      </c>
      <c r="E429" s="34" t="s">
        <v>195</v>
      </c>
      <c r="F429" s="34" t="s">
        <v>197</v>
      </c>
      <c r="G429" s="24" t="s">
        <v>401</v>
      </c>
      <c r="H429" s="27" t="n">
        <f aca="false">IFERROR(INDEX('Inventory Master'!$T$2:$T$525,MATCH($A429,'Inventory Master'!$A$2:$A$525,0)),0)</f>
        <v>0</v>
      </c>
      <c r="I429" s="27" t="n">
        <v>0</v>
      </c>
      <c r="J429" s="27" t="n">
        <f aca="false">MAX(0,$H429-$I429)</f>
        <v>0</v>
      </c>
      <c r="K429" s="34" t="str">
        <f aca="false">IF($H429&gt;0,"In Stock","Out of Stock")</f>
        <v>Out of Stock</v>
      </c>
      <c r="L429" s="24" t="s">
        <v>1866</v>
      </c>
      <c r="M429" s="34" t="s">
        <v>1867</v>
      </c>
      <c r="N429" s="24" t="n">
        <v>1</v>
      </c>
      <c r="O429" s="24" t="n">
        <v>3</v>
      </c>
      <c r="P429" s="24" t="n">
        <v>4</v>
      </c>
      <c r="Q429" s="24" t="str">
        <f aca="false">$L429&amp;"-"&amp;TEXT($N429,"00")&amp;"-"&amp;$O429&amp;"-"&amp;TEXT($P429,"00")</f>
        <v>F-01-3-04</v>
      </c>
      <c r="R429" s="34" t="str">
        <f aca="false">"ZONE "&amp;$L429&amp;" / BAY "&amp;TEXT($N429,"00")&amp;" / SHELF "&amp;$O429&amp;" / BIN "&amp;TEXT($P429,"00")</f>
        <v>ZONE F / BAY 01 / SHELF 3 / BIN 04</v>
      </c>
      <c r="S429" s="34" t="s">
        <v>1846</v>
      </c>
      <c r="T429" s="34" t="s">
        <v>1844</v>
      </c>
      <c r="U429" s="27" t="n">
        <v>428</v>
      </c>
      <c r="V429" s="30" t="n">
        <v>46144</v>
      </c>
      <c r="W429" s="34" t="str">
        <f aca="false">IF($H429&gt;0,"Yes - "&amp;$H429&amp;" in stock at Store 0146 (size "&amp;$G429&amp;"). Back room location "&amp;$Q429&amp;" ("&amp;$R429&amp;"), "&amp;$S429&amp;". Back room "&amp;$J429&amp;" / sales floor "&amp;$I429&amp;".","Not currently in stock at Store 0146 (size "&amp;$G429&amp;"). Home location is "&amp;$Q429&amp;" ("&amp;$R429&amp;") when replenished.")</f>
        <v>Not currently in stock at Store 0146 (size 3Y). Home location is F-01-3-04 (ZONE F / BAY 01 / SHELF 3 / BIN 04) when replenished.</v>
      </c>
    </row>
    <row r="430" customFormat="false" ht="15" hidden="false" customHeight="false" outlineLevel="0" collapsed="false">
      <c r="A430" s="34" t="s">
        <v>509</v>
      </c>
      <c r="B430" s="34" t="s">
        <v>510</v>
      </c>
      <c r="C430" s="34" t="s">
        <v>511</v>
      </c>
      <c r="D430" s="34" t="s">
        <v>194</v>
      </c>
      <c r="E430" s="34" t="s">
        <v>195</v>
      </c>
      <c r="F430" s="34" t="s">
        <v>513</v>
      </c>
      <c r="G430" s="24" t="s">
        <v>211</v>
      </c>
      <c r="H430" s="27" t="n">
        <f aca="false">IFERROR(INDEX('Inventory Master'!$T$2:$T$525,MATCH($A430,'Inventory Master'!$A$2:$A$525,0)),0)</f>
        <v>2</v>
      </c>
      <c r="I430" s="27" t="n">
        <v>0</v>
      </c>
      <c r="J430" s="27" t="n">
        <f aca="false">MAX(0,$H430-$I430)</f>
        <v>2</v>
      </c>
      <c r="K430" s="34" t="str">
        <f aca="false">IF($H430&gt;0,"In Stock","Out of Stock")</f>
        <v>In Stock</v>
      </c>
      <c r="L430" s="24" t="s">
        <v>1866</v>
      </c>
      <c r="M430" s="34" t="s">
        <v>1867</v>
      </c>
      <c r="N430" s="24" t="n">
        <v>1</v>
      </c>
      <c r="O430" s="24" t="n">
        <v>4</v>
      </c>
      <c r="P430" s="24" t="n">
        <v>1</v>
      </c>
      <c r="Q430" s="24" t="str">
        <f aca="false">$L430&amp;"-"&amp;TEXT($N430,"00")&amp;"-"&amp;$O430&amp;"-"&amp;TEXT($P430,"00")</f>
        <v>F-01-4-01</v>
      </c>
      <c r="R430" s="34" t="str">
        <f aca="false">"ZONE "&amp;$L430&amp;" / BAY "&amp;TEXT($N430,"00")&amp;" / SHELF "&amp;$O430&amp;" / BIN "&amp;TEXT($P430,"00")</f>
        <v>ZONE F / BAY 01 / SHELF 4 / BIN 01</v>
      </c>
      <c r="S430" s="34" t="s">
        <v>1847</v>
      </c>
      <c r="T430" s="34" t="s">
        <v>1844</v>
      </c>
      <c r="U430" s="27" t="n">
        <v>429</v>
      </c>
      <c r="V430" s="30" t="n">
        <v>46196</v>
      </c>
      <c r="W430" s="34" t="str">
        <f aca="false">IF($H430&gt;0,"Yes - "&amp;$H430&amp;" in stock at Store 0146 (size "&amp;$G430&amp;"). Back room location "&amp;$Q430&amp;" ("&amp;$R430&amp;"), "&amp;$S430&amp;". Back room "&amp;$J430&amp;" / sales floor "&amp;$I430&amp;".","Not currently in stock at Store 0146 (size "&amp;$G430&amp;"). Home location is "&amp;$Q430&amp;" ("&amp;$R430&amp;") when replenished.")</f>
        <v>Yes - 2 in stock at Store 0146 (size 10). Back room location F-01-4-01 (ZONE F / BAY 01 / SHELF 4 / BIN 01), Overhead - step stool. Back room 2 / sales floor 0.</v>
      </c>
    </row>
    <row r="431" customFormat="false" ht="15" hidden="false" customHeight="false" outlineLevel="0" collapsed="false">
      <c r="A431" s="34" t="s">
        <v>1789</v>
      </c>
      <c r="B431" s="34" t="s">
        <v>1790</v>
      </c>
      <c r="C431" s="34" t="s">
        <v>511</v>
      </c>
      <c r="D431" s="34" t="s">
        <v>194</v>
      </c>
      <c r="E431" s="34" t="s">
        <v>195</v>
      </c>
      <c r="F431" s="34" t="s">
        <v>513</v>
      </c>
      <c r="G431" s="24" t="s">
        <v>258</v>
      </c>
      <c r="H431" s="27" t="n">
        <f aca="false">IFERROR(INDEX('Inventory Master'!$T$2:$T$525,MATCH($A431,'Inventory Master'!$A$2:$A$525,0)),0)</f>
        <v>8</v>
      </c>
      <c r="I431" s="27" t="n">
        <v>1</v>
      </c>
      <c r="J431" s="27" t="n">
        <f aca="false">MAX(0,$H431-$I431)</f>
        <v>7</v>
      </c>
      <c r="K431" s="34" t="str">
        <f aca="false">IF($H431&gt;0,"In Stock","Out of Stock")</f>
        <v>In Stock</v>
      </c>
      <c r="L431" s="24" t="s">
        <v>1866</v>
      </c>
      <c r="M431" s="34" t="s">
        <v>1867</v>
      </c>
      <c r="N431" s="24" t="n">
        <v>1</v>
      </c>
      <c r="O431" s="24" t="n">
        <v>4</v>
      </c>
      <c r="P431" s="24" t="n">
        <v>2</v>
      </c>
      <c r="Q431" s="24" t="str">
        <f aca="false">$L431&amp;"-"&amp;TEXT($N431,"00")&amp;"-"&amp;$O431&amp;"-"&amp;TEXT($P431,"00")</f>
        <v>F-01-4-02</v>
      </c>
      <c r="R431" s="34" t="str">
        <f aca="false">"ZONE "&amp;$L431&amp;" / BAY "&amp;TEXT($N431,"00")&amp;" / SHELF "&amp;$O431&amp;" / BIN "&amp;TEXT($P431,"00")</f>
        <v>ZONE F / BAY 01 / SHELF 4 / BIN 02</v>
      </c>
      <c r="S431" s="34" t="s">
        <v>1847</v>
      </c>
      <c r="T431" s="34" t="s">
        <v>1868</v>
      </c>
      <c r="U431" s="27" t="n">
        <v>430</v>
      </c>
      <c r="V431" s="30" t="n">
        <v>46227</v>
      </c>
      <c r="W431" s="34" t="str">
        <f aca="false">IF($H431&gt;0,"Yes - "&amp;$H431&amp;" in stock at Store 0146 (size "&amp;$G431&amp;"). Back room location "&amp;$Q431&amp;" ("&amp;$R431&amp;"), "&amp;$S431&amp;". Back room "&amp;$J431&amp;" / sales floor "&amp;$I431&amp;".","Not currently in stock at Store 0146 (size "&amp;$G431&amp;"). Home location is "&amp;$Q431&amp;" ("&amp;$R431&amp;") when replenished.")</f>
        <v>Yes - 8 in stock at Store 0146 (size 11). Back room location F-01-4-02 (ZONE F / BAY 01 / SHELF 4 / BIN 02), Overhead - step stool. Back room 7 / sales floor 1.</v>
      </c>
    </row>
    <row r="432" customFormat="false" ht="15" hidden="false" customHeight="false" outlineLevel="0" collapsed="false">
      <c r="A432" s="34" t="s">
        <v>1296</v>
      </c>
      <c r="B432" s="34" t="s">
        <v>1297</v>
      </c>
      <c r="C432" s="34" t="s">
        <v>511</v>
      </c>
      <c r="D432" s="34" t="s">
        <v>194</v>
      </c>
      <c r="E432" s="34" t="s">
        <v>195</v>
      </c>
      <c r="F432" s="34" t="s">
        <v>513</v>
      </c>
      <c r="G432" s="24" t="s">
        <v>130</v>
      </c>
      <c r="H432" s="27" t="n">
        <f aca="false">IFERROR(INDEX('Inventory Master'!$T$2:$T$525,MATCH($A432,'Inventory Master'!$A$2:$A$525,0)),0)</f>
        <v>0</v>
      </c>
      <c r="I432" s="27" t="n">
        <v>0</v>
      </c>
      <c r="J432" s="27" t="n">
        <f aca="false">MAX(0,$H432-$I432)</f>
        <v>0</v>
      </c>
      <c r="K432" s="34" t="str">
        <f aca="false">IF($H432&gt;0,"In Stock","Out of Stock")</f>
        <v>Out of Stock</v>
      </c>
      <c r="L432" s="24" t="s">
        <v>1866</v>
      </c>
      <c r="M432" s="34" t="s">
        <v>1867</v>
      </c>
      <c r="N432" s="24" t="n">
        <v>1</v>
      </c>
      <c r="O432" s="24" t="n">
        <v>4</v>
      </c>
      <c r="P432" s="24" t="n">
        <v>3</v>
      </c>
      <c r="Q432" s="24" t="str">
        <f aca="false">$L432&amp;"-"&amp;TEXT($N432,"00")&amp;"-"&amp;$O432&amp;"-"&amp;TEXT($P432,"00")</f>
        <v>F-01-4-03</v>
      </c>
      <c r="R432" s="34" t="str">
        <f aca="false">"ZONE "&amp;$L432&amp;" / BAY "&amp;TEXT($N432,"00")&amp;" / SHELF "&amp;$O432&amp;" / BIN "&amp;TEXT($P432,"00")</f>
        <v>ZONE F / BAY 01 / SHELF 4 / BIN 03</v>
      </c>
      <c r="S432" s="34" t="s">
        <v>1847</v>
      </c>
      <c r="T432" s="34" t="s">
        <v>1844</v>
      </c>
      <c r="U432" s="27" t="n">
        <v>431</v>
      </c>
      <c r="V432" s="30" t="n">
        <v>46141</v>
      </c>
      <c r="W432" s="34" t="str">
        <f aca="false">IF($H432&gt;0,"Yes - "&amp;$H432&amp;" in stock at Store 0146 (size "&amp;$G432&amp;"). Back room location "&amp;$Q432&amp;" ("&amp;$R432&amp;"), "&amp;$S432&amp;". Back room "&amp;$J432&amp;" / sales floor "&amp;$I432&amp;".","Not currently in stock at Store 0146 (size "&amp;$G432&amp;"). Home location is "&amp;$Q432&amp;" ("&amp;$R432&amp;") when replenished.")</f>
        <v>Not currently in stock at Store 0146 (size 12). Home location is F-01-4-03 (ZONE F / BAY 01 / SHELF 4 / BIN 03) when replenished.</v>
      </c>
    </row>
    <row r="433" customFormat="false" ht="15" hidden="false" customHeight="false" outlineLevel="0" collapsed="false">
      <c r="A433" s="34" t="s">
        <v>874</v>
      </c>
      <c r="B433" s="34" t="s">
        <v>875</v>
      </c>
      <c r="C433" s="34" t="s">
        <v>629</v>
      </c>
      <c r="D433" s="34" t="s">
        <v>123</v>
      </c>
      <c r="E433" s="34" t="s">
        <v>630</v>
      </c>
      <c r="F433" s="34" t="s">
        <v>632</v>
      </c>
      <c r="G433" s="24" t="s">
        <v>876</v>
      </c>
      <c r="H433" s="27" t="n">
        <f aca="false">IFERROR(INDEX('Inventory Master'!$T$2:$T$525,MATCH($A433,'Inventory Master'!$A$2:$A$525,0)),0)</f>
        <v>2</v>
      </c>
      <c r="I433" s="27" t="n">
        <v>1</v>
      </c>
      <c r="J433" s="27" t="n">
        <f aca="false">MAX(0,$H433-$I433)</f>
        <v>1</v>
      </c>
      <c r="K433" s="34" t="str">
        <f aca="false">IF($H433&gt;0,"In Stock","Out of Stock")</f>
        <v>In Stock</v>
      </c>
      <c r="L433" s="24" t="s">
        <v>1866</v>
      </c>
      <c r="M433" s="34" t="s">
        <v>1867</v>
      </c>
      <c r="N433" s="24" t="n">
        <v>1</v>
      </c>
      <c r="O433" s="24" t="n">
        <v>5</v>
      </c>
      <c r="P433" s="24" t="n">
        <v>1</v>
      </c>
      <c r="Q433" s="24" t="str">
        <f aca="false">$L433&amp;"-"&amp;TEXT($N433,"00")&amp;"-"&amp;$O433&amp;"-"&amp;TEXT($P433,"00")</f>
        <v>F-01-5-01</v>
      </c>
      <c r="R433" s="34" t="str">
        <f aca="false">"ZONE "&amp;$L433&amp;" / BAY "&amp;TEXT($N433,"00")&amp;" / SHELF "&amp;$O433&amp;" / BIN "&amp;TEXT($P433,"00")</f>
        <v>ZONE F / BAY 01 / SHELF 5 / BIN 01</v>
      </c>
      <c r="S433" s="34" t="s">
        <v>1848</v>
      </c>
      <c r="T433" s="34" t="s">
        <v>1844</v>
      </c>
      <c r="U433" s="27" t="n">
        <v>432</v>
      </c>
      <c r="V433" s="30" t="n">
        <v>46176</v>
      </c>
      <c r="W433" s="34" t="str">
        <f aca="false">IF($H433&gt;0,"Yes - "&amp;$H433&amp;" in stock at Store 0146 (size "&amp;$G433&amp;"). Back room location "&amp;$Q433&amp;" ("&amp;$R433&amp;"), "&amp;$S433&amp;". Back room "&amp;$J433&amp;" / sales floor "&amp;$I433&amp;".","Not currently in stock at Store 0146 (size "&amp;$G433&amp;"). Home location is "&amp;$Q433&amp;" ("&amp;$R433&amp;") when replenished.")</f>
        <v>Yes - 2 in stock at Store 0146 (size 11C). Back room location F-01-5-01 (ZONE F / BAY 01 / SHELF 5 / BIN 01), Top shelf - ladder required. Back room 1 / sales floor 1.</v>
      </c>
    </row>
    <row r="434" customFormat="false" ht="15" hidden="false" customHeight="false" outlineLevel="0" collapsed="false">
      <c r="A434" s="34" t="s">
        <v>627</v>
      </c>
      <c r="B434" s="34" t="s">
        <v>628</v>
      </c>
      <c r="C434" s="34" t="s">
        <v>629</v>
      </c>
      <c r="D434" s="34" t="s">
        <v>123</v>
      </c>
      <c r="E434" s="34" t="s">
        <v>630</v>
      </c>
      <c r="F434" s="34" t="s">
        <v>632</v>
      </c>
      <c r="G434" s="24" t="s">
        <v>633</v>
      </c>
      <c r="H434" s="27" t="n">
        <f aca="false">IFERROR(INDEX('Inventory Master'!$T$2:$T$525,MATCH($A434,'Inventory Master'!$A$2:$A$525,0)),0)</f>
        <v>4</v>
      </c>
      <c r="I434" s="27" t="n">
        <v>1</v>
      </c>
      <c r="J434" s="27" t="n">
        <f aca="false">MAX(0,$H434-$I434)</f>
        <v>3</v>
      </c>
      <c r="K434" s="34" t="str">
        <f aca="false">IF($H434&gt;0,"In Stock","Out of Stock")</f>
        <v>In Stock</v>
      </c>
      <c r="L434" s="24" t="s">
        <v>1866</v>
      </c>
      <c r="M434" s="34" t="s">
        <v>1867</v>
      </c>
      <c r="N434" s="24" t="n">
        <v>1</v>
      </c>
      <c r="O434" s="24" t="n">
        <v>5</v>
      </c>
      <c r="P434" s="24" t="n">
        <v>2</v>
      </c>
      <c r="Q434" s="24" t="str">
        <f aca="false">$L434&amp;"-"&amp;TEXT($N434,"00")&amp;"-"&amp;$O434&amp;"-"&amp;TEXT($P434,"00")</f>
        <v>F-01-5-02</v>
      </c>
      <c r="R434" s="34" t="str">
        <f aca="false">"ZONE "&amp;$L434&amp;" / BAY "&amp;TEXT($N434,"00")&amp;" / SHELF "&amp;$O434&amp;" / BIN "&amp;TEXT($P434,"00")</f>
        <v>ZONE F / BAY 01 / SHELF 5 / BIN 02</v>
      </c>
      <c r="S434" s="34" t="s">
        <v>1848</v>
      </c>
      <c r="T434" s="34" t="s">
        <v>1844</v>
      </c>
      <c r="U434" s="27" t="n">
        <v>433</v>
      </c>
      <c r="V434" s="30" t="n">
        <v>46199</v>
      </c>
      <c r="W434" s="34" t="str">
        <f aca="false">IF($H434&gt;0,"Yes - "&amp;$H434&amp;" in stock at Store 0146 (size "&amp;$G434&amp;"). Back room location "&amp;$Q434&amp;" ("&amp;$R434&amp;"), "&amp;$S434&amp;". Back room "&amp;$J434&amp;" / sales floor "&amp;$I434&amp;".","Not currently in stock at Store 0146 (size "&amp;$G434&amp;"). Home location is "&amp;$Q434&amp;" ("&amp;$R434&amp;") when replenished.")</f>
        <v>Yes - 4 in stock at Store 0146 (size 12C). Back room location F-01-5-02 (ZONE F / BAY 01 / SHELF 5 / BIN 02), Top shelf - ladder required. Back room 3 / sales floor 1.</v>
      </c>
    </row>
    <row r="435" customFormat="false" ht="15" hidden="false" customHeight="false" outlineLevel="0" collapsed="false">
      <c r="A435" s="34" t="s">
        <v>1277</v>
      </c>
      <c r="B435" s="34" t="s">
        <v>1278</v>
      </c>
      <c r="C435" s="34" t="s">
        <v>629</v>
      </c>
      <c r="D435" s="34" t="s">
        <v>123</v>
      </c>
      <c r="E435" s="34" t="s">
        <v>630</v>
      </c>
      <c r="F435" s="34" t="s">
        <v>632</v>
      </c>
      <c r="G435" s="24" t="s">
        <v>810</v>
      </c>
      <c r="H435" s="27" t="n">
        <f aca="false">IFERROR(INDEX('Inventory Master'!$T$2:$T$525,MATCH($A435,'Inventory Master'!$A$2:$A$525,0)),0)</f>
        <v>4</v>
      </c>
      <c r="I435" s="27" t="n">
        <v>1</v>
      </c>
      <c r="J435" s="27" t="n">
        <f aca="false">MAX(0,$H435-$I435)</f>
        <v>3</v>
      </c>
      <c r="K435" s="34" t="str">
        <f aca="false">IF($H435&gt;0,"In Stock","Out of Stock")</f>
        <v>In Stock</v>
      </c>
      <c r="L435" s="24" t="s">
        <v>1866</v>
      </c>
      <c r="M435" s="34" t="s">
        <v>1867</v>
      </c>
      <c r="N435" s="24" t="n">
        <v>1</v>
      </c>
      <c r="O435" s="24" t="n">
        <v>5</v>
      </c>
      <c r="P435" s="24" t="n">
        <v>3</v>
      </c>
      <c r="Q435" s="24" t="str">
        <f aca="false">$L435&amp;"-"&amp;TEXT($N435,"00")&amp;"-"&amp;$O435&amp;"-"&amp;TEXT($P435,"00")</f>
        <v>F-01-5-03</v>
      </c>
      <c r="R435" s="34" t="str">
        <f aca="false">"ZONE "&amp;$L435&amp;" / BAY "&amp;TEXT($N435,"00")&amp;" / SHELF "&amp;$O435&amp;" / BIN "&amp;TEXT($P435,"00")</f>
        <v>ZONE F / BAY 01 / SHELF 5 / BIN 03</v>
      </c>
      <c r="S435" s="34" t="s">
        <v>1848</v>
      </c>
      <c r="T435" s="34" t="s">
        <v>1844</v>
      </c>
      <c r="U435" s="27" t="n">
        <v>434</v>
      </c>
      <c r="V435" s="30" t="n">
        <v>46194</v>
      </c>
      <c r="W435" s="34" t="str">
        <f aca="false">IF($H435&gt;0,"Yes - "&amp;$H435&amp;" in stock at Store 0146 (size "&amp;$G435&amp;"). Back room location "&amp;$Q435&amp;" ("&amp;$R435&amp;"), "&amp;$S435&amp;". Back room "&amp;$J435&amp;" / sales floor "&amp;$I435&amp;".","Not currently in stock at Store 0146 (size "&amp;$G435&amp;"). Home location is "&amp;$Q435&amp;" ("&amp;$R435&amp;") when replenished.")</f>
        <v>Yes - 4 in stock at Store 0146 (size 13C). Back room location F-01-5-03 (ZONE F / BAY 01 / SHELF 5 / BIN 03), Top shelf - ladder required. Back room 3 / sales floor 1.</v>
      </c>
    </row>
    <row r="436" customFormat="false" ht="15" hidden="false" customHeight="false" outlineLevel="0" collapsed="false">
      <c r="A436" s="34" t="s">
        <v>523</v>
      </c>
      <c r="B436" s="34" t="s">
        <v>524</v>
      </c>
      <c r="C436" s="34" t="s">
        <v>525</v>
      </c>
      <c r="D436" s="34" t="s">
        <v>123</v>
      </c>
      <c r="E436" s="34" t="s">
        <v>526</v>
      </c>
      <c r="F436" s="34" t="s">
        <v>528</v>
      </c>
      <c r="G436" s="24" t="s">
        <v>188</v>
      </c>
      <c r="H436" s="27" t="n">
        <f aca="false">IFERROR(INDEX('Inventory Master'!$T$2:$T$525,MATCH($A436,'Inventory Master'!$A$2:$A$525,0)),0)</f>
        <v>2</v>
      </c>
      <c r="I436" s="27" t="n">
        <v>1</v>
      </c>
      <c r="J436" s="27" t="n">
        <f aca="false">MAX(0,$H436-$I436)</f>
        <v>1</v>
      </c>
      <c r="K436" s="34" t="str">
        <f aca="false">IF($H436&gt;0,"In Stock","Out of Stock")</f>
        <v>In Stock</v>
      </c>
      <c r="L436" s="24" t="s">
        <v>1866</v>
      </c>
      <c r="M436" s="34" t="s">
        <v>1867</v>
      </c>
      <c r="N436" s="24" t="n">
        <v>2</v>
      </c>
      <c r="O436" s="24" t="n">
        <v>1</v>
      </c>
      <c r="P436" s="24" t="n">
        <v>1</v>
      </c>
      <c r="Q436" s="24" t="str">
        <f aca="false">$L436&amp;"-"&amp;TEXT($N436,"00")&amp;"-"&amp;$O436&amp;"-"&amp;TEXT($P436,"00")</f>
        <v>F-02-1-01</v>
      </c>
      <c r="R436" s="34" t="str">
        <f aca="false">"ZONE "&amp;$L436&amp;" / BAY "&amp;TEXT($N436,"00")&amp;" / SHELF "&amp;$O436&amp;" / BIN "&amp;TEXT($P436,"00")</f>
        <v>ZONE F / BAY 02 / SHELF 1 / BIN 01</v>
      </c>
      <c r="S436" s="34" t="s">
        <v>1843</v>
      </c>
      <c r="T436" s="34" t="s">
        <v>1844</v>
      </c>
      <c r="U436" s="27" t="n">
        <v>435</v>
      </c>
      <c r="V436" s="30" t="n">
        <v>46181</v>
      </c>
      <c r="W436" s="34" t="str">
        <f aca="false">IF($H436&gt;0,"Yes - "&amp;$H436&amp;" in stock at Store 0146 (size "&amp;$G436&amp;"). Back room location "&amp;$Q436&amp;" ("&amp;$R436&amp;"), "&amp;$S436&amp;". Back room "&amp;$J436&amp;" / sales floor "&amp;$I436&amp;".","Not currently in stock at Store 0146 (size "&amp;$G436&amp;"). Home location is "&amp;$Q436&amp;" ("&amp;$R436&amp;") when replenished.")</f>
        <v>Yes - 2 in stock at Store 0146 (size 8.5). Back room location F-02-1-01 (ZONE F / BAY 02 / SHELF 1 / BIN 01), Floor level - no reach. Back room 1 / sales floor 1.</v>
      </c>
    </row>
    <row r="437" customFormat="false" ht="15" hidden="false" customHeight="false" outlineLevel="0" collapsed="false">
      <c r="A437" s="34" t="s">
        <v>1006</v>
      </c>
      <c r="B437" s="34" t="s">
        <v>1007</v>
      </c>
      <c r="C437" s="34" t="s">
        <v>525</v>
      </c>
      <c r="D437" s="34" t="s">
        <v>123</v>
      </c>
      <c r="E437" s="34" t="s">
        <v>526</v>
      </c>
      <c r="F437" s="34" t="s">
        <v>528</v>
      </c>
      <c r="G437" s="24" t="s">
        <v>164</v>
      </c>
      <c r="H437" s="27" t="n">
        <f aca="false">IFERROR(INDEX('Inventory Master'!$T$2:$T$525,MATCH($A437,'Inventory Master'!$A$2:$A$525,0)),0)</f>
        <v>2</v>
      </c>
      <c r="I437" s="27" t="n">
        <v>1</v>
      </c>
      <c r="J437" s="27" t="n">
        <f aca="false">MAX(0,$H437-$I437)</f>
        <v>1</v>
      </c>
      <c r="K437" s="34" t="str">
        <f aca="false">IF($H437&gt;0,"In Stock","Out of Stock")</f>
        <v>In Stock</v>
      </c>
      <c r="L437" s="24" t="s">
        <v>1866</v>
      </c>
      <c r="M437" s="34" t="s">
        <v>1867</v>
      </c>
      <c r="N437" s="24" t="n">
        <v>2</v>
      </c>
      <c r="O437" s="24" t="n">
        <v>1</v>
      </c>
      <c r="P437" s="24" t="n">
        <v>2</v>
      </c>
      <c r="Q437" s="24" t="str">
        <f aca="false">$L437&amp;"-"&amp;TEXT($N437,"00")&amp;"-"&amp;$O437&amp;"-"&amp;TEXT($P437,"00")</f>
        <v>F-02-1-02</v>
      </c>
      <c r="R437" s="34" t="str">
        <f aca="false">"ZONE "&amp;$L437&amp;" / BAY "&amp;TEXT($N437,"00")&amp;" / SHELF "&amp;$O437&amp;" / BIN "&amp;TEXT($P437,"00")</f>
        <v>ZONE F / BAY 02 / SHELF 1 / BIN 02</v>
      </c>
      <c r="S437" s="34" t="s">
        <v>1843</v>
      </c>
      <c r="T437" s="34" t="s">
        <v>1844</v>
      </c>
      <c r="U437" s="27" t="n">
        <v>436</v>
      </c>
      <c r="V437" s="30" t="n">
        <v>46158</v>
      </c>
      <c r="W437" s="34" t="str">
        <f aca="false">IF($H437&gt;0,"Yes - "&amp;$H437&amp;" in stock at Store 0146 (size "&amp;$G437&amp;"). Back room location "&amp;$Q437&amp;" ("&amp;$R437&amp;"), "&amp;$S437&amp;". Back room "&amp;$J437&amp;" / sales floor "&amp;$I437&amp;".","Not currently in stock at Store 0146 (size "&amp;$G437&amp;"). Home location is "&amp;$Q437&amp;" ("&amp;$R437&amp;") when replenished.")</f>
        <v>Yes - 2 in stock at Store 0146 (size 9). Back room location F-02-1-02 (ZONE F / BAY 02 / SHELF 1 / BIN 02), Floor level - no reach. Back room 1 / sales floor 1.</v>
      </c>
    </row>
    <row r="438" customFormat="false" ht="15" hidden="false" customHeight="false" outlineLevel="0" collapsed="false">
      <c r="A438" s="34" t="s">
        <v>1783</v>
      </c>
      <c r="B438" s="34" t="s">
        <v>1784</v>
      </c>
      <c r="C438" s="34" t="s">
        <v>525</v>
      </c>
      <c r="D438" s="34" t="s">
        <v>123</v>
      </c>
      <c r="E438" s="34" t="s">
        <v>526</v>
      </c>
      <c r="F438" s="34" t="s">
        <v>528</v>
      </c>
      <c r="G438" s="24" t="s">
        <v>177</v>
      </c>
      <c r="H438" s="27" t="n">
        <f aca="false">IFERROR(INDEX('Inventory Master'!$T$2:$T$525,MATCH($A438,'Inventory Master'!$A$2:$A$525,0)),0)</f>
        <v>3</v>
      </c>
      <c r="I438" s="27" t="n">
        <v>1</v>
      </c>
      <c r="J438" s="27" t="n">
        <f aca="false">MAX(0,$H438-$I438)</f>
        <v>2</v>
      </c>
      <c r="K438" s="34" t="str">
        <f aca="false">IF($H438&gt;0,"In Stock","Out of Stock")</f>
        <v>In Stock</v>
      </c>
      <c r="L438" s="24" t="s">
        <v>1866</v>
      </c>
      <c r="M438" s="34" t="s">
        <v>1867</v>
      </c>
      <c r="N438" s="24" t="n">
        <v>2</v>
      </c>
      <c r="O438" s="24" t="n">
        <v>1</v>
      </c>
      <c r="P438" s="24" t="n">
        <v>3</v>
      </c>
      <c r="Q438" s="24" t="str">
        <f aca="false">$L438&amp;"-"&amp;TEXT($N438,"00")&amp;"-"&amp;$O438&amp;"-"&amp;TEXT($P438,"00")</f>
        <v>F-02-1-03</v>
      </c>
      <c r="R438" s="34" t="str">
        <f aca="false">"ZONE "&amp;$L438&amp;" / BAY "&amp;TEXT($N438,"00")&amp;" / SHELF "&amp;$O438&amp;" / BIN "&amp;TEXT($P438,"00")</f>
        <v>ZONE F / BAY 02 / SHELF 1 / BIN 03</v>
      </c>
      <c r="S438" s="34" t="s">
        <v>1843</v>
      </c>
      <c r="T438" s="34" t="s">
        <v>1844</v>
      </c>
      <c r="U438" s="27" t="n">
        <v>437</v>
      </c>
      <c r="V438" s="30" t="n">
        <v>46159</v>
      </c>
      <c r="W438" s="34" t="str">
        <f aca="false">IF($H438&gt;0,"Yes - "&amp;$H438&amp;" in stock at Store 0146 (size "&amp;$G438&amp;"). Back room location "&amp;$Q438&amp;" ("&amp;$R438&amp;"), "&amp;$S438&amp;". Back room "&amp;$J438&amp;" / sales floor "&amp;$I438&amp;".","Not currently in stock at Store 0146 (size "&amp;$G438&amp;"). Home location is "&amp;$Q438&amp;" ("&amp;$R438&amp;") when replenished.")</f>
        <v>Yes - 3 in stock at Store 0146 (size 9.5). Back room location F-02-1-03 (ZONE F / BAY 02 / SHELF 1 / BIN 03), Floor level - no reach. Back room 2 / sales floor 1.</v>
      </c>
    </row>
    <row r="439" customFormat="false" ht="15" hidden="false" customHeight="false" outlineLevel="0" collapsed="false">
      <c r="A439" s="34" t="s">
        <v>1406</v>
      </c>
      <c r="B439" s="34" t="s">
        <v>1407</v>
      </c>
      <c r="C439" s="34" t="s">
        <v>105</v>
      </c>
      <c r="D439" s="34" t="s">
        <v>107</v>
      </c>
      <c r="E439" s="34" t="s">
        <v>108</v>
      </c>
      <c r="F439" s="34" t="s">
        <v>110</v>
      </c>
      <c r="G439" s="24" t="s">
        <v>211</v>
      </c>
      <c r="H439" s="27" t="n">
        <f aca="false">IFERROR(INDEX('Inventory Master'!$T$2:$T$525,MATCH($A439,'Inventory Master'!$A$2:$A$525,0)),0)</f>
        <v>5</v>
      </c>
      <c r="I439" s="27" t="n">
        <v>1</v>
      </c>
      <c r="J439" s="27" t="n">
        <f aca="false">MAX(0,$H439-$I439)</f>
        <v>4</v>
      </c>
      <c r="K439" s="34" t="str">
        <f aca="false">IF($H439&gt;0,"In Stock","Out of Stock")</f>
        <v>In Stock</v>
      </c>
      <c r="L439" s="24" t="s">
        <v>1866</v>
      </c>
      <c r="M439" s="34" t="s">
        <v>1867</v>
      </c>
      <c r="N439" s="24" t="n">
        <v>2</v>
      </c>
      <c r="O439" s="24" t="n">
        <v>2</v>
      </c>
      <c r="P439" s="24" t="n">
        <v>1</v>
      </c>
      <c r="Q439" s="24" t="str">
        <f aca="false">$L439&amp;"-"&amp;TEXT($N439,"00")&amp;"-"&amp;$O439&amp;"-"&amp;TEXT($P439,"00")</f>
        <v>F-02-2-01</v>
      </c>
      <c r="R439" s="34" t="str">
        <f aca="false">"ZONE "&amp;$L439&amp;" / BAY "&amp;TEXT($N439,"00")&amp;" / SHELF "&amp;$O439&amp;" / BIN "&amp;TEXT($P439,"00")</f>
        <v>ZONE F / BAY 02 / SHELF 2 / BIN 01</v>
      </c>
      <c r="S439" s="34" t="s">
        <v>1845</v>
      </c>
      <c r="T439" s="34" t="s">
        <v>1844</v>
      </c>
      <c r="U439" s="27" t="n">
        <v>438</v>
      </c>
      <c r="V439" s="30" t="n">
        <v>46152</v>
      </c>
      <c r="W439" s="34" t="str">
        <f aca="false">IF($H439&gt;0,"Yes - "&amp;$H439&amp;" in stock at Store 0146 (size "&amp;$G439&amp;"). Back room location "&amp;$Q439&amp;" ("&amp;$R439&amp;"), "&amp;$S439&amp;". Back room "&amp;$J439&amp;" / sales floor "&amp;$I439&amp;".","Not currently in stock at Store 0146 (size "&amp;$G439&amp;"). Home location is "&amp;$Q439&amp;" ("&amp;$R439&amp;") when replenished.")</f>
        <v>Yes - 5 in stock at Store 0146 (size 10). Back room location F-02-2-01 (ZONE F / BAY 02 / SHELF 2 / BIN 01), Waist height. Back room 4 / sales floor 1.</v>
      </c>
    </row>
    <row r="440" customFormat="false" ht="15" hidden="false" customHeight="false" outlineLevel="0" collapsed="false">
      <c r="A440" s="34" t="s">
        <v>1506</v>
      </c>
      <c r="B440" s="34" t="s">
        <v>1507</v>
      </c>
      <c r="C440" s="34" t="s">
        <v>105</v>
      </c>
      <c r="D440" s="34" t="s">
        <v>107</v>
      </c>
      <c r="E440" s="34" t="s">
        <v>108</v>
      </c>
      <c r="F440" s="34" t="s">
        <v>110</v>
      </c>
      <c r="G440" s="24" t="s">
        <v>327</v>
      </c>
      <c r="H440" s="27" t="n">
        <f aca="false">IFERROR(INDEX('Inventory Master'!$T$2:$T$525,MATCH($A440,'Inventory Master'!$A$2:$A$525,0)),0)</f>
        <v>5</v>
      </c>
      <c r="I440" s="27" t="n">
        <v>1</v>
      </c>
      <c r="J440" s="27" t="n">
        <f aca="false">MAX(0,$H440-$I440)</f>
        <v>4</v>
      </c>
      <c r="K440" s="34" t="str">
        <f aca="false">IF($H440&gt;0,"In Stock","Out of Stock")</f>
        <v>In Stock</v>
      </c>
      <c r="L440" s="24" t="s">
        <v>1866</v>
      </c>
      <c r="M440" s="34" t="s">
        <v>1867</v>
      </c>
      <c r="N440" s="24" t="n">
        <v>2</v>
      </c>
      <c r="O440" s="24" t="n">
        <v>2</v>
      </c>
      <c r="P440" s="24" t="n">
        <v>2</v>
      </c>
      <c r="Q440" s="24" t="str">
        <f aca="false">$L440&amp;"-"&amp;TEXT($N440,"00")&amp;"-"&amp;$O440&amp;"-"&amp;TEXT($P440,"00")</f>
        <v>F-02-2-02</v>
      </c>
      <c r="R440" s="34" t="str">
        <f aca="false">"ZONE "&amp;$L440&amp;" / BAY "&amp;TEXT($N440,"00")&amp;" / SHELF "&amp;$O440&amp;" / BIN "&amp;TEXT($P440,"00")</f>
        <v>ZONE F / BAY 02 / SHELF 2 / BIN 02</v>
      </c>
      <c r="S440" s="34" t="s">
        <v>1845</v>
      </c>
      <c r="T440" s="34" t="s">
        <v>1844</v>
      </c>
      <c r="U440" s="27" t="n">
        <v>439</v>
      </c>
      <c r="V440" s="30" t="n">
        <v>46224</v>
      </c>
      <c r="W440" s="34" t="str">
        <f aca="false">IF($H440&gt;0,"Yes - "&amp;$H440&amp;" in stock at Store 0146 (size "&amp;$G440&amp;"). Back room location "&amp;$Q440&amp;" ("&amp;$R440&amp;"), "&amp;$S440&amp;". Back room "&amp;$J440&amp;" / sales floor "&amp;$I440&amp;".","Not currently in stock at Store 0146 (size "&amp;$G440&amp;"). Home location is "&amp;$Q440&amp;" ("&amp;$R440&amp;") when replenished.")</f>
        <v>Yes - 5 in stock at Store 0146 (size 10.5). Back room location F-02-2-02 (ZONE F / BAY 02 / SHELF 2 / BIN 02), Waist height. Back room 4 / sales floor 1.</v>
      </c>
    </row>
    <row r="441" customFormat="false" ht="15" hidden="false" customHeight="false" outlineLevel="0" collapsed="false">
      <c r="A441" s="34" t="s">
        <v>1164</v>
      </c>
      <c r="B441" s="34" t="s">
        <v>1165</v>
      </c>
      <c r="C441" s="34" t="s">
        <v>105</v>
      </c>
      <c r="D441" s="34" t="s">
        <v>107</v>
      </c>
      <c r="E441" s="34" t="s">
        <v>108</v>
      </c>
      <c r="F441" s="34" t="s">
        <v>110</v>
      </c>
      <c r="G441" s="24" t="s">
        <v>258</v>
      </c>
      <c r="H441" s="27" t="n">
        <f aca="false">IFERROR(INDEX('Inventory Master'!$T$2:$T$525,MATCH($A441,'Inventory Master'!$A$2:$A$525,0)),0)</f>
        <v>3</v>
      </c>
      <c r="I441" s="27" t="n">
        <v>1</v>
      </c>
      <c r="J441" s="27" t="n">
        <f aca="false">MAX(0,$H441-$I441)</f>
        <v>2</v>
      </c>
      <c r="K441" s="34" t="str">
        <f aca="false">IF($H441&gt;0,"In Stock","Out of Stock")</f>
        <v>In Stock</v>
      </c>
      <c r="L441" s="24" t="s">
        <v>1866</v>
      </c>
      <c r="M441" s="34" t="s">
        <v>1867</v>
      </c>
      <c r="N441" s="24" t="n">
        <v>2</v>
      </c>
      <c r="O441" s="24" t="n">
        <v>2</v>
      </c>
      <c r="P441" s="24" t="n">
        <v>3</v>
      </c>
      <c r="Q441" s="24" t="str">
        <f aca="false">$L441&amp;"-"&amp;TEXT($N441,"00")&amp;"-"&amp;$O441&amp;"-"&amp;TEXT($P441,"00")</f>
        <v>F-02-2-03</v>
      </c>
      <c r="R441" s="34" t="str">
        <f aca="false">"ZONE "&amp;$L441&amp;" / BAY "&amp;TEXT($N441,"00")&amp;" / SHELF "&amp;$O441&amp;" / BIN "&amp;TEXT($P441,"00")</f>
        <v>ZONE F / BAY 02 / SHELF 2 / BIN 03</v>
      </c>
      <c r="S441" s="34" t="s">
        <v>1845</v>
      </c>
      <c r="T441" s="34" t="s">
        <v>1844</v>
      </c>
      <c r="U441" s="27" t="n">
        <v>440</v>
      </c>
      <c r="V441" s="30" t="n">
        <v>46225</v>
      </c>
      <c r="W441" s="34" t="str">
        <f aca="false">IF($H441&gt;0,"Yes - "&amp;$H441&amp;" in stock at Store 0146 (size "&amp;$G441&amp;"). Back room location "&amp;$Q441&amp;" ("&amp;$R441&amp;"), "&amp;$S441&amp;". Back room "&amp;$J441&amp;" / sales floor "&amp;$I441&amp;".","Not currently in stock at Store 0146 (size "&amp;$G441&amp;"). Home location is "&amp;$Q441&amp;" ("&amp;$R441&amp;") when replenished.")</f>
        <v>Yes - 3 in stock at Store 0146 (size 11). Back room location F-02-2-03 (ZONE F / BAY 02 / SHELF 2 / BIN 03), Waist height. Back room 2 / sales floor 1.</v>
      </c>
    </row>
    <row r="442" customFormat="false" ht="15" hidden="false" customHeight="false" outlineLevel="0" collapsed="false">
      <c r="A442" s="34" t="s">
        <v>1550</v>
      </c>
      <c r="B442" s="34" t="s">
        <v>1551</v>
      </c>
      <c r="C442" s="34" t="s">
        <v>105</v>
      </c>
      <c r="D442" s="34" t="s">
        <v>107</v>
      </c>
      <c r="E442" s="34" t="s">
        <v>108</v>
      </c>
      <c r="F442" s="34" t="s">
        <v>110</v>
      </c>
      <c r="G442" s="24" t="s">
        <v>141</v>
      </c>
      <c r="H442" s="27" t="n">
        <f aca="false">IFERROR(INDEX('Inventory Master'!$T$2:$T$525,MATCH($A442,'Inventory Master'!$A$2:$A$525,0)),0)</f>
        <v>0</v>
      </c>
      <c r="I442" s="27" t="n">
        <v>0</v>
      </c>
      <c r="J442" s="27" t="n">
        <f aca="false">MAX(0,$H442-$I442)</f>
        <v>0</v>
      </c>
      <c r="K442" s="34" t="str">
        <f aca="false">IF($H442&gt;0,"In Stock","Out of Stock")</f>
        <v>Out of Stock</v>
      </c>
      <c r="L442" s="24" t="s">
        <v>1866</v>
      </c>
      <c r="M442" s="34" t="s">
        <v>1867</v>
      </c>
      <c r="N442" s="24" t="n">
        <v>2</v>
      </c>
      <c r="O442" s="24" t="n">
        <v>2</v>
      </c>
      <c r="P442" s="24" t="n">
        <v>4</v>
      </c>
      <c r="Q442" s="24" t="str">
        <f aca="false">$L442&amp;"-"&amp;TEXT($N442,"00")&amp;"-"&amp;$O442&amp;"-"&amp;TEXT($P442,"00")</f>
        <v>F-02-2-04</v>
      </c>
      <c r="R442" s="34" t="str">
        <f aca="false">"ZONE "&amp;$L442&amp;" / BAY "&amp;TEXT($N442,"00")&amp;" / SHELF "&amp;$O442&amp;" / BIN "&amp;TEXT($P442,"00")</f>
        <v>ZONE F / BAY 02 / SHELF 2 / BIN 04</v>
      </c>
      <c r="S442" s="34" t="s">
        <v>1845</v>
      </c>
      <c r="T442" s="34" t="s">
        <v>1844</v>
      </c>
      <c r="U442" s="27" t="n">
        <v>441</v>
      </c>
      <c r="V442" s="30" t="n">
        <v>46202</v>
      </c>
      <c r="W442" s="34" t="str">
        <f aca="false">IF($H442&gt;0,"Yes - "&amp;$H442&amp;" in stock at Store 0146 (size "&amp;$G442&amp;"). Back room location "&amp;$Q442&amp;" ("&amp;$R442&amp;"), "&amp;$S442&amp;". Back room "&amp;$J442&amp;" / sales floor "&amp;$I442&amp;".","Not currently in stock at Store 0146 (size "&amp;$G442&amp;"). Home location is "&amp;$Q442&amp;" ("&amp;$R442&amp;") when replenished.")</f>
        <v>Not currently in stock at Store 0146 (size 11.5). Home location is F-02-2-04 (ZONE F / BAY 02 / SHELF 2 / BIN 04) when replenished.</v>
      </c>
    </row>
    <row r="443" customFormat="false" ht="15" hidden="false" customHeight="false" outlineLevel="0" collapsed="false">
      <c r="A443" s="34" t="s">
        <v>1474</v>
      </c>
      <c r="B443" s="34" t="s">
        <v>1475</v>
      </c>
      <c r="C443" s="34" t="s">
        <v>105</v>
      </c>
      <c r="D443" s="34" t="s">
        <v>107</v>
      </c>
      <c r="E443" s="34" t="s">
        <v>108</v>
      </c>
      <c r="F443" s="34" t="s">
        <v>110</v>
      </c>
      <c r="G443" s="24" t="s">
        <v>130</v>
      </c>
      <c r="H443" s="27" t="n">
        <f aca="false">IFERROR(INDEX('Inventory Master'!$T$2:$T$525,MATCH($A443,'Inventory Master'!$A$2:$A$525,0)),0)</f>
        <v>3</v>
      </c>
      <c r="I443" s="27" t="n">
        <v>2</v>
      </c>
      <c r="J443" s="27" t="n">
        <f aca="false">MAX(0,$H443-$I443)</f>
        <v>1</v>
      </c>
      <c r="K443" s="34" t="str">
        <f aca="false">IF($H443&gt;0,"In Stock","Out of Stock")</f>
        <v>In Stock</v>
      </c>
      <c r="L443" s="24" t="s">
        <v>1866</v>
      </c>
      <c r="M443" s="34" t="s">
        <v>1867</v>
      </c>
      <c r="N443" s="24" t="n">
        <v>2</v>
      </c>
      <c r="O443" s="24" t="n">
        <v>2</v>
      </c>
      <c r="P443" s="24" t="n">
        <v>5</v>
      </c>
      <c r="Q443" s="24" t="str">
        <f aca="false">$L443&amp;"-"&amp;TEXT($N443,"00")&amp;"-"&amp;$O443&amp;"-"&amp;TEXT($P443,"00")</f>
        <v>F-02-2-05</v>
      </c>
      <c r="R443" s="34" t="str">
        <f aca="false">"ZONE "&amp;$L443&amp;" / BAY "&amp;TEXT($N443,"00")&amp;" / SHELF "&amp;$O443&amp;" / BIN "&amp;TEXT($P443,"00")</f>
        <v>ZONE F / BAY 02 / SHELF 2 / BIN 05</v>
      </c>
      <c r="S443" s="34" t="s">
        <v>1845</v>
      </c>
      <c r="T443" s="34" t="s">
        <v>1844</v>
      </c>
      <c r="U443" s="27" t="n">
        <v>442</v>
      </c>
      <c r="V443" s="30" t="n">
        <v>46158</v>
      </c>
      <c r="W443" s="34" t="str">
        <f aca="false">IF($H443&gt;0,"Yes - "&amp;$H443&amp;" in stock at Store 0146 (size "&amp;$G443&amp;"). Back room location "&amp;$Q443&amp;" ("&amp;$R443&amp;"), "&amp;$S443&amp;". Back room "&amp;$J443&amp;" / sales floor "&amp;$I443&amp;".","Not currently in stock at Store 0146 (size "&amp;$G443&amp;"). Home location is "&amp;$Q443&amp;" ("&amp;$R443&amp;") when replenished.")</f>
        <v>Yes - 3 in stock at Store 0146 (size 12). Back room location F-02-2-05 (ZONE F / BAY 02 / SHELF 2 / BIN 05), Waist height. Back room 1 / sales floor 2.</v>
      </c>
    </row>
    <row r="444" customFormat="false" ht="15" hidden="false" customHeight="false" outlineLevel="0" collapsed="false">
      <c r="A444" s="34" t="s">
        <v>103</v>
      </c>
      <c r="B444" s="34" t="s">
        <v>104</v>
      </c>
      <c r="C444" s="34" t="s">
        <v>105</v>
      </c>
      <c r="D444" s="34" t="s">
        <v>107</v>
      </c>
      <c r="E444" s="34" t="s">
        <v>108</v>
      </c>
      <c r="F444" s="34" t="s">
        <v>110</v>
      </c>
      <c r="G444" s="24" t="s">
        <v>115</v>
      </c>
      <c r="H444" s="27" t="n">
        <f aca="false">IFERROR(INDEX('Inventory Master'!$T$2:$T$525,MATCH($A444,'Inventory Master'!$A$2:$A$525,0)),0)</f>
        <v>3</v>
      </c>
      <c r="I444" s="27" t="n">
        <v>2</v>
      </c>
      <c r="J444" s="27" t="n">
        <f aca="false">MAX(0,$H444-$I444)</f>
        <v>1</v>
      </c>
      <c r="K444" s="34" t="str">
        <f aca="false">IF($H444&gt;0,"In Stock","Out of Stock")</f>
        <v>In Stock</v>
      </c>
      <c r="L444" s="24" t="s">
        <v>1866</v>
      </c>
      <c r="M444" s="34" t="s">
        <v>1867</v>
      </c>
      <c r="N444" s="24" t="n">
        <v>2</v>
      </c>
      <c r="O444" s="24" t="n">
        <v>2</v>
      </c>
      <c r="P444" s="24" t="n">
        <v>6</v>
      </c>
      <c r="Q444" s="24" t="str">
        <f aca="false">$L444&amp;"-"&amp;TEXT($N444,"00")&amp;"-"&amp;$O444&amp;"-"&amp;TEXT($P444,"00")</f>
        <v>F-02-2-06</v>
      </c>
      <c r="R444" s="34" t="str">
        <f aca="false">"ZONE "&amp;$L444&amp;" / BAY "&amp;TEXT($N444,"00")&amp;" / SHELF "&amp;$O444&amp;" / BIN "&amp;TEXT($P444,"00")</f>
        <v>ZONE F / BAY 02 / SHELF 2 / BIN 06</v>
      </c>
      <c r="S444" s="34" t="s">
        <v>1845</v>
      </c>
      <c r="T444" s="34" t="s">
        <v>1844</v>
      </c>
      <c r="U444" s="27" t="n">
        <v>443</v>
      </c>
      <c r="V444" s="30" t="n">
        <v>46218</v>
      </c>
      <c r="W444" s="34" t="str">
        <f aca="false">IF($H444&gt;0,"Yes - "&amp;$H444&amp;" in stock at Store 0146 (size "&amp;$G444&amp;"). Back room location "&amp;$Q444&amp;" ("&amp;$R444&amp;"), "&amp;$S444&amp;". Back room "&amp;$J444&amp;" / sales floor "&amp;$I444&amp;".","Not currently in stock at Store 0146 (size "&amp;$G444&amp;"). Home location is "&amp;$Q444&amp;" ("&amp;$R444&amp;") when replenished.")</f>
        <v>Yes - 3 in stock at Store 0146 (size 13). Back room location F-02-2-06 (ZONE F / BAY 02 / SHELF 2 / BIN 06), Waist height. Back room 1 / sales floor 2.</v>
      </c>
    </row>
    <row r="445" customFormat="false" ht="15" hidden="false" customHeight="false" outlineLevel="0" collapsed="false">
      <c r="A445" s="35" t="s">
        <v>75</v>
      </c>
      <c r="B445" s="36"/>
      <c r="C445" s="36"/>
      <c r="D445" s="36"/>
      <c r="E445" s="36"/>
      <c r="F445" s="36"/>
      <c r="G445" s="36"/>
      <c r="H445" s="31" t="n">
        <f aca="false">SUM(H2:H444)</f>
        <v>1152</v>
      </c>
      <c r="I445" s="31" t="n">
        <f aca="false">SUM(I2:I444)</f>
        <v>380</v>
      </c>
      <c r="J445" s="31" t="n">
        <f aca="false">SUM(J2:J444)</f>
        <v>772</v>
      </c>
      <c r="K445" s="35" t="str">
        <f aca="false">COUNTIF(K2:K444,"In Stock")&amp;" of "&amp;443&amp;" SKUs in stock"</f>
        <v>354 of 443 SKUs in stock</v>
      </c>
      <c r="L445" s="36"/>
      <c r="M445" s="36"/>
      <c r="N445" s="36"/>
      <c r="O445" s="36"/>
      <c r="P445" s="36"/>
      <c r="Q445" s="36"/>
      <c r="R445" s="36"/>
      <c r="S445" s="36"/>
      <c r="T445" s="36"/>
      <c r="U445" s="36"/>
      <c r="V445" s="36"/>
      <c r="W445" s="36"/>
    </row>
    <row r="447" customFormat="false" ht="15" hidden="false" customHeight="false" outlineLevel="0" collapsed="false">
      <c r="A447" s="37" t="s">
        <v>1869</v>
      </c>
    </row>
  </sheetData>
  <autoFilter ref="A1:W444"/>
  <conditionalFormatting sqref="K2:K444">
    <cfRule type="cellIs" priority="2" operator="equal" aboveAverage="0" equalAverage="0" bottom="0" percent="0" rank="0" text="" dxfId="19">
      <formula>"Out of Stock"</formula>
    </cfRule>
    <cfRule type="cellIs" priority="3" operator="equal" aboveAverage="0" equalAverage="0" bottom="0" percent="0" rank="0" text="" dxfId="20">
      <formula>"In Stock"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24"/>
    <col collapsed="false" customWidth="true" hidden="false" outlineLevel="0" max="3" min="3" style="1" width="17"/>
    <col collapsed="false" customWidth="true" hidden="false" outlineLevel="0" max="4" min="4" style="1" width="30"/>
    <col collapsed="false" customWidth="true" hidden="false" outlineLevel="0" max="5" min="5" style="1" width="15"/>
    <col collapsed="false" customWidth="true" hidden="false" outlineLevel="0" max="6" min="6" style="1" width="52"/>
    <col collapsed="false" customWidth="true" hidden="false" outlineLevel="0" max="7" min="7" style="1" width="12"/>
    <col collapsed="false" customWidth="true" hidden="false" outlineLevel="0" max="8" min="8" style="1" width="22"/>
    <col collapsed="false" customWidth="true" hidden="false" outlineLevel="0" max="9" min="9" style="1" width="12"/>
    <col collapsed="false" customWidth="true" hidden="false" outlineLevel="0" max="10" min="10" style="1" width="30"/>
    <col collapsed="false" customWidth="true" hidden="false" outlineLevel="0" max="11" min="11" style="1" width="9"/>
    <col collapsed="false" customWidth="true" hidden="false" outlineLevel="0" max="12" min="12" style="1" width="15"/>
    <col collapsed="false" customWidth="true" hidden="false" outlineLevel="0" max="13" min="13" style="1" width="11"/>
    <col collapsed="false" customWidth="true" hidden="false" outlineLevel="0" max="14" min="14" style="1" width="13"/>
    <col collapsed="false" customWidth="true" hidden="false" outlineLevel="0" max="15" min="15" style="1" width="11"/>
    <col collapsed="false" customWidth="true" hidden="false" outlineLevel="0" max="16" min="16" style="1" width="26"/>
    <col collapsed="false" customWidth="true" hidden="false" outlineLevel="0" max="17" min="17" style="1" width="13"/>
    <col collapsed="false" customWidth="true" hidden="false" outlineLevel="0" max="18" min="18" style="1" width="12"/>
    <col collapsed="false" customWidth="true" hidden="false" outlineLevel="0" max="19" min="19" style="1" width="15"/>
    <col collapsed="false" customWidth="true" hidden="false" outlineLevel="0" max="20" min="20" style="1" width="18"/>
  </cols>
  <sheetData>
    <row r="1" customFormat="false" ht="31.5" hidden="false" customHeight="true" outlineLevel="0" collapsed="false">
      <c r="A1" s="10" t="s">
        <v>79</v>
      </c>
      <c r="B1" s="10" t="s">
        <v>80</v>
      </c>
      <c r="C1" s="10" t="s">
        <v>81</v>
      </c>
      <c r="D1" s="10" t="s">
        <v>82</v>
      </c>
      <c r="E1" s="10" t="s">
        <v>83</v>
      </c>
      <c r="F1" s="10" t="s">
        <v>84</v>
      </c>
      <c r="G1" s="10" t="s">
        <v>85</v>
      </c>
      <c r="H1" s="10" t="s">
        <v>86</v>
      </c>
      <c r="I1" s="10" t="s">
        <v>87</v>
      </c>
      <c r="J1" s="10" t="s">
        <v>88</v>
      </c>
      <c r="K1" s="10" t="s">
        <v>91</v>
      </c>
      <c r="L1" s="10" t="s">
        <v>92</v>
      </c>
      <c r="M1" s="10" t="s">
        <v>93</v>
      </c>
      <c r="N1" s="10" t="s">
        <v>94</v>
      </c>
      <c r="O1" s="10" t="s">
        <v>95</v>
      </c>
      <c r="P1" s="10" t="s">
        <v>1870</v>
      </c>
      <c r="Q1" s="10" t="s">
        <v>1871</v>
      </c>
      <c r="R1" s="23" t="s">
        <v>1872</v>
      </c>
      <c r="S1" s="23" t="s">
        <v>1873</v>
      </c>
      <c r="T1" s="23" t="s">
        <v>48</v>
      </c>
    </row>
    <row r="2" customFormat="false" ht="15" hidden="false" customHeight="true" outlineLevel="0" collapsed="false">
      <c r="A2" s="4" t="s">
        <v>1119</v>
      </c>
      <c r="B2" s="4" t="s">
        <v>583</v>
      </c>
      <c r="C2" s="4" t="s">
        <v>584</v>
      </c>
      <c r="D2" s="4" t="s">
        <v>1120</v>
      </c>
      <c r="E2" s="4" t="s">
        <v>1121</v>
      </c>
      <c r="F2" s="4" t="s">
        <v>1122</v>
      </c>
      <c r="G2" s="4" t="s">
        <v>161</v>
      </c>
      <c r="H2" s="4" t="s">
        <v>246</v>
      </c>
      <c r="I2" s="4" t="s">
        <v>209</v>
      </c>
      <c r="J2" s="4" t="s">
        <v>1123</v>
      </c>
      <c r="K2" s="4" t="s">
        <v>131</v>
      </c>
      <c r="L2" s="4" t="s">
        <v>239</v>
      </c>
      <c r="M2" s="25" t="n">
        <v>109.99</v>
      </c>
      <c r="N2" s="25" t="n">
        <v>70.99</v>
      </c>
      <c r="O2" s="25" t="n">
        <v>57.65</v>
      </c>
      <c r="P2" s="4" t="s">
        <v>1874</v>
      </c>
      <c r="Q2" s="28" t="n">
        <v>3</v>
      </c>
      <c r="R2" s="28" t="n">
        <f aca="false">COUNTIF('Inventory Master'!$C$2:$C$525,$A2)</f>
        <v>3</v>
      </c>
      <c r="S2" s="27" t="n">
        <f aca="false">SUMIF('Inventory Master'!$C$2:$C$525,$A2,'Inventory Master'!$X$2:$X$525)</f>
        <v>26</v>
      </c>
      <c r="T2" s="29" t="n">
        <f aca="false">SUMIF('Inventory Master'!$C$2:$C$525,$A2,'Inventory Master'!$Z$2:$Z$525)</f>
        <v>1845.74</v>
      </c>
    </row>
    <row r="3" customFormat="false" ht="15" hidden="false" customHeight="true" outlineLevel="0" collapsed="false">
      <c r="A3" s="4" t="s">
        <v>1112</v>
      </c>
      <c r="B3" s="4" t="s">
        <v>583</v>
      </c>
      <c r="C3" s="4" t="s">
        <v>584</v>
      </c>
      <c r="D3" s="4" t="s">
        <v>1113</v>
      </c>
      <c r="E3" s="4" t="s">
        <v>1114</v>
      </c>
      <c r="F3" s="4" t="s">
        <v>1115</v>
      </c>
      <c r="G3" s="4" t="s">
        <v>127</v>
      </c>
      <c r="H3" s="4" t="s">
        <v>128</v>
      </c>
      <c r="I3" s="4" t="s">
        <v>187</v>
      </c>
      <c r="J3" s="4" t="s">
        <v>1116</v>
      </c>
      <c r="K3" s="4" t="s">
        <v>131</v>
      </c>
      <c r="L3" s="4" t="s">
        <v>239</v>
      </c>
      <c r="M3" s="25" t="n">
        <v>69.99</v>
      </c>
      <c r="N3" s="25" t="n">
        <v>41.99</v>
      </c>
      <c r="O3" s="25" t="n">
        <v>36.27</v>
      </c>
      <c r="P3" s="4" t="s">
        <v>1875</v>
      </c>
      <c r="Q3" s="28" t="n">
        <v>1</v>
      </c>
      <c r="R3" s="28" t="n">
        <f aca="false">COUNTIF('Inventory Master'!$C$2:$C$525,$A3)</f>
        <v>4</v>
      </c>
      <c r="S3" s="27" t="n">
        <f aca="false">SUMIF('Inventory Master'!$C$2:$C$525,$A3,'Inventory Master'!$X$2:$X$525)</f>
        <v>5</v>
      </c>
      <c r="T3" s="29" t="n">
        <f aca="false">SUMIF('Inventory Master'!$C$2:$C$525,$A3,'Inventory Master'!$Z$2:$Z$525)</f>
        <v>209.95</v>
      </c>
    </row>
    <row r="4" customFormat="false" ht="15" hidden="false" customHeight="true" outlineLevel="0" collapsed="false">
      <c r="A4" s="4" t="s">
        <v>1052</v>
      </c>
      <c r="B4" s="4" t="s">
        <v>583</v>
      </c>
      <c r="C4" s="4" t="s">
        <v>584</v>
      </c>
      <c r="D4" s="4" t="s">
        <v>1053</v>
      </c>
      <c r="E4" s="4" t="s">
        <v>1054</v>
      </c>
      <c r="F4" s="4" t="s">
        <v>1055</v>
      </c>
      <c r="G4" s="4" t="s">
        <v>127</v>
      </c>
      <c r="H4" s="4" t="s">
        <v>128</v>
      </c>
      <c r="I4" s="4" t="s">
        <v>113</v>
      </c>
      <c r="J4" s="4" t="s">
        <v>1056</v>
      </c>
      <c r="K4" s="4" t="s">
        <v>131</v>
      </c>
      <c r="L4" s="4" t="s">
        <v>118</v>
      </c>
      <c r="M4" s="25" t="n">
        <v>79.99</v>
      </c>
      <c r="N4" s="25" t="n">
        <v>79.99</v>
      </c>
      <c r="O4" s="25" t="n">
        <v>40.55</v>
      </c>
      <c r="P4" s="4" t="s">
        <v>1874</v>
      </c>
      <c r="Q4" s="28" t="n">
        <v>3</v>
      </c>
      <c r="R4" s="28" t="n">
        <f aca="false">COUNTIF('Inventory Master'!$C$2:$C$525,$A4)</f>
        <v>5</v>
      </c>
      <c r="S4" s="27" t="n">
        <f aca="false">SUMIF('Inventory Master'!$C$2:$C$525,$A4,'Inventory Master'!$X$2:$X$525)</f>
        <v>40</v>
      </c>
      <c r="T4" s="29" t="n">
        <f aca="false">SUMIF('Inventory Master'!$C$2:$C$525,$A4,'Inventory Master'!$Z$2:$Z$525)</f>
        <v>3199.6</v>
      </c>
    </row>
    <row r="5" customFormat="false" ht="15" hidden="false" customHeight="true" outlineLevel="0" collapsed="false">
      <c r="A5" s="4" t="s">
        <v>582</v>
      </c>
      <c r="B5" s="4" t="s">
        <v>583</v>
      </c>
      <c r="C5" s="4" t="s">
        <v>584</v>
      </c>
      <c r="D5" s="4" t="s">
        <v>585</v>
      </c>
      <c r="E5" s="4" t="s">
        <v>586</v>
      </c>
      <c r="F5" s="4" t="s">
        <v>587</v>
      </c>
      <c r="G5" s="4" t="s">
        <v>127</v>
      </c>
      <c r="H5" s="4" t="s">
        <v>306</v>
      </c>
      <c r="I5" s="4" t="s">
        <v>113</v>
      </c>
      <c r="J5" s="4" t="s">
        <v>588</v>
      </c>
      <c r="K5" s="4" t="s">
        <v>380</v>
      </c>
      <c r="L5" s="4" t="s">
        <v>239</v>
      </c>
      <c r="M5" s="25" t="n">
        <v>169.99</v>
      </c>
      <c r="N5" s="25" t="n">
        <v>101.99</v>
      </c>
      <c r="O5" s="25" t="n">
        <v>84.77</v>
      </c>
      <c r="P5" s="4" t="s">
        <v>1875</v>
      </c>
      <c r="Q5" s="28" t="n">
        <v>1</v>
      </c>
      <c r="R5" s="28" t="n">
        <f aca="false">COUNTIF('Inventory Master'!$C$2:$C$525,$A5)</f>
        <v>5</v>
      </c>
      <c r="S5" s="27" t="n">
        <f aca="false">SUMIF('Inventory Master'!$C$2:$C$525,$A5,'Inventory Master'!$X$2:$X$525)</f>
        <v>16</v>
      </c>
      <c r="T5" s="29" t="n">
        <f aca="false">SUMIF('Inventory Master'!$C$2:$C$525,$A5,'Inventory Master'!$Z$2:$Z$525)</f>
        <v>1631.84</v>
      </c>
    </row>
    <row r="6" customFormat="false" ht="15" hidden="false" customHeight="true" outlineLevel="0" collapsed="false">
      <c r="A6" s="4" t="s">
        <v>993</v>
      </c>
      <c r="B6" s="4" t="s">
        <v>583</v>
      </c>
      <c r="C6" s="4" t="s">
        <v>584</v>
      </c>
      <c r="D6" s="4" t="s">
        <v>994</v>
      </c>
      <c r="E6" s="4" t="s">
        <v>995</v>
      </c>
      <c r="F6" s="4" t="s">
        <v>996</v>
      </c>
      <c r="G6" s="4" t="s">
        <v>127</v>
      </c>
      <c r="H6" s="4" t="s">
        <v>347</v>
      </c>
      <c r="I6" s="4" t="s">
        <v>187</v>
      </c>
      <c r="J6" s="4" t="s">
        <v>997</v>
      </c>
      <c r="K6" s="4" t="s">
        <v>131</v>
      </c>
      <c r="L6" s="4" t="s">
        <v>118</v>
      </c>
      <c r="M6" s="25" t="n">
        <v>179.99</v>
      </c>
      <c r="N6" s="25" t="n">
        <v>179.99</v>
      </c>
      <c r="O6" s="25" t="n">
        <v>97.26</v>
      </c>
      <c r="P6" s="4" t="s">
        <v>1874</v>
      </c>
      <c r="Q6" s="28" t="n">
        <v>3</v>
      </c>
      <c r="R6" s="28" t="n">
        <f aca="false">COUNTIF('Inventory Master'!$C$2:$C$525,$A6)</f>
        <v>5</v>
      </c>
      <c r="S6" s="27" t="n">
        <f aca="false">SUMIF('Inventory Master'!$C$2:$C$525,$A6,'Inventory Master'!$X$2:$X$525)</f>
        <v>35</v>
      </c>
      <c r="T6" s="29" t="n">
        <f aca="false">SUMIF('Inventory Master'!$C$2:$C$525,$A6,'Inventory Master'!$Z$2:$Z$525)</f>
        <v>6299.65</v>
      </c>
    </row>
    <row r="7" customFormat="false" ht="15" hidden="false" customHeight="true" outlineLevel="0" collapsed="false">
      <c r="A7" s="4" t="s">
        <v>1176</v>
      </c>
      <c r="B7" s="4" t="s">
        <v>583</v>
      </c>
      <c r="C7" s="4" t="s">
        <v>584</v>
      </c>
      <c r="D7" s="4" t="s">
        <v>1177</v>
      </c>
      <c r="E7" s="4" t="s">
        <v>1178</v>
      </c>
      <c r="F7" s="4" t="s">
        <v>1179</v>
      </c>
      <c r="G7" s="4" t="s">
        <v>161</v>
      </c>
      <c r="H7" s="4" t="s">
        <v>246</v>
      </c>
      <c r="I7" s="4" t="s">
        <v>209</v>
      </c>
      <c r="J7" s="4" t="s">
        <v>1180</v>
      </c>
      <c r="K7" s="4" t="s">
        <v>131</v>
      </c>
      <c r="L7" s="4" t="s">
        <v>118</v>
      </c>
      <c r="M7" s="25" t="n">
        <v>149.99</v>
      </c>
      <c r="N7" s="25" t="n">
        <v>149.99</v>
      </c>
      <c r="O7" s="25" t="n">
        <v>80.52</v>
      </c>
      <c r="P7" s="4" t="s">
        <v>1876</v>
      </c>
      <c r="Q7" s="28" t="n">
        <v>4</v>
      </c>
      <c r="R7" s="28" t="n">
        <f aca="false">COUNTIF('Inventory Master'!$C$2:$C$525,$A7)</f>
        <v>3</v>
      </c>
      <c r="S7" s="27" t="n">
        <f aca="false">SUMIF('Inventory Master'!$C$2:$C$525,$A7,'Inventory Master'!$X$2:$X$525)</f>
        <v>31</v>
      </c>
      <c r="T7" s="29" t="n">
        <f aca="false">SUMIF('Inventory Master'!$C$2:$C$525,$A7,'Inventory Master'!$Z$2:$Z$525)</f>
        <v>4649.69</v>
      </c>
    </row>
    <row r="8" customFormat="false" ht="15" hidden="false" customHeight="true" outlineLevel="0" collapsed="false">
      <c r="A8" s="4" t="s">
        <v>435</v>
      </c>
      <c r="B8" s="4" t="s">
        <v>436</v>
      </c>
      <c r="C8" s="4" t="s">
        <v>437</v>
      </c>
      <c r="D8" s="4" t="s">
        <v>438</v>
      </c>
      <c r="E8" s="4" t="s">
        <v>439</v>
      </c>
      <c r="F8" s="4" t="s">
        <v>440</v>
      </c>
      <c r="G8" s="4" t="s">
        <v>111</v>
      </c>
      <c r="H8" s="4" t="s">
        <v>111</v>
      </c>
      <c r="I8" s="4" t="s">
        <v>209</v>
      </c>
      <c r="J8" s="4" t="s">
        <v>441</v>
      </c>
      <c r="K8" s="4" t="s">
        <v>238</v>
      </c>
      <c r="L8" s="4" t="s">
        <v>118</v>
      </c>
      <c r="M8" s="25" t="n">
        <v>54.99</v>
      </c>
      <c r="N8" s="25" t="n">
        <v>54.99</v>
      </c>
      <c r="O8" s="25" t="n">
        <v>26.61</v>
      </c>
      <c r="P8" s="4" t="s">
        <v>1877</v>
      </c>
      <c r="Q8" s="28" t="n">
        <v>2</v>
      </c>
      <c r="R8" s="28" t="n">
        <f aca="false">COUNTIF('Inventory Master'!$C$2:$C$525,$A8)</f>
        <v>6</v>
      </c>
      <c r="S8" s="27" t="n">
        <f aca="false">SUMIF('Inventory Master'!$C$2:$C$525,$A8,'Inventory Master'!$X$2:$X$525)</f>
        <v>36</v>
      </c>
      <c r="T8" s="29" t="n">
        <f aca="false">SUMIF('Inventory Master'!$C$2:$C$525,$A8,'Inventory Master'!$Z$2:$Z$525)</f>
        <v>1979.64</v>
      </c>
    </row>
    <row r="9" customFormat="false" ht="15" hidden="false" customHeight="true" outlineLevel="0" collapsed="false">
      <c r="A9" s="4" t="s">
        <v>1065</v>
      </c>
      <c r="B9" s="4" t="s">
        <v>643</v>
      </c>
      <c r="C9" s="4" t="s">
        <v>644</v>
      </c>
      <c r="D9" s="4" t="s">
        <v>1066</v>
      </c>
      <c r="E9" s="4" t="s">
        <v>1067</v>
      </c>
      <c r="F9" s="4" t="s">
        <v>1068</v>
      </c>
      <c r="G9" s="4" t="s">
        <v>127</v>
      </c>
      <c r="H9" s="4" t="s">
        <v>306</v>
      </c>
      <c r="I9" s="4" t="s">
        <v>187</v>
      </c>
      <c r="J9" s="4" t="s">
        <v>1069</v>
      </c>
      <c r="K9" s="4" t="s">
        <v>131</v>
      </c>
      <c r="L9" s="4" t="s">
        <v>118</v>
      </c>
      <c r="M9" s="25" t="n">
        <v>149.99</v>
      </c>
      <c r="N9" s="25" t="n">
        <v>149.99</v>
      </c>
      <c r="O9" s="25" t="n">
        <v>72.34</v>
      </c>
      <c r="P9" s="4" t="s">
        <v>1876</v>
      </c>
      <c r="Q9" s="28" t="n">
        <v>4</v>
      </c>
      <c r="R9" s="28" t="n">
        <f aca="false">COUNTIF('Inventory Master'!$C$2:$C$525,$A9)</f>
        <v>3</v>
      </c>
      <c r="S9" s="27" t="n">
        <f aca="false">SUMIF('Inventory Master'!$C$2:$C$525,$A9,'Inventory Master'!$X$2:$X$525)</f>
        <v>30</v>
      </c>
      <c r="T9" s="29" t="n">
        <f aca="false">SUMIF('Inventory Master'!$C$2:$C$525,$A9,'Inventory Master'!$Z$2:$Z$525)</f>
        <v>4499.7</v>
      </c>
    </row>
    <row r="10" customFormat="false" ht="15" hidden="false" customHeight="true" outlineLevel="0" collapsed="false">
      <c r="A10" s="4" t="s">
        <v>891</v>
      </c>
      <c r="B10" s="4" t="s">
        <v>643</v>
      </c>
      <c r="C10" s="4" t="s">
        <v>644</v>
      </c>
      <c r="D10" s="4" t="s">
        <v>645</v>
      </c>
      <c r="E10" s="4" t="s">
        <v>892</v>
      </c>
      <c r="F10" s="4" t="s">
        <v>893</v>
      </c>
      <c r="G10" s="4" t="s">
        <v>127</v>
      </c>
      <c r="H10" s="4" t="s">
        <v>280</v>
      </c>
      <c r="I10" s="4" t="s">
        <v>113</v>
      </c>
      <c r="J10" s="4" t="s">
        <v>894</v>
      </c>
      <c r="K10" s="4" t="s">
        <v>380</v>
      </c>
      <c r="L10" s="4" t="s">
        <v>118</v>
      </c>
      <c r="M10" s="25" t="n">
        <v>149.99</v>
      </c>
      <c r="N10" s="25" t="n">
        <v>149.99</v>
      </c>
      <c r="O10" s="25" t="n">
        <v>76.29</v>
      </c>
      <c r="P10" s="4" t="s">
        <v>1876</v>
      </c>
      <c r="Q10" s="28" t="n">
        <v>4</v>
      </c>
      <c r="R10" s="28" t="n">
        <f aca="false">COUNTIF('Inventory Master'!$C$2:$C$525,$A10)</f>
        <v>3</v>
      </c>
      <c r="S10" s="27" t="n">
        <f aca="false">SUMIF('Inventory Master'!$C$2:$C$525,$A10,'Inventory Master'!$X$2:$X$525)</f>
        <v>30</v>
      </c>
      <c r="T10" s="29" t="n">
        <f aca="false">SUMIF('Inventory Master'!$C$2:$C$525,$A10,'Inventory Master'!$Z$2:$Z$525)</f>
        <v>4499.7</v>
      </c>
    </row>
    <row r="11" customFormat="false" ht="15" hidden="false" customHeight="true" outlineLevel="0" collapsed="false">
      <c r="A11" s="4" t="s">
        <v>642</v>
      </c>
      <c r="B11" s="4" t="s">
        <v>643</v>
      </c>
      <c r="C11" s="4" t="s">
        <v>644</v>
      </c>
      <c r="D11" s="4" t="s">
        <v>645</v>
      </c>
      <c r="E11" s="4" t="s">
        <v>646</v>
      </c>
      <c r="F11" s="4" t="s">
        <v>647</v>
      </c>
      <c r="G11" s="4" t="s">
        <v>127</v>
      </c>
      <c r="H11" s="4" t="s">
        <v>280</v>
      </c>
      <c r="I11" s="4" t="s">
        <v>187</v>
      </c>
      <c r="J11" s="4" t="s">
        <v>648</v>
      </c>
      <c r="K11" s="4" t="s">
        <v>117</v>
      </c>
      <c r="L11" s="4" t="s">
        <v>202</v>
      </c>
      <c r="M11" s="25" t="n">
        <v>149.99</v>
      </c>
      <c r="N11" s="25" t="n">
        <v>149.99</v>
      </c>
      <c r="O11" s="25" t="n">
        <v>73.89</v>
      </c>
      <c r="P11" s="4" t="s">
        <v>1874</v>
      </c>
      <c r="Q11" s="28" t="n">
        <v>3</v>
      </c>
      <c r="R11" s="28" t="n">
        <f aca="false">COUNTIF('Inventory Master'!$C$2:$C$525,$A11)</f>
        <v>3</v>
      </c>
      <c r="S11" s="27" t="n">
        <f aca="false">SUMIF('Inventory Master'!$C$2:$C$525,$A11,'Inventory Master'!$X$2:$X$525)</f>
        <v>31</v>
      </c>
      <c r="T11" s="29" t="n">
        <f aca="false">SUMIF('Inventory Master'!$C$2:$C$525,$A11,'Inventory Master'!$Z$2:$Z$525)</f>
        <v>4649.69</v>
      </c>
    </row>
    <row r="12" customFormat="false" ht="15" hidden="false" customHeight="true" outlineLevel="0" collapsed="false">
      <c r="A12" s="4" t="s">
        <v>924</v>
      </c>
      <c r="B12" s="4" t="s">
        <v>643</v>
      </c>
      <c r="C12" s="4" t="s">
        <v>644</v>
      </c>
      <c r="D12" s="4" t="s">
        <v>925</v>
      </c>
      <c r="E12" s="4" t="s">
        <v>926</v>
      </c>
      <c r="F12" s="4" t="s">
        <v>927</v>
      </c>
      <c r="G12" s="4" t="s">
        <v>127</v>
      </c>
      <c r="H12" s="4" t="s">
        <v>347</v>
      </c>
      <c r="I12" s="4" t="s">
        <v>113</v>
      </c>
      <c r="J12" s="4" t="s">
        <v>928</v>
      </c>
      <c r="K12" s="4" t="s">
        <v>165</v>
      </c>
      <c r="L12" s="4" t="s">
        <v>118</v>
      </c>
      <c r="M12" s="25" t="n">
        <v>169.99</v>
      </c>
      <c r="N12" s="25" t="n">
        <v>169.99</v>
      </c>
      <c r="O12" s="25" t="n">
        <v>89.36</v>
      </c>
      <c r="P12" s="4" t="s">
        <v>1877</v>
      </c>
      <c r="Q12" s="28" t="n">
        <v>2</v>
      </c>
      <c r="R12" s="28" t="n">
        <f aca="false">COUNTIF('Inventory Master'!$C$2:$C$525,$A12)</f>
        <v>6</v>
      </c>
      <c r="S12" s="27" t="n">
        <f aca="false">SUMIF('Inventory Master'!$C$2:$C$525,$A12,'Inventory Master'!$X$2:$X$525)</f>
        <v>45</v>
      </c>
      <c r="T12" s="29" t="n">
        <f aca="false">SUMIF('Inventory Master'!$C$2:$C$525,$A12,'Inventory Master'!$Z$2:$Z$525)</f>
        <v>7649.55</v>
      </c>
    </row>
    <row r="13" customFormat="false" ht="15" hidden="false" customHeight="true" outlineLevel="0" collapsed="false">
      <c r="A13" s="4" t="s">
        <v>897</v>
      </c>
      <c r="B13" s="4" t="s">
        <v>475</v>
      </c>
      <c r="C13" s="4" t="s">
        <v>476</v>
      </c>
      <c r="D13" s="4" t="s">
        <v>898</v>
      </c>
      <c r="E13" s="4" t="s">
        <v>899</v>
      </c>
      <c r="F13" s="4" t="s">
        <v>900</v>
      </c>
      <c r="G13" s="4" t="s">
        <v>161</v>
      </c>
      <c r="H13" s="4" t="s">
        <v>186</v>
      </c>
      <c r="I13" s="4" t="s">
        <v>209</v>
      </c>
      <c r="J13" s="4" t="s">
        <v>901</v>
      </c>
      <c r="K13" s="4" t="s">
        <v>131</v>
      </c>
      <c r="L13" s="4" t="s">
        <v>118</v>
      </c>
      <c r="M13" s="25" t="n">
        <v>89.99</v>
      </c>
      <c r="N13" s="25" t="n">
        <v>89.99</v>
      </c>
      <c r="O13" s="25" t="n">
        <v>44.27</v>
      </c>
      <c r="P13" s="4" t="s">
        <v>1876</v>
      </c>
      <c r="Q13" s="28" t="n">
        <v>4</v>
      </c>
      <c r="R13" s="28" t="n">
        <f aca="false">COUNTIF('Inventory Master'!$C$2:$C$525,$A13)</f>
        <v>5</v>
      </c>
      <c r="S13" s="27" t="n">
        <f aca="false">SUMIF('Inventory Master'!$C$2:$C$525,$A13,'Inventory Master'!$X$2:$X$525)</f>
        <v>46</v>
      </c>
      <c r="T13" s="29" t="n">
        <f aca="false">SUMIF('Inventory Master'!$C$2:$C$525,$A13,'Inventory Master'!$Z$2:$Z$525)</f>
        <v>4139.54</v>
      </c>
    </row>
    <row r="14" customFormat="false" ht="15" hidden="false" customHeight="true" outlineLevel="0" collapsed="false">
      <c r="A14" s="4" t="s">
        <v>861</v>
      </c>
      <c r="B14" s="4" t="s">
        <v>475</v>
      </c>
      <c r="C14" s="4" t="s">
        <v>476</v>
      </c>
      <c r="D14" s="4" t="s">
        <v>862</v>
      </c>
      <c r="E14" s="4" t="s">
        <v>863</v>
      </c>
      <c r="F14" s="4" t="s">
        <v>864</v>
      </c>
      <c r="G14" s="4" t="s">
        <v>161</v>
      </c>
      <c r="H14" s="4" t="s">
        <v>186</v>
      </c>
      <c r="I14" s="4" t="s">
        <v>209</v>
      </c>
      <c r="J14" s="4" t="s">
        <v>348</v>
      </c>
      <c r="K14" s="4" t="s">
        <v>131</v>
      </c>
      <c r="L14" s="4" t="s">
        <v>118</v>
      </c>
      <c r="M14" s="25" t="n">
        <v>69.99</v>
      </c>
      <c r="N14" s="25" t="n">
        <v>69.99</v>
      </c>
      <c r="O14" s="25" t="n">
        <v>36.17</v>
      </c>
      <c r="P14" s="4" t="s">
        <v>1877</v>
      </c>
      <c r="Q14" s="28" t="n">
        <v>2</v>
      </c>
      <c r="R14" s="28" t="n">
        <f aca="false">COUNTIF('Inventory Master'!$C$2:$C$525,$A14)</f>
        <v>6</v>
      </c>
      <c r="S14" s="27" t="n">
        <f aca="false">SUMIF('Inventory Master'!$C$2:$C$525,$A14,'Inventory Master'!$X$2:$X$525)</f>
        <v>44</v>
      </c>
      <c r="T14" s="29" t="n">
        <f aca="false">SUMIF('Inventory Master'!$C$2:$C$525,$A14,'Inventory Master'!$Z$2:$Z$525)</f>
        <v>3079.56</v>
      </c>
    </row>
    <row r="15" customFormat="false" ht="15" hidden="false" customHeight="true" outlineLevel="0" collapsed="false">
      <c r="A15" s="4" t="s">
        <v>701</v>
      </c>
      <c r="B15" s="4" t="s">
        <v>475</v>
      </c>
      <c r="C15" s="4" t="s">
        <v>476</v>
      </c>
      <c r="D15" s="4" t="s">
        <v>702</v>
      </c>
      <c r="E15" s="4" t="s">
        <v>703</v>
      </c>
      <c r="F15" s="4" t="s">
        <v>704</v>
      </c>
      <c r="G15" s="4" t="s">
        <v>161</v>
      </c>
      <c r="H15" s="4" t="s">
        <v>186</v>
      </c>
      <c r="I15" s="4" t="s">
        <v>209</v>
      </c>
      <c r="J15" s="4" t="s">
        <v>705</v>
      </c>
      <c r="K15" s="4" t="s">
        <v>131</v>
      </c>
      <c r="L15" s="4" t="s">
        <v>118</v>
      </c>
      <c r="M15" s="25" t="n">
        <v>64.99</v>
      </c>
      <c r="N15" s="25" t="n">
        <v>64.99</v>
      </c>
      <c r="O15" s="25" t="n">
        <v>34.43</v>
      </c>
      <c r="P15" s="4" t="s">
        <v>1875</v>
      </c>
      <c r="Q15" s="28" t="n">
        <v>1</v>
      </c>
      <c r="R15" s="28" t="n">
        <f aca="false">COUNTIF('Inventory Master'!$C$2:$C$525,$A15)</f>
        <v>4</v>
      </c>
      <c r="S15" s="27" t="n">
        <f aca="false">SUMIF('Inventory Master'!$C$2:$C$525,$A15,'Inventory Master'!$X$2:$X$525)</f>
        <v>14</v>
      </c>
      <c r="T15" s="29" t="n">
        <f aca="false">SUMIF('Inventory Master'!$C$2:$C$525,$A15,'Inventory Master'!$Z$2:$Z$525)</f>
        <v>909.86</v>
      </c>
    </row>
    <row r="16" customFormat="false" ht="15" hidden="false" customHeight="true" outlineLevel="0" collapsed="false">
      <c r="A16" s="4" t="s">
        <v>474</v>
      </c>
      <c r="B16" s="4" t="s">
        <v>475</v>
      </c>
      <c r="C16" s="4" t="s">
        <v>476</v>
      </c>
      <c r="D16" s="4" t="s">
        <v>477</v>
      </c>
      <c r="E16" s="4" t="s">
        <v>478</v>
      </c>
      <c r="F16" s="4" t="s">
        <v>479</v>
      </c>
      <c r="G16" s="4" t="s">
        <v>161</v>
      </c>
      <c r="H16" s="4" t="s">
        <v>186</v>
      </c>
      <c r="I16" s="4" t="s">
        <v>187</v>
      </c>
      <c r="J16" s="4" t="s">
        <v>480</v>
      </c>
      <c r="K16" s="4" t="s">
        <v>380</v>
      </c>
      <c r="L16" s="4" t="s">
        <v>239</v>
      </c>
      <c r="M16" s="25" t="n">
        <v>114.99</v>
      </c>
      <c r="N16" s="25" t="n">
        <v>85.99</v>
      </c>
      <c r="O16" s="25" t="n">
        <v>61.43</v>
      </c>
      <c r="P16" s="4" t="s">
        <v>1874</v>
      </c>
      <c r="Q16" s="28" t="n">
        <v>3</v>
      </c>
      <c r="R16" s="28" t="n">
        <f aca="false">COUNTIF('Inventory Master'!$C$2:$C$525,$A16)</f>
        <v>4</v>
      </c>
      <c r="S16" s="27" t="n">
        <f aca="false">SUMIF('Inventory Master'!$C$2:$C$525,$A16,'Inventory Master'!$X$2:$X$525)</f>
        <v>21</v>
      </c>
      <c r="T16" s="29" t="n">
        <f aca="false">SUMIF('Inventory Master'!$C$2:$C$525,$A16,'Inventory Master'!$Z$2:$Z$525)</f>
        <v>1805.79</v>
      </c>
    </row>
    <row r="17" customFormat="false" ht="15" hidden="false" customHeight="true" outlineLevel="0" collapsed="false">
      <c r="A17" s="4" t="s">
        <v>803</v>
      </c>
      <c r="B17" s="4" t="s">
        <v>193</v>
      </c>
      <c r="C17" s="4" t="s">
        <v>194</v>
      </c>
      <c r="D17" s="4" t="s">
        <v>804</v>
      </c>
      <c r="E17" s="4" t="s">
        <v>805</v>
      </c>
      <c r="F17" s="4" t="s">
        <v>806</v>
      </c>
      <c r="G17" s="4" t="s">
        <v>111</v>
      </c>
      <c r="H17" s="4" t="s">
        <v>198</v>
      </c>
      <c r="I17" s="4" t="s">
        <v>209</v>
      </c>
      <c r="J17" s="4" t="s">
        <v>807</v>
      </c>
      <c r="K17" s="4" t="s">
        <v>117</v>
      </c>
      <c r="L17" s="4" t="s">
        <v>202</v>
      </c>
      <c r="M17" s="25" t="n">
        <v>64.99</v>
      </c>
      <c r="N17" s="25" t="n">
        <v>64.99</v>
      </c>
      <c r="O17" s="25" t="n">
        <v>34</v>
      </c>
      <c r="P17" s="4" t="s">
        <v>1874</v>
      </c>
      <c r="Q17" s="28" t="n">
        <v>3</v>
      </c>
      <c r="R17" s="28" t="n">
        <f aca="false">COUNTIF('Inventory Master'!$C$2:$C$525,$A17)</f>
        <v>6</v>
      </c>
      <c r="S17" s="27" t="n">
        <f aca="false">SUMIF('Inventory Master'!$C$2:$C$525,$A17,'Inventory Master'!$X$2:$X$525)</f>
        <v>43</v>
      </c>
      <c r="T17" s="29" t="n">
        <f aca="false">SUMIF('Inventory Master'!$C$2:$C$525,$A17,'Inventory Master'!$Z$2:$Z$525)</f>
        <v>2794.57</v>
      </c>
    </row>
    <row r="18" customFormat="false" ht="15" hidden="false" customHeight="true" outlineLevel="0" collapsed="false">
      <c r="A18" s="4" t="s">
        <v>192</v>
      </c>
      <c r="B18" s="4" t="s">
        <v>193</v>
      </c>
      <c r="C18" s="4" t="s">
        <v>194</v>
      </c>
      <c r="D18" s="4" t="s">
        <v>195</v>
      </c>
      <c r="E18" s="4" t="s">
        <v>196</v>
      </c>
      <c r="F18" s="4" t="s">
        <v>197</v>
      </c>
      <c r="G18" s="4" t="s">
        <v>111</v>
      </c>
      <c r="H18" s="4" t="s">
        <v>198</v>
      </c>
      <c r="I18" s="4" t="s">
        <v>199</v>
      </c>
      <c r="J18" s="4" t="s">
        <v>200</v>
      </c>
      <c r="K18" s="4" t="s">
        <v>117</v>
      </c>
      <c r="L18" s="4" t="s">
        <v>202</v>
      </c>
      <c r="M18" s="25" t="n">
        <v>44.99</v>
      </c>
      <c r="N18" s="25" t="n">
        <v>44.99</v>
      </c>
      <c r="O18" s="25" t="n">
        <v>22.09</v>
      </c>
      <c r="P18" s="4" t="s">
        <v>1876</v>
      </c>
      <c r="Q18" s="28" t="n">
        <v>4</v>
      </c>
      <c r="R18" s="28" t="n">
        <f aca="false">COUNTIF('Inventory Master'!$C$2:$C$525,$A18)</f>
        <v>4</v>
      </c>
      <c r="S18" s="27" t="n">
        <f aca="false">SUMIF('Inventory Master'!$C$2:$C$525,$A18,'Inventory Master'!$X$2:$X$525)</f>
        <v>44</v>
      </c>
      <c r="T18" s="29" t="n">
        <f aca="false">SUMIF('Inventory Master'!$C$2:$C$525,$A18,'Inventory Master'!$Z$2:$Z$525)</f>
        <v>1979.56</v>
      </c>
    </row>
    <row r="19" customFormat="false" ht="15" hidden="false" customHeight="true" outlineLevel="0" collapsed="false">
      <c r="A19" s="4" t="s">
        <v>511</v>
      </c>
      <c r="B19" s="4" t="s">
        <v>193</v>
      </c>
      <c r="C19" s="4" t="s">
        <v>194</v>
      </c>
      <c r="D19" s="4" t="s">
        <v>195</v>
      </c>
      <c r="E19" s="4" t="s">
        <v>512</v>
      </c>
      <c r="F19" s="4" t="s">
        <v>513</v>
      </c>
      <c r="G19" s="4" t="s">
        <v>111</v>
      </c>
      <c r="H19" s="4" t="s">
        <v>198</v>
      </c>
      <c r="I19" s="4" t="s">
        <v>209</v>
      </c>
      <c r="J19" s="4" t="s">
        <v>441</v>
      </c>
      <c r="K19" s="4" t="s">
        <v>165</v>
      </c>
      <c r="L19" s="4" t="s">
        <v>118</v>
      </c>
      <c r="M19" s="25" t="n">
        <v>54.99</v>
      </c>
      <c r="N19" s="25" t="n">
        <v>54.99</v>
      </c>
      <c r="O19" s="25" t="n">
        <v>29.66</v>
      </c>
      <c r="P19" s="4" t="s">
        <v>1876</v>
      </c>
      <c r="Q19" s="28" t="n">
        <v>4</v>
      </c>
      <c r="R19" s="28" t="n">
        <f aca="false">COUNTIF('Inventory Master'!$C$2:$C$525,$A19)</f>
        <v>3</v>
      </c>
      <c r="S19" s="27" t="n">
        <f aca="false">SUMIF('Inventory Master'!$C$2:$C$525,$A19,'Inventory Master'!$X$2:$X$525)</f>
        <v>23</v>
      </c>
      <c r="T19" s="29" t="n">
        <f aca="false">SUMIF('Inventory Master'!$C$2:$C$525,$A19,'Inventory Master'!$Z$2:$Z$525)</f>
        <v>1264.77</v>
      </c>
    </row>
    <row r="20" customFormat="false" ht="15" hidden="false" customHeight="true" outlineLevel="0" collapsed="false">
      <c r="A20" s="4" t="s">
        <v>503</v>
      </c>
      <c r="B20" s="4" t="s">
        <v>504</v>
      </c>
      <c r="C20" s="4" t="s">
        <v>504</v>
      </c>
      <c r="D20" s="4" t="s">
        <v>505</v>
      </c>
      <c r="E20" s="4" t="s">
        <v>506</v>
      </c>
      <c r="F20" s="4" t="s">
        <v>507</v>
      </c>
      <c r="G20" s="4" t="s">
        <v>161</v>
      </c>
      <c r="H20" s="4" t="s">
        <v>256</v>
      </c>
      <c r="I20" s="4" t="s">
        <v>187</v>
      </c>
      <c r="J20" s="4" t="s">
        <v>508</v>
      </c>
      <c r="K20" s="4" t="s">
        <v>380</v>
      </c>
      <c r="L20" s="4" t="s">
        <v>239</v>
      </c>
      <c r="M20" s="25" t="n">
        <v>74.99</v>
      </c>
      <c r="N20" s="25" t="n">
        <v>51.99</v>
      </c>
      <c r="O20" s="25" t="n">
        <v>36.67</v>
      </c>
      <c r="P20" s="4" t="s">
        <v>1875</v>
      </c>
      <c r="Q20" s="28" t="n">
        <v>1</v>
      </c>
      <c r="R20" s="28" t="n">
        <f aca="false">COUNTIF('Inventory Master'!$C$2:$C$525,$A20)</f>
        <v>3</v>
      </c>
      <c r="S20" s="27" t="n">
        <f aca="false">SUMIF('Inventory Master'!$C$2:$C$525,$A20,'Inventory Master'!$X$2:$X$525)</f>
        <v>12</v>
      </c>
      <c r="T20" s="29" t="n">
        <f aca="false">SUMIF('Inventory Master'!$C$2:$C$525,$A20,'Inventory Master'!$Z$2:$Z$525)</f>
        <v>623.88</v>
      </c>
    </row>
    <row r="21" customFormat="false" ht="15" hidden="false" customHeight="true" outlineLevel="0" collapsed="false">
      <c r="A21" s="4" t="s">
        <v>351</v>
      </c>
      <c r="B21" s="4" t="s">
        <v>342</v>
      </c>
      <c r="C21" s="4" t="s">
        <v>343</v>
      </c>
      <c r="D21" s="4" t="s">
        <v>352</v>
      </c>
      <c r="E21" s="4" t="s">
        <v>353</v>
      </c>
      <c r="F21" s="4" t="s">
        <v>354</v>
      </c>
      <c r="G21" s="4" t="s">
        <v>127</v>
      </c>
      <c r="H21" s="4" t="s">
        <v>306</v>
      </c>
      <c r="I21" s="4" t="s">
        <v>187</v>
      </c>
      <c r="J21" s="4" t="s">
        <v>355</v>
      </c>
      <c r="K21" s="4" t="s">
        <v>165</v>
      </c>
      <c r="L21" s="4" t="s">
        <v>118</v>
      </c>
      <c r="M21" s="25" t="n">
        <v>154.99</v>
      </c>
      <c r="N21" s="25" t="n">
        <v>154.99</v>
      </c>
      <c r="O21" s="25" t="n">
        <v>85.1</v>
      </c>
      <c r="P21" s="4" t="s">
        <v>1874</v>
      </c>
      <c r="Q21" s="28" t="n">
        <v>3</v>
      </c>
      <c r="R21" s="28" t="n">
        <f aca="false">COUNTIF('Inventory Master'!$C$2:$C$525,$A21)</f>
        <v>4</v>
      </c>
      <c r="S21" s="27" t="n">
        <f aca="false">SUMIF('Inventory Master'!$C$2:$C$525,$A21,'Inventory Master'!$X$2:$X$525)</f>
        <v>36</v>
      </c>
      <c r="T21" s="29" t="n">
        <f aca="false">SUMIF('Inventory Master'!$C$2:$C$525,$A21,'Inventory Master'!$Z$2:$Z$525)</f>
        <v>5579.64</v>
      </c>
    </row>
    <row r="22" customFormat="false" ht="15" hidden="false" customHeight="true" outlineLevel="0" collapsed="false">
      <c r="A22" s="4" t="s">
        <v>1208</v>
      </c>
      <c r="B22" s="4" t="s">
        <v>342</v>
      </c>
      <c r="C22" s="4" t="s">
        <v>343</v>
      </c>
      <c r="D22" s="4" t="s">
        <v>1209</v>
      </c>
      <c r="E22" s="4" t="s">
        <v>1210</v>
      </c>
      <c r="F22" s="4" t="s">
        <v>1211</v>
      </c>
      <c r="G22" s="4" t="s">
        <v>127</v>
      </c>
      <c r="H22" s="4" t="s">
        <v>817</v>
      </c>
      <c r="I22" s="4" t="s">
        <v>113</v>
      </c>
      <c r="J22" s="4" t="s">
        <v>1212</v>
      </c>
      <c r="K22" s="4" t="s">
        <v>165</v>
      </c>
      <c r="L22" s="4" t="s">
        <v>118</v>
      </c>
      <c r="M22" s="25" t="n">
        <v>174.99</v>
      </c>
      <c r="N22" s="25" t="n">
        <v>174.99</v>
      </c>
      <c r="O22" s="25" t="n">
        <v>87.2</v>
      </c>
      <c r="P22" s="4" t="s">
        <v>1874</v>
      </c>
      <c r="Q22" s="28" t="n">
        <v>3</v>
      </c>
      <c r="R22" s="28" t="n">
        <f aca="false">COUNTIF('Inventory Master'!$C$2:$C$525,$A22)</f>
        <v>3</v>
      </c>
      <c r="S22" s="27" t="n">
        <f aca="false">SUMIF('Inventory Master'!$C$2:$C$525,$A22,'Inventory Master'!$X$2:$X$525)</f>
        <v>28</v>
      </c>
      <c r="T22" s="29" t="n">
        <f aca="false">SUMIF('Inventory Master'!$C$2:$C$525,$A22,'Inventory Master'!$Z$2:$Z$525)</f>
        <v>4899.72</v>
      </c>
    </row>
    <row r="23" customFormat="false" ht="15" hidden="false" customHeight="true" outlineLevel="0" collapsed="false">
      <c r="A23" s="4" t="s">
        <v>341</v>
      </c>
      <c r="B23" s="4" t="s">
        <v>342</v>
      </c>
      <c r="C23" s="4" t="s">
        <v>343</v>
      </c>
      <c r="D23" s="4" t="s">
        <v>344</v>
      </c>
      <c r="E23" s="4" t="s">
        <v>345</v>
      </c>
      <c r="F23" s="4" t="s">
        <v>346</v>
      </c>
      <c r="G23" s="4" t="s">
        <v>127</v>
      </c>
      <c r="H23" s="4" t="s">
        <v>347</v>
      </c>
      <c r="I23" s="4" t="s">
        <v>113</v>
      </c>
      <c r="J23" s="4" t="s">
        <v>348</v>
      </c>
      <c r="K23" s="4" t="s">
        <v>131</v>
      </c>
      <c r="L23" s="4" t="s">
        <v>118</v>
      </c>
      <c r="M23" s="25" t="n">
        <v>154.99</v>
      </c>
      <c r="N23" s="25" t="n">
        <v>154.99</v>
      </c>
      <c r="O23" s="25" t="n">
        <v>78.28</v>
      </c>
      <c r="P23" s="4" t="s">
        <v>1876</v>
      </c>
      <c r="Q23" s="28" t="n">
        <v>4</v>
      </c>
      <c r="R23" s="28" t="n">
        <f aca="false">COUNTIF('Inventory Master'!$C$2:$C$525,$A23)</f>
        <v>3</v>
      </c>
      <c r="S23" s="27" t="n">
        <f aca="false">SUMIF('Inventory Master'!$C$2:$C$525,$A23,'Inventory Master'!$X$2:$X$525)</f>
        <v>33</v>
      </c>
      <c r="T23" s="29" t="n">
        <f aca="false">SUMIF('Inventory Master'!$C$2:$C$525,$A23,'Inventory Master'!$Z$2:$Z$525)</f>
        <v>5114.67</v>
      </c>
    </row>
    <row r="24" customFormat="false" ht="15" hidden="false" customHeight="true" outlineLevel="0" collapsed="false">
      <c r="A24" s="4" t="s">
        <v>780</v>
      </c>
      <c r="B24" s="4" t="s">
        <v>342</v>
      </c>
      <c r="C24" s="4" t="s">
        <v>343</v>
      </c>
      <c r="D24" s="4" t="s">
        <v>344</v>
      </c>
      <c r="E24" s="4" t="s">
        <v>781</v>
      </c>
      <c r="F24" s="4" t="s">
        <v>782</v>
      </c>
      <c r="G24" s="4" t="s">
        <v>127</v>
      </c>
      <c r="H24" s="4" t="s">
        <v>347</v>
      </c>
      <c r="I24" s="4" t="s">
        <v>187</v>
      </c>
      <c r="J24" s="4" t="s">
        <v>783</v>
      </c>
      <c r="K24" s="4" t="s">
        <v>165</v>
      </c>
      <c r="L24" s="4" t="s">
        <v>118</v>
      </c>
      <c r="M24" s="25" t="n">
        <v>154.99</v>
      </c>
      <c r="N24" s="25" t="n">
        <v>154.99</v>
      </c>
      <c r="O24" s="25" t="n">
        <v>74.81</v>
      </c>
      <c r="P24" s="4" t="s">
        <v>1876</v>
      </c>
      <c r="Q24" s="28" t="n">
        <v>4</v>
      </c>
      <c r="R24" s="28" t="n">
        <f aca="false">COUNTIF('Inventory Master'!$C$2:$C$525,$A24)</f>
        <v>4</v>
      </c>
      <c r="S24" s="27" t="n">
        <f aca="false">SUMIF('Inventory Master'!$C$2:$C$525,$A24,'Inventory Master'!$X$2:$X$525)</f>
        <v>40</v>
      </c>
      <c r="T24" s="29" t="n">
        <f aca="false">SUMIF('Inventory Master'!$C$2:$C$525,$A24,'Inventory Master'!$Z$2:$Z$525)</f>
        <v>6199.6</v>
      </c>
    </row>
    <row r="25" customFormat="false" ht="15" hidden="false" customHeight="true" outlineLevel="0" collapsed="false">
      <c r="A25" s="4" t="s">
        <v>591</v>
      </c>
      <c r="B25" s="4" t="s">
        <v>122</v>
      </c>
      <c r="C25" s="4" t="s">
        <v>285</v>
      </c>
      <c r="D25" s="4" t="s">
        <v>286</v>
      </c>
      <c r="E25" s="4" t="s">
        <v>592</v>
      </c>
      <c r="F25" s="4" t="s">
        <v>593</v>
      </c>
      <c r="G25" s="4" t="s">
        <v>161</v>
      </c>
      <c r="H25" s="4" t="s">
        <v>289</v>
      </c>
      <c r="I25" s="4" t="s">
        <v>113</v>
      </c>
      <c r="J25" s="4" t="s">
        <v>594</v>
      </c>
      <c r="K25" s="4" t="s">
        <v>131</v>
      </c>
      <c r="L25" s="4" t="s">
        <v>118</v>
      </c>
      <c r="M25" s="25" t="n">
        <v>129.99</v>
      </c>
      <c r="N25" s="25" t="n">
        <v>129.99</v>
      </c>
      <c r="O25" s="25" t="n">
        <v>63.23</v>
      </c>
      <c r="P25" s="4" t="s">
        <v>1876</v>
      </c>
      <c r="Q25" s="28" t="n">
        <v>4</v>
      </c>
      <c r="R25" s="28" t="n">
        <f aca="false">COUNTIF('Inventory Master'!$C$2:$C$525,$A25)</f>
        <v>4</v>
      </c>
      <c r="S25" s="27" t="n">
        <f aca="false">SUMIF('Inventory Master'!$C$2:$C$525,$A25,'Inventory Master'!$X$2:$X$525)</f>
        <v>36</v>
      </c>
      <c r="T25" s="29" t="n">
        <f aca="false">SUMIF('Inventory Master'!$C$2:$C$525,$A25,'Inventory Master'!$Z$2:$Z$525)</f>
        <v>4679.64</v>
      </c>
    </row>
    <row r="26" customFormat="false" ht="15" hidden="false" customHeight="true" outlineLevel="0" collapsed="false">
      <c r="A26" s="4" t="s">
        <v>284</v>
      </c>
      <c r="B26" s="4" t="s">
        <v>122</v>
      </c>
      <c r="C26" s="4" t="s">
        <v>285</v>
      </c>
      <c r="D26" s="4" t="s">
        <v>286</v>
      </c>
      <c r="E26" s="4" t="s">
        <v>287</v>
      </c>
      <c r="F26" s="4" t="s">
        <v>288</v>
      </c>
      <c r="G26" s="4" t="s">
        <v>161</v>
      </c>
      <c r="H26" s="4" t="s">
        <v>289</v>
      </c>
      <c r="I26" s="4" t="s">
        <v>187</v>
      </c>
      <c r="J26" s="4" t="s">
        <v>290</v>
      </c>
      <c r="K26" s="4" t="s">
        <v>165</v>
      </c>
      <c r="L26" s="4" t="s">
        <v>239</v>
      </c>
      <c r="M26" s="25" t="n">
        <v>129.99</v>
      </c>
      <c r="N26" s="25" t="n">
        <v>77.99</v>
      </c>
      <c r="O26" s="25" t="n">
        <v>70.91</v>
      </c>
      <c r="P26" s="4" t="s">
        <v>1875</v>
      </c>
      <c r="Q26" s="28" t="n">
        <v>1</v>
      </c>
      <c r="R26" s="28" t="n">
        <f aca="false">COUNTIF('Inventory Master'!$C$2:$C$525,$A26)</f>
        <v>5</v>
      </c>
      <c r="S26" s="27" t="n">
        <f aca="false">SUMIF('Inventory Master'!$C$2:$C$525,$A26,'Inventory Master'!$X$2:$X$525)</f>
        <v>16</v>
      </c>
      <c r="T26" s="29" t="n">
        <f aca="false">SUMIF('Inventory Master'!$C$2:$C$525,$A26,'Inventory Master'!$Z$2:$Z$525)</f>
        <v>1247.84</v>
      </c>
    </row>
    <row r="27" customFormat="false" ht="15" hidden="false" customHeight="true" outlineLevel="0" collapsed="false">
      <c r="A27" s="4" t="s">
        <v>618</v>
      </c>
      <c r="B27" s="4" t="s">
        <v>122</v>
      </c>
      <c r="C27" s="4" t="s">
        <v>285</v>
      </c>
      <c r="D27" s="4" t="s">
        <v>619</v>
      </c>
      <c r="E27" s="4" t="s">
        <v>620</v>
      </c>
      <c r="F27" s="4" t="s">
        <v>621</v>
      </c>
      <c r="G27" s="4" t="s">
        <v>161</v>
      </c>
      <c r="H27" s="4" t="s">
        <v>289</v>
      </c>
      <c r="I27" s="4" t="s">
        <v>150</v>
      </c>
      <c r="J27" s="4" t="s">
        <v>622</v>
      </c>
      <c r="K27" s="4" t="s">
        <v>165</v>
      </c>
      <c r="L27" s="4" t="s">
        <v>118</v>
      </c>
      <c r="M27" s="25" t="n">
        <v>114.99</v>
      </c>
      <c r="N27" s="25" t="n">
        <v>114.99</v>
      </c>
      <c r="O27" s="25" t="n">
        <v>56.56</v>
      </c>
      <c r="P27" s="4" t="s">
        <v>1877</v>
      </c>
      <c r="Q27" s="28" t="n">
        <v>2</v>
      </c>
      <c r="R27" s="28" t="n">
        <f aca="false">COUNTIF('Inventory Master'!$C$2:$C$525,$A27)</f>
        <v>3</v>
      </c>
      <c r="S27" s="27" t="n">
        <f aca="false">SUMIF('Inventory Master'!$C$2:$C$525,$A27,'Inventory Master'!$X$2:$X$525)</f>
        <v>19</v>
      </c>
      <c r="T27" s="29" t="n">
        <f aca="false">SUMIF('Inventory Master'!$C$2:$C$525,$A27,'Inventory Master'!$Z$2:$Z$525)</f>
        <v>2184.81</v>
      </c>
    </row>
    <row r="28" customFormat="false" ht="15" hidden="false" customHeight="true" outlineLevel="0" collapsed="false">
      <c r="A28" s="4" t="s">
        <v>1014</v>
      </c>
      <c r="B28" s="4" t="s">
        <v>122</v>
      </c>
      <c r="C28" s="4" t="s">
        <v>285</v>
      </c>
      <c r="D28" s="4" t="s">
        <v>1015</v>
      </c>
      <c r="E28" s="4" t="s">
        <v>1016</v>
      </c>
      <c r="F28" s="4" t="s">
        <v>1017</v>
      </c>
      <c r="G28" s="4" t="s">
        <v>161</v>
      </c>
      <c r="H28" s="4" t="s">
        <v>289</v>
      </c>
      <c r="I28" s="4" t="s">
        <v>113</v>
      </c>
      <c r="J28" s="4" t="s">
        <v>1018</v>
      </c>
      <c r="K28" s="4" t="s">
        <v>117</v>
      </c>
      <c r="L28" s="4" t="s">
        <v>202</v>
      </c>
      <c r="M28" s="25" t="n">
        <v>234.99</v>
      </c>
      <c r="N28" s="25" t="n">
        <v>234.99</v>
      </c>
      <c r="O28" s="25" t="n">
        <v>116.5</v>
      </c>
      <c r="P28" s="4" t="s">
        <v>1874</v>
      </c>
      <c r="Q28" s="28" t="n">
        <v>3</v>
      </c>
      <c r="R28" s="28" t="n">
        <f aca="false">COUNTIF('Inventory Master'!$C$2:$C$525,$A28)</f>
        <v>5</v>
      </c>
      <c r="S28" s="27" t="n">
        <f aca="false">SUMIF('Inventory Master'!$C$2:$C$525,$A28,'Inventory Master'!$X$2:$X$525)</f>
        <v>33</v>
      </c>
      <c r="T28" s="29" t="n">
        <f aca="false">SUMIF('Inventory Master'!$C$2:$C$525,$A28,'Inventory Master'!$Z$2:$Z$525)</f>
        <v>7754.67</v>
      </c>
    </row>
    <row r="29" customFormat="false" ht="15" hidden="false" customHeight="true" outlineLevel="0" collapsed="false">
      <c r="A29" s="4" t="s">
        <v>445</v>
      </c>
      <c r="B29" s="4" t="s">
        <v>122</v>
      </c>
      <c r="C29" s="4" t="s">
        <v>285</v>
      </c>
      <c r="D29" s="4" t="s">
        <v>446</v>
      </c>
      <c r="E29" s="4" t="s">
        <v>447</v>
      </c>
      <c r="F29" s="4" t="s">
        <v>448</v>
      </c>
      <c r="G29" s="4" t="s">
        <v>161</v>
      </c>
      <c r="H29" s="4" t="s">
        <v>289</v>
      </c>
      <c r="I29" s="4" t="s">
        <v>150</v>
      </c>
      <c r="J29" s="4" t="s">
        <v>449</v>
      </c>
      <c r="K29" s="4" t="s">
        <v>117</v>
      </c>
      <c r="L29" s="4" t="s">
        <v>118</v>
      </c>
      <c r="M29" s="25" t="n">
        <v>154.99</v>
      </c>
      <c r="N29" s="25" t="n">
        <v>154.99</v>
      </c>
      <c r="O29" s="25" t="n">
        <v>85.71</v>
      </c>
      <c r="P29" s="4" t="s">
        <v>1874</v>
      </c>
      <c r="Q29" s="28" t="n">
        <v>3</v>
      </c>
      <c r="R29" s="28" t="n">
        <f aca="false">COUNTIF('Inventory Master'!$C$2:$C$525,$A29)</f>
        <v>5</v>
      </c>
      <c r="S29" s="27" t="n">
        <f aca="false">SUMIF('Inventory Master'!$C$2:$C$525,$A29,'Inventory Master'!$X$2:$X$525)</f>
        <v>40</v>
      </c>
      <c r="T29" s="29" t="n">
        <f aca="false">SUMIF('Inventory Master'!$C$2:$C$525,$A29,'Inventory Master'!$Z$2:$Z$525)</f>
        <v>6199.6</v>
      </c>
    </row>
    <row r="30" customFormat="false" ht="15" hidden="false" customHeight="true" outlineLevel="0" collapsed="false">
      <c r="A30" s="4" t="s">
        <v>677</v>
      </c>
      <c r="B30" s="4" t="s">
        <v>122</v>
      </c>
      <c r="C30" s="4" t="s">
        <v>285</v>
      </c>
      <c r="D30" s="4" t="s">
        <v>678</v>
      </c>
      <c r="E30" s="4" t="s">
        <v>679</v>
      </c>
      <c r="F30" s="4" t="s">
        <v>680</v>
      </c>
      <c r="G30" s="4" t="s">
        <v>161</v>
      </c>
      <c r="H30" s="4" t="s">
        <v>289</v>
      </c>
      <c r="I30" s="4" t="s">
        <v>113</v>
      </c>
      <c r="J30" s="4" t="s">
        <v>681</v>
      </c>
      <c r="K30" s="4" t="s">
        <v>131</v>
      </c>
      <c r="L30" s="4" t="s">
        <v>118</v>
      </c>
      <c r="M30" s="25" t="n">
        <v>224.99</v>
      </c>
      <c r="N30" s="25" t="n">
        <v>224.99</v>
      </c>
      <c r="O30" s="25" t="n">
        <v>120.83</v>
      </c>
      <c r="P30" s="4" t="s">
        <v>1874</v>
      </c>
      <c r="Q30" s="28" t="n">
        <v>3</v>
      </c>
      <c r="R30" s="28" t="n">
        <f aca="false">COUNTIF('Inventory Master'!$C$2:$C$525,$A30)</f>
        <v>3</v>
      </c>
      <c r="S30" s="27" t="n">
        <f aca="false">SUMIF('Inventory Master'!$C$2:$C$525,$A30,'Inventory Master'!$X$2:$X$525)</f>
        <v>16</v>
      </c>
      <c r="T30" s="29" t="n">
        <f aca="false">SUMIF('Inventory Master'!$C$2:$C$525,$A30,'Inventory Master'!$Z$2:$Z$525)</f>
        <v>3599.84</v>
      </c>
    </row>
    <row r="31" customFormat="false" ht="15" hidden="false" customHeight="true" outlineLevel="0" collapsed="false">
      <c r="A31" s="4" t="s">
        <v>1103</v>
      </c>
      <c r="B31" s="4" t="s">
        <v>122</v>
      </c>
      <c r="C31" s="4" t="s">
        <v>285</v>
      </c>
      <c r="D31" s="4" t="s">
        <v>1104</v>
      </c>
      <c r="E31" s="4" t="s">
        <v>1105</v>
      </c>
      <c r="F31" s="4" t="s">
        <v>1106</v>
      </c>
      <c r="G31" s="4" t="s">
        <v>226</v>
      </c>
      <c r="H31" s="4" t="s">
        <v>265</v>
      </c>
      <c r="I31" s="4" t="s">
        <v>113</v>
      </c>
      <c r="J31" s="4" t="s">
        <v>1107</v>
      </c>
      <c r="K31" s="4" t="s">
        <v>165</v>
      </c>
      <c r="L31" s="4" t="s">
        <v>118</v>
      </c>
      <c r="M31" s="25" t="n">
        <v>119.99</v>
      </c>
      <c r="N31" s="25" t="n">
        <v>119.99</v>
      </c>
      <c r="O31" s="25" t="n">
        <v>66.9</v>
      </c>
      <c r="P31" s="4" t="s">
        <v>1874</v>
      </c>
      <c r="Q31" s="28" t="n">
        <v>3</v>
      </c>
      <c r="R31" s="28" t="n">
        <f aca="false">COUNTIF('Inventory Master'!$C$2:$C$525,$A31)</f>
        <v>6</v>
      </c>
      <c r="S31" s="27" t="n">
        <f aca="false">SUMIF('Inventory Master'!$C$2:$C$525,$A31,'Inventory Master'!$X$2:$X$525)</f>
        <v>48</v>
      </c>
      <c r="T31" s="29" t="n">
        <f aca="false">SUMIF('Inventory Master'!$C$2:$C$525,$A31,'Inventory Master'!$Z$2:$Z$525)</f>
        <v>5759.52</v>
      </c>
    </row>
    <row r="32" customFormat="false" ht="15" hidden="false" customHeight="true" outlineLevel="0" collapsed="false">
      <c r="A32" s="4" t="s">
        <v>575</v>
      </c>
      <c r="B32" s="4" t="s">
        <v>122</v>
      </c>
      <c r="C32" s="4" t="s">
        <v>285</v>
      </c>
      <c r="D32" s="4" t="s">
        <v>576</v>
      </c>
      <c r="E32" s="4" t="s">
        <v>577</v>
      </c>
      <c r="F32" s="4" t="s">
        <v>578</v>
      </c>
      <c r="G32" s="4" t="s">
        <v>161</v>
      </c>
      <c r="H32" s="4" t="s">
        <v>235</v>
      </c>
      <c r="I32" s="4" t="s">
        <v>113</v>
      </c>
      <c r="J32" s="4" t="s">
        <v>579</v>
      </c>
      <c r="K32" s="4" t="s">
        <v>380</v>
      </c>
      <c r="L32" s="4" t="s">
        <v>239</v>
      </c>
      <c r="M32" s="25" t="n">
        <v>109.99</v>
      </c>
      <c r="N32" s="25" t="n">
        <v>65.99</v>
      </c>
      <c r="O32" s="25" t="n">
        <v>57.5</v>
      </c>
      <c r="P32" s="4" t="s">
        <v>1876</v>
      </c>
      <c r="Q32" s="28" t="n">
        <v>4</v>
      </c>
      <c r="R32" s="28" t="n">
        <f aca="false">COUNTIF('Inventory Master'!$C$2:$C$525,$A32)</f>
        <v>3</v>
      </c>
      <c r="S32" s="27" t="n">
        <f aca="false">SUMIF('Inventory Master'!$C$2:$C$525,$A32,'Inventory Master'!$X$2:$X$525)</f>
        <v>24</v>
      </c>
      <c r="T32" s="29" t="n">
        <f aca="false">SUMIF('Inventory Master'!$C$2:$C$525,$A32,'Inventory Master'!$Z$2:$Z$525)</f>
        <v>1583.76</v>
      </c>
    </row>
    <row r="33" customFormat="false" ht="15" hidden="false" customHeight="true" outlineLevel="0" collapsed="false">
      <c r="A33" s="4" t="s">
        <v>1094</v>
      </c>
      <c r="B33" s="4" t="s">
        <v>122</v>
      </c>
      <c r="C33" s="4" t="s">
        <v>285</v>
      </c>
      <c r="D33" s="4" t="s">
        <v>1095</v>
      </c>
      <c r="E33" s="4" t="s">
        <v>1096</v>
      </c>
      <c r="F33" s="4" t="s">
        <v>1097</v>
      </c>
      <c r="G33" s="4" t="s">
        <v>161</v>
      </c>
      <c r="H33" s="4" t="s">
        <v>235</v>
      </c>
      <c r="I33" s="4" t="s">
        <v>113</v>
      </c>
      <c r="J33" s="4" t="s">
        <v>1098</v>
      </c>
      <c r="K33" s="4" t="s">
        <v>165</v>
      </c>
      <c r="L33" s="4" t="s">
        <v>118</v>
      </c>
      <c r="M33" s="25" t="n">
        <v>99.99</v>
      </c>
      <c r="N33" s="25" t="n">
        <v>99.99</v>
      </c>
      <c r="O33" s="25" t="n">
        <v>55.24</v>
      </c>
      <c r="P33" s="4" t="s">
        <v>1876</v>
      </c>
      <c r="Q33" s="28" t="n">
        <v>4</v>
      </c>
      <c r="R33" s="28" t="n">
        <f aca="false">COUNTIF('Inventory Master'!$C$2:$C$525,$A33)</f>
        <v>5</v>
      </c>
      <c r="S33" s="27" t="n">
        <f aca="false">SUMIF('Inventory Master'!$C$2:$C$525,$A33,'Inventory Master'!$X$2:$X$525)</f>
        <v>45</v>
      </c>
      <c r="T33" s="29" t="n">
        <f aca="false">SUMIF('Inventory Master'!$C$2:$C$525,$A33,'Inventory Master'!$Z$2:$Z$525)</f>
        <v>4499.55</v>
      </c>
    </row>
    <row r="34" customFormat="false" ht="15" hidden="false" customHeight="true" outlineLevel="0" collapsed="false">
      <c r="A34" s="4" t="s">
        <v>690</v>
      </c>
      <c r="B34" s="4" t="s">
        <v>122</v>
      </c>
      <c r="C34" s="4" t="s">
        <v>285</v>
      </c>
      <c r="D34" s="4" t="s">
        <v>691</v>
      </c>
      <c r="E34" s="4" t="s">
        <v>692</v>
      </c>
      <c r="F34" s="4" t="s">
        <v>693</v>
      </c>
      <c r="G34" s="4" t="s">
        <v>226</v>
      </c>
      <c r="H34" s="4" t="s">
        <v>265</v>
      </c>
      <c r="I34" s="4" t="s">
        <v>113</v>
      </c>
      <c r="J34" s="4" t="s">
        <v>694</v>
      </c>
      <c r="K34" s="4" t="s">
        <v>165</v>
      </c>
      <c r="L34" s="4" t="s">
        <v>118</v>
      </c>
      <c r="M34" s="25" t="n">
        <v>119.99</v>
      </c>
      <c r="N34" s="25" t="n">
        <v>119.99</v>
      </c>
      <c r="O34" s="25" t="n">
        <v>62.47</v>
      </c>
      <c r="P34" s="4" t="s">
        <v>1875</v>
      </c>
      <c r="Q34" s="28" t="n">
        <v>1</v>
      </c>
      <c r="R34" s="28" t="n">
        <f aca="false">COUNTIF('Inventory Master'!$C$2:$C$525,$A34)</f>
        <v>4</v>
      </c>
      <c r="S34" s="27" t="n">
        <f aca="false">SUMIF('Inventory Master'!$C$2:$C$525,$A34,'Inventory Master'!$X$2:$X$525)</f>
        <v>13</v>
      </c>
      <c r="T34" s="29" t="n">
        <f aca="false">SUMIF('Inventory Master'!$C$2:$C$525,$A34,'Inventory Master'!$Z$2:$Z$525)</f>
        <v>1559.87</v>
      </c>
    </row>
    <row r="35" customFormat="false" ht="15" hidden="false" customHeight="true" outlineLevel="0" collapsed="false">
      <c r="A35" s="4" t="s">
        <v>168</v>
      </c>
      <c r="B35" s="4" t="s">
        <v>169</v>
      </c>
      <c r="C35" s="4" t="s">
        <v>170</v>
      </c>
      <c r="D35" s="4" t="s">
        <v>171</v>
      </c>
      <c r="E35" s="4" t="s">
        <v>172</v>
      </c>
      <c r="F35" s="4" t="s">
        <v>173</v>
      </c>
      <c r="G35" s="4" t="s">
        <v>174</v>
      </c>
      <c r="H35" s="4" t="s">
        <v>175</v>
      </c>
      <c r="I35" s="4" t="s">
        <v>113</v>
      </c>
      <c r="J35" s="4" t="s">
        <v>176</v>
      </c>
      <c r="K35" s="4" t="s">
        <v>165</v>
      </c>
      <c r="L35" s="4" t="s">
        <v>118</v>
      </c>
      <c r="M35" s="25" t="n">
        <v>89.99</v>
      </c>
      <c r="N35" s="25" t="n">
        <v>89.99</v>
      </c>
      <c r="O35" s="25" t="n">
        <v>44.22</v>
      </c>
      <c r="P35" s="4" t="s">
        <v>1874</v>
      </c>
      <c r="Q35" s="28" t="n">
        <v>3</v>
      </c>
      <c r="R35" s="28" t="n">
        <f aca="false">COUNTIF('Inventory Master'!$C$2:$C$525,$A35)</f>
        <v>4</v>
      </c>
      <c r="S35" s="27" t="n">
        <f aca="false">SUMIF('Inventory Master'!$C$2:$C$525,$A35,'Inventory Master'!$X$2:$X$525)</f>
        <v>35</v>
      </c>
      <c r="T35" s="29" t="n">
        <f aca="false">SUMIF('Inventory Master'!$C$2:$C$525,$A35,'Inventory Master'!$Z$2:$Z$525)</f>
        <v>3149.65</v>
      </c>
    </row>
    <row r="36" customFormat="false" ht="15" hidden="false" customHeight="true" outlineLevel="0" collapsed="false">
      <c r="A36" s="4" t="s">
        <v>404</v>
      </c>
      <c r="B36" s="4" t="s">
        <v>169</v>
      </c>
      <c r="C36" s="4" t="s">
        <v>170</v>
      </c>
      <c r="D36" s="4" t="s">
        <v>405</v>
      </c>
      <c r="E36" s="4" t="s">
        <v>406</v>
      </c>
      <c r="F36" s="4" t="s">
        <v>407</v>
      </c>
      <c r="G36" s="4" t="s">
        <v>127</v>
      </c>
      <c r="H36" s="4" t="s">
        <v>280</v>
      </c>
      <c r="I36" s="4" t="s">
        <v>113</v>
      </c>
      <c r="J36" s="4" t="s">
        <v>140</v>
      </c>
      <c r="K36" s="4" t="s">
        <v>131</v>
      </c>
      <c r="L36" s="4" t="s">
        <v>118</v>
      </c>
      <c r="M36" s="25" t="n">
        <v>144.99</v>
      </c>
      <c r="N36" s="25" t="n">
        <v>144.99</v>
      </c>
      <c r="O36" s="25" t="n">
        <v>76.41</v>
      </c>
      <c r="P36" s="4" t="s">
        <v>1877</v>
      </c>
      <c r="Q36" s="28" t="n">
        <v>2</v>
      </c>
      <c r="R36" s="28" t="n">
        <f aca="false">COUNTIF('Inventory Master'!$C$2:$C$525,$A36)</f>
        <v>4</v>
      </c>
      <c r="S36" s="27" t="n">
        <f aca="false">SUMIF('Inventory Master'!$C$2:$C$525,$A36,'Inventory Master'!$X$2:$X$525)</f>
        <v>9</v>
      </c>
      <c r="T36" s="29" t="n">
        <f aca="false">SUMIF('Inventory Master'!$C$2:$C$525,$A36,'Inventory Master'!$Z$2:$Z$525)</f>
        <v>1304.91</v>
      </c>
    </row>
    <row r="37" customFormat="false" ht="15" hidden="false" customHeight="true" outlineLevel="0" collapsed="false">
      <c r="A37" s="4" t="s">
        <v>1087</v>
      </c>
      <c r="B37" s="4" t="s">
        <v>135</v>
      </c>
      <c r="C37" s="4" t="s">
        <v>136</v>
      </c>
      <c r="D37" s="4" t="s">
        <v>1088</v>
      </c>
      <c r="E37" s="4" t="s">
        <v>1089</v>
      </c>
      <c r="F37" s="4" t="s">
        <v>1090</v>
      </c>
      <c r="G37" s="4" t="s">
        <v>161</v>
      </c>
      <c r="H37" s="4" t="s">
        <v>246</v>
      </c>
      <c r="I37" s="4" t="s">
        <v>113</v>
      </c>
      <c r="J37" s="4" t="s">
        <v>1091</v>
      </c>
      <c r="K37" s="4" t="s">
        <v>238</v>
      </c>
      <c r="L37" s="4" t="s">
        <v>239</v>
      </c>
      <c r="M37" s="25" t="n">
        <v>149.99</v>
      </c>
      <c r="N37" s="25" t="n">
        <v>111.99</v>
      </c>
      <c r="O37" s="25" t="n">
        <v>79.73</v>
      </c>
      <c r="P37" s="4" t="s">
        <v>1876</v>
      </c>
      <c r="Q37" s="28" t="n">
        <v>4</v>
      </c>
      <c r="R37" s="28" t="n">
        <f aca="false">COUNTIF('Inventory Master'!$C$2:$C$525,$A37)</f>
        <v>6</v>
      </c>
      <c r="S37" s="27" t="n">
        <f aca="false">SUMIF('Inventory Master'!$C$2:$C$525,$A37,'Inventory Master'!$X$2:$X$525)</f>
        <v>44</v>
      </c>
      <c r="T37" s="29" t="n">
        <f aca="false">SUMIF('Inventory Master'!$C$2:$C$525,$A37,'Inventory Master'!$Z$2:$Z$525)</f>
        <v>4927.56</v>
      </c>
    </row>
    <row r="38" customFormat="false" ht="15" hidden="false" customHeight="true" outlineLevel="0" collapsed="false">
      <c r="A38" s="4" t="s">
        <v>390</v>
      </c>
      <c r="B38" s="4" t="s">
        <v>135</v>
      </c>
      <c r="C38" s="4" t="s">
        <v>136</v>
      </c>
      <c r="D38" s="4" t="s">
        <v>391</v>
      </c>
      <c r="E38" s="4" t="s">
        <v>392</v>
      </c>
      <c r="F38" s="4" t="s">
        <v>393</v>
      </c>
      <c r="G38" s="4" t="s">
        <v>161</v>
      </c>
      <c r="H38" s="4" t="s">
        <v>235</v>
      </c>
      <c r="I38" s="4" t="s">
        <v>150</v>
      </c>
      <c r="J38" s="4" t="s">
        <v>273</v>
      </c>
      <c r="K38" s="4" t="s">
        <v>165</v>
      </c>
      <c r="L38" s="4" t="s">
        <v>118</v>
      </c>
      <c r="M38" s="25" t="n">
        <v>69.99</v>
      </c>
      <c r="N38" s="25" t="n">
        <v>69.99</v>
      </c>
      <c r="O38" s="25" t="n">
        <v>39.11</v>
      </c>
      <c r="P38" s="4" t="s">
        <v>1877</v>
      </c>
      <c r="Q38" s="28" t="n">
        <v>2</v>
      </c>
      <c r="R38" s="28" t="n">
        <f aca="false">COUNTIF('Inventory Master'!$C$2:$C$525,$A38)</f>
        <v>4</v>
      </c>
      <c r="S38" s="27" t="n">
        <f aca="false">SUMIF('Inventory Master'!$C$2:$C$525,$A38,'Inventory Master'!$X$2:$X$525)</f>
        <v>31</v>
      </c>
      <c r="T38" s="29" t="n">
        <f aca="false">SUMIF('Inventory Master'!$C$2:$C$525,$A38,'Inventory Master'!$Z$2:$Z$525)</f>
        <v>2169.69</v>
      </c>
    </row>
    <row r="39" customFormat="false" ht="15" hidden="false" customHeight="true" outlineLevel="0" collapsed="false">
      <c r="A39" s="4" t="s">
        <v>541</v>
      </c>
      <c r="B39" s="4" t="s">
        <v>135</v>
      </c>
      <c r="C39" s="4" t="s">
        <v>136</v>
      </c>
      <c r="D39" s="4" t="s">
        <v>542</v>
      </c>
      <c r="E39" s="4" t="s">
        <v>543</v>
      </c>
      <c r="F39" s="4" t="s">
        <v>544</v>
      </c>
      <c r="G39" s="4" t="s">
        <v>161</v>
      </c>
      <c r="H39" s="4" t="s">
        <v>246</v>
      </c>
      <c r="I39" s="4" t="s">
        <v>187</v>
      </c>
      <c r="J39" s="4" t="s">
        <v>545</v>
      </c>
      <c r="K39" s="4" t="s">
        <v>131</v>
      </c>
      <c r="L39" s="4" t="s">
        <v>118</v>
      </c>
      <c r="M39" s="25" t="n">
        <v>99.99</v>
      </c>
      <c r="N39" s="25" t="n">
        <v>99.99</v>
      </c>
      <c r="O39" s="25" t="n">
        <v>53.26</v>
      </c>
      <c r="P39" s="4" t="s">
        <v>1876</v>
      </c>
      <c r="Q39" s="28" t="n">
        <v>4</v>
      </c>
      <c r="R39" s="28" t="n">
        <f aca="false">COUNTIF('Inventory Master'!$C$2:$C$525,$A39)</f>
        <v>4</v>
      </c>
      <c r="S39" s="27" t="n">
        <f aca="false">SUMIF('Inventory Master'!$C$2:$C$525,$A39,'Inventory Master'!$X$2:$X$525)</f>
        <v>36</v>
      </c>
      <c r="T39" s="29" t="n">
        <f aca="false">SUMIF('Inventory Master'!$C$2:$C$525,$A39,'Inventory Master'!$Z$2:$Z$525)</f>
        <v>3599.64</v>
      </c>
    </row>
    <row r="40" customFormat="false" ht="15" hidden="false" customHeight="true" outlineLevel="0" collapsed="false">
      <c r="A40" s="4" t="s">
        <v>412</v>
      </c>
      <c r="B40" s="4" t="s">
        <v>135</v>
      </c>
      <c r="C40" s="4" t="s">
        <v>136</v>
      </c>
      <c r="D40" s="4" t="s">
        <v>413</v>
      </c>
      <c r="E40" s="4" t="s">
        <v>414</v>
      </c>
      <c r="F40" s="4" t="s">
        <v>415</v>
      </c>
      <c r="G40" s="4" t="s">
        <v>161</v>
      </c>
      <c r="H40" s="4" t="s">
        <v>246</v>
      </c>
      <c r="I40" s="4" t="s">
        <v>113</v>
      </c>
      <c r="J40" s="4" t="s">
        <v>416</v>
      </c>
      <c r="K40" s="4" t="s">
        <v>238</v>
      </c>
      <c r="L40" s="4" t="s">
        <v>239</v>
      </c>
      <c r="M40" s="25" t="n">
        <v>89.99</v>
      </c>
      <c r="N40" s="25" t="n">
        <v>53.99</v>
      </c>
      <c r="O40" s="25" t="n">
        <v>46.24</v>
      </c>
      <c r="P40" s="4" t="s">
        <v>1876</v>
      </c>
      <c r="Q40" s="28" t="n">
        <v>4</v>
      </c>
      <c r="R40" s="28" t="n">
        <f aca="false">COUNTIF('Inventory Master'!$C$2:$C$525,$A40)</f>
        <v>6</v>
      </c>
      <c r="S40" s="27" t="n">
        <f aca="false">SUMIF('Inventory Master'!$C$2:$C$525,$A40,'Inventory Master'!$X$2:$X$525)</f>
        <v>51</v>
      </c>
      <c r="T40" s="29" t="n">
        <f aca="false">SUMIF('Inventory Master'!$C$2:$C$525,$A40,'Inventory Master'!$Z$2:$Z$525)</f>
        <v>2753.49</v>
      </c>
    </row>
    <row r="41" customFormat="false" ht="15" hidden="false" customHeight="true" outlineLevel="0" collapsed="false">
      <c r="A41" s="4" t="s">
        <v>708</v>
      </c>
      <c r="B41" s="4" t="s">
        <v>135</v>
      </c>
      <c r="C41" s="4" t="s">
        <v>136</v>
      </c>
      <c r="D41" s="4" t="s">
        <v>413</v>
      </c>
      <c r="E41" s="4" t="s">
        <v>709</v>
      </c>
      <c r="F41" s="4" t="s">
        <v>710</v>
      </c>
      <c r="G41" s="4" t="s">
        <v>161</v>
      </c>
      <c r="H41" s="4" t="s">
        <v>246</v>
      </c>
      <c r="I41" s="4" t="s">
        <v>187</v>
      </c>
      <c r="J41" s="4" t="s">
        <v>176</v>
      </c>
      <c r="K41" s="4" t="s">
        <v>380</v>
      </c>
      <c r="L41" s="4" t="s">
        <v>118</v>
      </c>
      <c r="M41" s="25" t="n">
        <v>89.99</v>
      </c>
      <c r="N41" s="25" t="n">
        <v>89.99</v>
      </c>
      <c r="O41" s="25" t="n">
        <v>44</v>
      </c>
      <c r="P41" s="4" t="s">
        <v>1874</v>
      </c>
      <c r="Q41" s="28" t="n">
        <v>3</v>
      </c>
      <c r="R41" s="28" t="n">
        <f aca="false">COUNTIF('Inventory Master'!$C$2:$C$525,$A41)</f>
        <v>3</v>
      </c>
      <c r="S41" s="27" t="n">
        <f aca="false">SUMIF('Inventory Master'!$C$2:$C$525,$A41,'Inventory Master'!$X$2:$X$525)</f>
        <v>26</v>
      </c>
      <c r="T41" s="29" t="n">
        <f aca="false">SUMIF('Inventory Master'!$C$2:$C$525,$A41,'Inventory Master'!$Z$2:$Z$525)</f>
        <v>2339.74</v>
      </c>
    </row>
    <row r="42" customFormat="false" ht="15" hidden="false" customHeight="true" outlineLevel="0" collapsed="false">
      <c r="A42" s="4" t="s">
        <v>242</v>
      </c>
      <c r="B42" s="4" t="s">
        <v>135</v>
      </c>
      <c r="C42" s="4" t="s">
        <v>136</v>
      </c>
      <c r="D42" s="4" t="s">
        <v>243</v>
      </c>
      <c r="E42" s="4" t="s">
        <v>244</v>
      </c>
      <c r="F42" s="4" t="s">
        <v>245</v>
      </c>
      <c r="G42" s="4" t="s">
        <v>161</v>
      </c>
      <c r="H42" s="4" t="s">
        <v>246</v>
      </c>
      <c r="I42" s="4" t="s">
        <v>113</v>
      </c>
      <c r="J42" s="4" t="s">
        <v>247</v>
      </c>
      <c r="K42" s="4" t="s">
        <v>238</v>
      </c>
      <c r="L42" s="4" t="s">
        <v>239</v>
      </c>
      <c r="M42" s="25" t="n">
        <v>149.99</v>
      </c>
      <c r="N42" s="25" t="n">
        <v>89.99</v>
      </c>
      <c r="O42" s="25" t="n">
        <v>74.84</v>
      </c>
      <c r="P42" s="4" t="s">
        <v>1877</v>
      </c>
      <c r="Q42" s="28" t="n">
        <v>2</v>
      </c>
      <c r="R42" s="28" t="n">
        <f aca="false">COUNTIF('Inventory Master'!$C$2:$C$525,$A42)</f>
        <v>6</v>
      </c>
      <c r="S42" s="27" t="n">
        <f aca="false">SUMIF('Inventory Master'!$C$2:$C$525,$A42,'Inventory Master'!$X$2:$X$525)</f>
        <v>38</v>
      </c>
      <c r="T42" s="29" t="n">
        <f aca="false">SUMIF('Inventory Master'!$C$2:$C$525,$A42,'Inventory Master'!$Z$2:$Z$525)</f>
        <v>3419.62</v>
      </c>
    </row>
    <row r="43" customFormat="false" ht="15" hidden="false" customHeight="true" outlineLevel="0" collapsed="false">
      <c r="A43" s="4" t="s">
        <v>134</v>
      </c>
      <c r="B43" s="4" t="s">
        <v>135</v>
      </c>
      <c r="C43" s="4" t="s">
        <v>136</v>
      </c>
      <c r="D43" s="4" t="s">
        <v>137</v>
      </c>
      <c r="E43" s="4" t="s">
        <v>138</v>
      </c>
      <c r="F43" s="4" t="s">
        <v>139</v>
      </c>
      <c r="G43" s="4" t="s">
        <v>127</v>
      </c>
      <c r="H43" s="4" t="s">
        <v>128</v>
      </c>
      <c r="I43" s="4" t="s">
        <v>113</v>
      </c>
      <c r="J43" s="4" t="s">
        <v>140</v>
      </c>
      <c r="K43" s="4" t="s">
        <v>117</v>
      </c>
      <c r="L43" s="4" t="s">
        <v>118</v>
      </c>
      <c r="M43" s="25" t="n">
        <v>79.99</v>
      </c>
      <c r="N43" s="25" t="n">
        <v>79.99</v>
      </c>
      <c r="O43" s="25" t="n">
        <v>39.84</v>
      </c>
      <c r="P43" s="4" t="s">
        <v>1877</v>
      </c>
      <c r="Q43" s="28" t="n">
        <v>2</v>
      </c>
      <c r="R43" s="28" t="n">
        <f aca="false">COUNTIF('Inventory Master'!$C$2:$C$525,$A43)</f>
        <v>4</v>
      </c>
      <c r="S43" s="27" t="n">
        <f aca="false">SUMIF('Inventory Master'!$C$2:$C$525,$A43,'Inventory Master'!$X$2:$X$525)</f>
        <v>26</v>
      </c>
      <c r="T43" s="29" t="n">
        <f aca="false">SUMIF('Inventory Master'!$C$2:$C$525,$A43,'Inventory Master'!$Z$2:$Z$525)</f>
        <v>2079.74</v>
      </c>
    </row>
    <row r="44" customFormat="false" ht="15" hidden="false" customHeight="true" outlineLevel="0" collapsed="false">
      <c r="A44" s="4" t="s">
        <v>467</v>
      </c>
      <c r="B44" s="4" t="s">
        <v>135</v>
      </c>
      <c r="C44" s="4" t="s">
        <v>136</v>
      </c>
      <c r="D44" s="4" t="s">
        <v>468</v>
      </c>
      <c r="E44" s="4" t="s">
        <v>469</v>
      </c>
      <c r="F44" s="4" t="s">
        <v>470</v>
      </c>
      <c r="G44" s="4" t="s">
        <v>127</v>
      </c>
      <c r="H44" s="4" t="s">
        <v>347</v>
      </c>
      <c r="I44" s="4" t="s">
        <v>187</v>
      </c>
      <c r="J44" s="4" t="s">
        <v>471</v>
      </c>
      <c r="K44" s="4" t="s">
        <v>165</v>
      </c>
      <c r="L44" s="4" t="s">
        <v>118</v>
      </c>
      <c r="M44" s="25" t="n">
        <v>169.99</v>
      </c>
      <c r="N44" s="25" t="n">
        <v>169.99</v>
      </c>
      <c r="O44" s="25" t="n">
        <v>94.08</v>
      </c>
      <c r="P44" s="4" t="s">
        <v>1876</v>
      </c>
      <c r="Q44" s="28" t="n">
        <v>4</v>
      </c>
      <c r="R44" s="28" t="n">
        <f aca="false">COUNTIF('Inventory Master'!$C$2:$C$525,$A44)</f>
        <v>5</v>
      </c>
      <c r="S44" s="27" t="n">
        <f aca="false">SUMIF('Inventory Master'!$C$2:$C$525,$A44,'Inventory Master'!$X$2:$X$525)</f>
        <v>48</v>
      </c>
      <c r="T44" s="29" t="n">
        <f aca="false">SUMIF('Inventory Master'!$C$2:$C$525,$A44,'Inventory Master'!$Z$2:$Z$525)</f>
        <v>8159.52</v>
      </c>
    </row>
    <row r="45" customFormat="false" ht="15" hidden="false" customHeight="true" outlineLevel="0" collapsed="false">
      <c r="A45" s="4" t="s">
        <v>383</v>
      </c>
      <c r="B45" s="4" t="s">
        <v>135</v>
      </c>
      <c r="C45" s="4" t="s">
        <v>136</v>
      </c>
      <c r="D45" s="4" t="s">
        <v>384</v>
      </c>
      <c r="E45" s="4" t="s">
        <v>385</v>
      </c>
      <c r="F45" s="4" t="s">
        <v>386</v>
      </c>
      <c r="G45" s="4" t="s">
        <v>127</v>
      </c>
      <c r="H45" s="4" t="s">
        <v>280</v>
      </c>
      <c r="I45" s="4" t="s">
        <v>113</v>
      </c>
      <c r="J45" s="4" t="s">
        <v>387</v>
      </c>
      <c r="K45" s="4" t="s">
        <v>117</v>
      </c>
      <c r="L45" s="4" t="s">
        <v>202</v>
      </c>
      <c r="M45" s="25" t="n">
        <v>149.99</v>
      </c>
      <c r="N45" s="25" t="n">
        <v>149.99</v>
      </c>
      <c r="O45" s="25" t="n">
        <v>72.91</v>
      </c>
      <c r="P45" s="4" t="s">
        <v>1874</v>
      </c>
      <c r="Q45" s="28" t="n">
        <v>3</v>
      </c>
      <c r="R45" s="28" t="n">
        <f aca="false">COUNTIF('Inventory Master'!$C$2:$C$525,$A45)</f>
        <v>6</v>
      </c>
      <c r="S45" s="27" t="n">
        <f aca="false">SUMIF('Inventory Master'!$C$2:$C$525,$A45,'Inventory Master'!$X$2:$X$525)</f>
        <v>63</v>
      </c>
      <c r="T45" s="29" t="n">
        <f aca="false">SUMIF('Inventory Master'!$C$2:$C$525,$A45,'Inventory Master'!$Z$2:$Z$525)</f>
        <v>9449.37</v>
      </c>
    </row>
    <row r="46" customFormat="false" ht="15" hidden="false" customHeight="true" outlineLevel="0" collapsed="false">
      <c r="A46" s="4" t="s">
        <v>533</v>
      </c>
      <c r="B46" s="4" t="s">
        <v>135</v>
      </c>
      <c r="C46" s="4" t="s">
        <v>136</v>
      </c>
      <c r="D46" s="4" t="s">
        <v>534</v>
      </c>
      <c r="E46" s="4" t="s">
        <v>535</v>
      </c>
      <c r="F46" s="4" t="s">
        <v>536</v>
      </c>
      <c r="G46" s="4" t="s">
        <v>127</v>
      </c>
      <c r="H46" s="4" t="s">
        <v>218</v>
      </c>
      <c r="I46" s="4" t="s">
        <v>187</v>
      </c>
      <c r="J46" s="4" t="s">
        <v>537</v>
      </c>
      <c r="K46" s="4" t="s">
        <v>238</v>
      </c>
      <c r="L46" s="4" t="s">
        <v>118</v>
      </c>
      <c r="M46" s="25" t="n">
        <v>139.99</v>
      </c>
      <c r="N46" s="25" t="n">
        <v>139.99</v>
      </c>
      <c r="O46" s="25" t="n">
        <v>78.24</v>
      </c>
      <c r="P46" s="4" t="s">
        <v>1876</v>
      </c>
      <c r="Q46" s="28" t="n">
        <v>4</v>
      </c>
      <c r="R46" s="28" t="n">
        <f aca="false">COUNTIF('Inventory Master'!$C$2:$C$525,$A46)</f>
        <v>4</v>
      </c>
      <c r="S46" s="27" t="n">
        <f aca="false">SUMIF('Inventory Master'!$C$2:$C$525,$A46,'Inventory Master'!$X$2:$X$525)</f>
        <v>52</v>
      </c>
      <c r="T46" s="29" t="n">
        <f aca="false">SUMIF('Inventory Master'!$C$2:$C$525,$A46,'Inventory Master'!$Z$2:$Z$525)</f>
        <v>7279.48</v>
      </c>
    </row>
    <row r="47" customFormat="false" ht="15" hidden="false" customHeight="true" outlineLevel="0" collapsed="false">
      <c r="A47" s="4" t="s">
        <v>419</v>
      </c>
      <c r="B47" s="4" t="s">
        <v>122</v>
      </c>
      <c r="C47" s="4" t="s">
        <v>123</v>
      </c>
      <c r="D47" s="4" t="s">
        <v>420</v>
      </c>
      <c r="E47" s="4" t="s">
        <v>421</v>
      </c>
      <c r="F47" s="4" t="s">
        <v>422</v>
      </c>
      <c r="G47" s="4" t="s">
        <v>161</v>
      </c>
      <c r="H47" s="4" t="s">
        <v>235</v>
      </c>
      <c r="I47" s="4" t="s">
        <v>113</v>
      </c>
      <c r="J47" s="4" t="s">
        <v>423</v>
      </c>
      <c r="K47" s="4" t="s">
        <v>131</v>
      </c>
      <c r="L47" s="4" t="s">
        <v>118</v>
      </c>
      <c r="M47" s="25" t="n">
        <v>124.99</v>
      </c>
      <c r="N47" s="25" t="n">
        <v>124.99</v>
      </c>
      <c r="O47" s="25" t="n">
        <v>68.25</v>
      </c>
      <c r="P47" s="4" t="s">
        <v>1874</v>
      </c>
      <c r="Q47" s="28" t="n">
        <v>3</v>
      </c>
      <c r="R47" s="28" t="n">
        <f aca="false">COUNTIF('Inventory Master'!$C$2:$C$525,$A47)</f>
        <v>3</v>
      </c>
      <c r="S47" s="27" t="n">
        <f aca="false">SUMIF('Inventory Master'!$C$2:$C$525,$A47,'Inventory Master'!$X$2:$X$525)</f>
        <v>14</v>
      </c>
      <c r="T47" s="29" t="n">
        <f aca="false">SUMIF('Inventory Master'!$C$2:$C$525,$A47,'Inventory Master'!$Z$2:$Z$525)</f>
        <v>1749.86</v>
      </c>
    </row>
    <row r="48" customFormat="false" ht="15" hidden="false" customHeight="true" outlineLevel="0" collapsed="false">
      <c r="A48" s="4" t="s">
        <v>737</v>
      </c>
      <c r="B48" s="4" t="s">
        <v>122</v>
      </c>
      <c r="C48" s="4" t="s">
        <v>123</v>
      </c>
      <c r="D48" s="4" t="s">
        <v>420</v>
      </c>
      <c r="E48" s="4" t="s">
        <v>738</v>
      </c>
      <c r="F48" s="4" t="s">
        <v>739</v>
      </c>
      <c r="G48" s="4" t="s">
        <v>161</v>
      </c>
      <c r="H48" s="4" t="s">
        <v>235</v>
      </c>
      <c r="I48" s="4" t="s">
        <v>187</v>
      </c>
      <c r="J48" s="4" t="s">
        <v>273</v>
      </c>
      <c r="K48" s="4" t="s">
        <v>117</v>
      </c>
      <c r="L48" s="4" t="s">
        <v>118</v>
      </c>
      <c r="M48" s="25" t="n">
        <v>124.99</v>
      </c>
      <c r="N48" s="25" t="n">
        <v>124.99</v>
      </c>
      <c r="O48" s="25" t="n">
        <v>66.91</v>
      </c>
      <c r="P48" s="4" t="s">
        <v>1876</v>
      </c>
      <c r="Q48" s="28" t="n">
        <v>4</v>
      </c>
      <c r="R48" s="28" t="n">
        <f aca="false">COUNTIF('Inventory Master'!$C$2:$C$525,$A48)</f>
        <v>5</v>
      </c>
      <c r="S48" s="27" t="n">
        <f aca="false">SUMIF('Inventory Master'!$C$2:$C$525,$A48,'Inventory Master'!$X$2:$X$525)</f>
        <v>53</v>
      </c>
      <c r="T48" s="29" t="n">
        <f aca="false">SUMIF('Inventory Master'!$C$2:$C$525,$A48,'Inventory Master'!$Z$2:$Z$525)</f>
        <v>6624.47</v>
      </c>
    </row>
    <row r="49" customFormat="false" ht="15" hidden="false" customHeight="true" outlineLevel="0" collapsed="false">
      <c r="A49" s="4" t="s">
        <v>1312</v>
      </c>
      <c r="B49" s="4" t="s">
        <v>122</v>
      </c>
      <c r="C49" s="4" t="s">
        <v>123</v>
      </c>
      <c r="D49" s="4" t="s">
        <v>1313</v>
      </c>
      <c r="E49" s="4" t="s">
        <v>1314</v>
      </c>
      <c r="F49" s="4" t="s">
        <v>1315</v>
      </c>
      <c r="G49" s="4" t="s">
        <v>161</v>
      </c>
      <c r="H49" s="4" t="s">
        <v>235</v>
      </c>
      <c r="I49" s="4" t="s">
        <v>150</v>
      </c>
      <c r="J49" s="4" t="s">
        <v>1316</v>
      </c>
      <c r="K49" s="4" t="s">
        <v>165</v>
      </c>
      <c r="L49" s="4" t="s">
        <v>118</v>
      </c>
      <c r="M49" s="25" t="n">
        <v>94.99</v>
      </c>
      <c r="N49" s="25" t="n">
        <v>94.99</v>
      </c>
      <c r="O49" s="25" t="n">
        <v>47.91</v>
      </c>
      <c r="P49" s="4" t="s">
        <v>1876</v>
      </c>
      <c r="Q49" s="28" t="n">
        <v>4</v>
      </c>
      <c r="R49" s="28" t="n">
        <f aca="false">COUNTIF('Inventory Master'!$C$2:$C$525,$A49)</f>
        <v>3</v>
      </c>
      <c r="S49" s="27" t="n">
        <f aca="false">SUMIF('Inventory Master'!$C$2:$C$525,$A49,'Inventory Master'!$X$2:$X$525)</f>
        <v>21</v>
      </c>
      <c r="T49" s="29" t="n">
        <f aca="false">SUMIF('Inventory Master'!$C$2:$C$525,$A49,'Inventory Master'!$Z$2:$Z$525)</f>
        <v>1994.79</v>
      </c>
    </row>
    <row r="50" customFormat="false" ht="15" hidden="false" customHeight="true" outlineLevel="0" collapsed="false">
      <c r="A50" s="4" t="s">
        <v>853</v>
      </c>
      <c r="B50" s="4" t="s">
        <v>122</v>
      </c>
      <c r="C50" s="4" t="s">
        <v>123</v>
      </c>
      <c r="D50" s="4" t="s">
        <v>854</v>
      </c>
      <c r="E50" s="4" t="s">
        <v>855</v>
      </c>
      <c r="F50" s="4" t="s">
        <v>856</v>
      </c>
      <c r="G50" s="4" t="s">
        <v>161</v>
      </c>
      <c r="H50" s="4" t="s">
        <v>246</v>
      </c>
      <c r="I50" s="4" t="s">
        <v>187</v>
      </c>
      <c r="J50" s="4" t="s">
        <v>348</v>
      </c>
      <c r="K50" s="4" t="s">
        <v>131</v>
      </c>
      <c r="L50" s="4" t="s">
        <v>118</v>
      </c>
      <c r="M50" s="25" t="n">
        <v>169.99</v>
      </c>
      <c r="N50" s="25" t="n">
        <v>169.99</v>
      </c>
      <c r="O50" s="25" t="n">
        <v>85.29</v>
      </c>
      <c r="P50" s="4" t="s">
        <v>1874</v>
      </c>
      <c r="Q50" s="28" t="n">
        <v>3</v>
      </c>
      <c r="R50" s="28" t="n">
        <f aca="false">COUNTIF('Inventory Master'!$C$2:$C$525,$A50)</f>
        <v>6</v>
      </c>
      <c r="S50" s="27" t="n">
        <f aca="false">SUMIF('Inventory Master'!$C$2:$C$525,$A50,'Inventory Master'!$X$2:$X$525)</f>
        <v>66</v>
      </c>
      <c r="T50" s="29" t="n">
        <f aca="false">SUMIF('Inventory Master'!$C$2:$C$525,$A50,'Inventory Master'!$Z$2:$Z$525)</f>
        <v>11219.34</v>
      </c>
    </row>
    <row r="51" customFormat="false" ht="15" hidden="false" customHeight="true" outlineLevel="0" collapsed="false">
      <c r="A51" s="4" t="s">
        <v>1045</v>
      </c>
      <c r="B51" s="4" t="s">
        <v>122</v>
      </c>
      <c r="C51" s="4" t="s">
        <v>123</v>
      </c>
      <c r="D51" s="4" t="s">
        <v>1046</v>
      </c>
      <c r="E51" s="4" t="s">
        <v>1047</v>
      </c>
      <c r="F51" s="4" t="s">
        <v>1048</v>
      </c>
      <c r="G51" s="4" t="s">
        <v>161</v>
      </c>
      <c r="H51" s="4" t="s">
        <v>246</v>
      </c>
      <c r="I51" s="4" t="s">
        <v>113</v>
      </c>
      <c r="J51" s="4" t="s">
        <v>1049</v>
      </c>
      <c r="K51" s="4" t="s">
        <v>238</v>
      </c>
      <c r="L51" s="4" t="s">
        <v>239</v>
      </c>
      <c r="M51" s="25" t="n">
        <v>139.99</v>
      </c>
      <c r="N51" s="25" t="n">
        <v>90.99</v>
      </c>
      <c r="O51" s="25" t="n">
        <v>70.14</v>
      </c>
      <c r="P51" s="4" t="s">
        <v>1877</v>
      </c>
      <c r="Q51" s="28" t="n">
        <v>2</v>
      </c>
      <c r="R51" s="28" t="n">
        <f aca="false">COUNTIF('Inventory Master'!$C$2:$C$525,$A51)</f>
        <v>3</v>
      </c>
      <c r="S51" s="27" t="n">
        <f aca="false">SUMIF('Inventory Master'!$C$2:$C$525,$A51,'Inventory Master'!$X$2:$X$525)</f>
        <v>13</v>
      </c>
      <c r="T51" s="29" t="n">
        <f aca="false">SUMIF('Inventory Master'!$C$2:$C$525,$A51,'Inventory Master'!$Z$2:$Z$525)</f>
        <v>1182.87</v>
      </c>
    </row>
    <row r="52" customFormat="false" ht="15" hidden="false" customHeight="true" outlineLevel="0" collapsed="false">
      <c r="A52" s="4" t="s">
        <v>651</v>
      </c>
      <c r="B52" s="4" t="s">
        <v>122</v>
      </c>
      <c r="C52" s="4" t="s">
        <v>123</v>
      </c>
      <c r="D52" s="4" t="s">
        <v>652</v>
      </c>
      <c r="E52" s="4" t="s">
        <v>653</v>
      </c>
      <c r="F52" s="4" t="s">
        <v>654</v>
      </c>
      <c r="G52" s="4" t="s">
        <v>161</v>
      </c>
      <c r="H52" s="4" t="s">
        <v>246</v>
      </c>
      <c r="I52" s="4" t="s">
        <v>113</v>
      </c>
      <c r="J52" s="4" t="s">
        <v>655</v>
      </c>
      <c r="K52" s="4" t="s">
        <v>131</v>
      </c>
      <c r="L52" s="4" t="s">
        <v>118</v>
      </c>
      <c r="M52" s="25" t="n">
        <v>189.99</v>
      </c>
      <c r="N52" s="25" t="n">
        <v>189.99</v>
      </c>
      <c r="O52" s="25" t="n">
        <v>101.4</v>
      </c>
      <c r="P52" s="4" t="s">
        <v>1877</v>
      </c>
      <c r="Q52" s="28" t="n">
        <v>2</v>
      </c>
      <c r="R52" s="28" t="n">
        <f aca="false">COUNTIF('Inventory Master'!$C$2:$C$525,$A52)</f>
        <v>6</v>
      </c>
      <c r="S52" s="27" t="n">
        <f aca="false">SUMIF('Inventory Master'!$C$2:$C$525,$A52,'Inventory Master'!$X$2:$X$525)</f>
        <v>52</v>
      </c>
      <c r="T52" s="29" t="n">
        <f aca="false">SUMIF('Inventory Master'!$C$2:$C$525,$A52,'Inventory Master'!$Z$2:$Z$525)</f>
        <v>9879.48</v>
      </c>
    </row>
    <row r="53" customFormat="false" ht="15" hidden="false" customHeight="true" outlineLevel="0" collapsed="false">
      <c r="A53" s="4" t="s">
        <v>214</v>
      </c>
      <c r="B53" s="4" t="s">
        <v>122</v>
      </c>
      <c r="C53" s="4" t="s">
        <v>123</v>
      </c>
      <c r="D53" s="4" t="s">
        <v>215</v>
      </c>
      <c r="E53" s="4" t="s">
        <v>216</v>
      </c>
      <c r="F53" s="4" t="s">
        <v>217</v>
      </c>
      <c r="G53" s="4" t="s">
        <v>161</v>
      </c>
      <c r="H53" s="4" t="s">
        <v>218</v>
      </c>
      <c r="I53" s="4" t="s">
        <v>113</v>
      </c>
      <c r="J53" s="4" t="s">
        <v>219</v>
      </c>
      <c r="K53" s="4" t="s">
        <v>165</v>
      </c>
      <c r="L53" s="4" t="s">
        <v>118</v>
      </c>
      <c r="M53" s="25" t="n">
        <v>169.99</v>
      </c>
      <c r="N53" s="25" t="n">
        <v>169.99</v>
      </c>
      <c r="O53" s="25" t="n">
        <v>82.49</v>
      </c>
      <c r="P53" s="4" t="s">
        <v>1875</v>
      </c>
      <c r="Q53" s="28" t="n">
        <v>1</v>
      </c>
      <c r="R53" s="28" t="n">
        <f aca="false">COUNTIF('Inventory Master'!$C$2:$C$525,$A53)</f>
        <v>6</v>
      </c>
      <c r="S53" s="27" t="n">
        <f aca="false">SUMIF('Inventory Master'!$C$2:$C$525,$A53,'Inventory Master'!$X$2:$X$525)</f>
        <v>20</v>
      </c>
      <c r="T53" s="29" t="n">
        <f aca="false">SUMIF('Inventory Master'!$C$2:$C$525,$A53,'Inventory Master'!$Z$2:$Z$525)</f>
        <v>3399.8</v>
      </c>
    </row>
    <row r="54" customFormat="false" ht="15" hidden="false" customHeight="true" outlineLevel="0" collapsed="false">
      <c r="A54" s="4" t="s">
        <v>269</v>
      </c>
      <c r="B54" s="4" t="s">
        <v>122</v>
      </c>
      <c r="C54" s="4" t="s">
        <v>123</v>
      </c>
      <c r="D54" s="4" t="s">
        <v>270</v>
      </c>
      <c r="E54" s="4" t="s">
        <v>271</v>
      </c>
      <c r="F54" s="4" t="s">
        <v>272</v>
      </c>
      <c r="G54" s="4" t="s">
        <v>161</v>
      </c>
      <c r="H54" s="4" t="s">
        <v>235</v>
      </c>
      <c r="I54" s="4" t="s">
        <v>113</v>
      </c>
      <c r="J54" s="4" t="s">
        <v>273</v>
      </c>
      <c r="K54" s="4" t="s">
        <v>165</v>
      </c>
      <c r="L54" s="4" t="s">
        <v>118</v>
      </c>
      <c r="M54" s="25" t="n">
        <v>79.99</v>
      </c>
      <c r="N54" s="25" t="n">
        <v>79.99</v>
      </c>
      <c r="O54" s="25" t="n">
        <v>42.84</v>
      </c>
      <c r="P54" s="4" t="s">
        <v>1876</v>
      </c>
      <c r="Q54" s="28" t="n">
        <v>4</v>
      </c>
      <c r="R54" s="28" t="n">
        <f aca="false">COUNTIF('Inventory Master'!$C$2:$C$525,$A54)</f>
        <v>3</v>
      </c>
      <c r="S54" s="27" t="n">
        <f aca="false">SUMIF('Inventory Master'!$C$2:$C$525,$A54,'Inventory Master'!$X$2:$X$525)</f>
        <v>19</v>
      </c>
      <c r="T54" s="29" t="n">
        <f aca="false">SUMIF('Inventory Master'!$C$2:$C$525,$A54,'Inventory Master'!$Z$2:$Z$525)</f>
        <v>1519.81</v>
      </c>
    </row>
    <row r="55" customFormat="false" ht="15" hidden="false" customHeight="true" outlineLevel="0" collapsed="false">
      <c r="A55" s="4" t="s">
        <v>231</v>
      </c>
      <c r="B55" s="4" t="s">
        <v>122</v>
      </c>
      <c r="C55" s="4" t="s">
        <v>123</v>
      </c>
      <c r="D55" s="4" t="s">
        <v>232</v>
      </c>
      <c r="E55" s="4" t="s">
        <v>233</v>
      </c>
      <c r="F55" s="4" t="s">
        <v>234</v>
      </c>
      <c r="G55" s="4" t="s">
        <v>161</v>
      </c>
      <c r="H55" s="4" t="s">
        <v>235</v>
      </c>
      <c r="I55" s="4" t="s">
        <v>150</v>
      </c>
      <c r="J55" s="4" t="s">
        <v>236</v>
      </c>
      <c r="K55" s="4" t="s">
        <v>238</v>
      </c>
      <c r="L55" s="4" t="s">
        <v>239</v>
      </c>
      <c r="M55" s="25" t="n">
        <v>94.99</v>
      </c>
      <c r="N55" s="25" t="n">
        <v>65.99</v>
      </c>
      <c r="O55" s="25" t="n">
        <v>47.59</v>
      </c>
      <c r="P55" s="4" t="s">
        <v>1874</v>
      </c>
      <c r="Q55" s="28" t="n">
        <v>3</v>
      </c>
      <c r="R55" s="28" t="n">
        <f aca="false">COUNTIF('Inventory Master'!$C$2:$C$525,$A55)</f>
        <v>3</v>
      </c>
      <c r="S55" s="27" t="n">
        <f aca="false">SUMIF('Inventory Master'!$C$2:$C$525,$A55,'Inventory Master'!$X$2:$X$525)</f>
        <v>30</v>
      </c>
      <c r="T55" s="29" t="n">
        <f aca="false">SUMIF('Inventory Master'!$C$2:$C$525,$A55,'Inventory Master'!$Z$2:$Z$525)</f>
        <v>1979.7</v>
      </c>
    </row>
    <row r="56" customFormat="false" ht="15" hidden="false" customHeight="true" outlineLevel="0" collapsed="false">
      <c r="A56" s="4" t="s">
        <v>1235</v>
      </c>
      <c r="B56" s="4" t="s">
        <v>122</v>
      </c>
      <c r="C56" s="4" t="s">
        <v>123</v>
      </c>
      <c r="D56" s="4" t="s">
        <v>1236</v>
      </c>
      <c r="E56" s="4" t="s">
        <v>1237</v>
      </c>
      <c r="F56" s="4" t="s">
        <v>1238</v>
      </c>
      <c r="G56" s="4" t="s">
        <v>161</v>
      </c>
      <c r="H56" s="4" t="s">
        <v>235</v>
      </c>
      <c r="I56" s="4" t="s">
        <v>113</v>
      </c>
      <c r="J56" s="4" t="s">
        <v>273</v>
      </c>
      <c r="K56" s="4" t="s">
        <v>165</v>
      </c>
      <c r="L56" s="4" t="s">
        <v>118</v>
      </c>
      <c r="M56" s="25" t="n">
        <v>124.99</v>
      </c>
      <c r="N56" s="25" t="n">
        <v>124.99</v>
      </c>
      <c r="O56" s="25" t="n">
        <v>64.34</v>
      </c>
      <c r="P56" s="4" t="s">
        <v>1876</v>
      </c>
      <c r="Q56" s="28" t="n">
        <v>4</v>
      </c>
      <c r="R56" s="28" t="n">
        <f aca="false">COUNTIF('Inventory Master'!$C$2:$C$525,$A56)</f>
        <v>5</v>
      </c>
      <c r="S56" s="27" t="n">
        <f aca="false">SUMIF('Inventory Master'!$C$2:$C$525,$A56,'Inventory Master'!$X$2:$X$525)</f>
        <v>46</v>
      </c>
      <c r="T56" s="29" t="n">
        <f aca="false">SUMIF('Inventory Master'!$C$2:$C$525,$A56,'Inventory Master'!$Z$2:$Z$525)</f>
        <v>5749.54</v>
      </c>
    </row>
    <row r="57" customFormat="false" ht="15" hidden="false" customHeight="true" outlineLevel="0" collapsed="false">
      <c r="A57" s="4" t="s">
        <v>867</v>
      </c>
      <c r="B57" s="4" t="s">
        <v>122</v>
      </c>
      <c r="C57" s="4" t="s">
        <v>123</v>
      </c>
      <c r="D57" s="4" t="s">
        <v>868</v>
      </c>
      <c r="E57" s="4" t="s">
        <v>869</v>
      </c>
      <c r="F57" s="4" t="s">
        <v>870</v>
      </c>
      <c r="G57" s="4" t="s">
        <v>771</v>
      </c>
      <c r="H57" s="4" t="s">
        <v>772</v>
      </c>
      <c r="I57" s="4" t="s">
        <v>113</v>
      </c>
      <c r="J57" s="4" t="s">
        <v>871</v>
      </c>
      <c r="K57" s="4" t="s">
        <v>380</v>
      </c>
      <c r="L57" s="4" t="s">
        <v>118</v>
      </c>
      <c r="M57" s="25" t="n">
        <v>129.99</v>
      </c>
      <c r="N57" s="25" t="n">
        <v>129.99</v>
      </c>
      <c r="O57" s="25" t="n">
        <v>63.59</v>
      </c>
      <c r="P57" s="4" t="s">
        <v>1877</v>
      </c>
      <c r="Q57" s="28" t="n">
        <v>2</v>
      </c>
      <c r="R57" s="28" t="n">
        <f aca="false">COUNTIF('Inventory Master'!$C$2:$C$525,$A57)</f>
        <v>5</v>
      </c>
      <c r="S57" s="27" t="n">
        <f aca="false">SUMIF('Inventory Master'!$C$2:$C$525,$A57,'Inventory Master'!$X$2:$X$525)</f>
        <v>27</v>
      </c>
      <c r="T57" s="29" t="n">
        <f aca="false">SUMIF('Inventory Master'!$C$2:$C$525,$A57,'Inventory Master'!$Z$2:$Z$525)</f>
        <v>3509.73</v>
      </c>
    </row>
    <row r="58" customFormat="false" ht="15" hidden="false" customHeight="true" outlineLevel="0" collapsed="false">
      <c r="A58" s="4" t="s">
        <v>261</v>
      </c>
      <c r="B58" s="4" t="s">
        <v>122</v>
      </c>
      <c r="C58" s="4" t="s">
        <v>123</v>
      </c>
      <c r="D58" s="4" t="s">
        <v>262</v>
      </c>
      <c r="E58" s="4" t="s">
        <v>263</v>
      </c>
      <c r="F58" s="4" t="s">
        <v>264</v>
      </c>
      <c r="G58" s="4" t="s">
        <v>226</v>
      </c>
      <c r="H58" s="4" t="s">
        <v>265</v>
      </c>
      <c r="I58" s="4" t="s">
        <v>150</v>
      </c>
      <c r="J58" s="4" t="s">
        <v>266</v>
      </c>
      <c r="K58" s="4" t="s">
        <v>165</v>
      </c>
      <c r="L58" s="4" t="s">
        <v>118</v>
      </c>
      <c r="M58" s="25" t="n">
        <v>84.99</v>
      </c>
      <c r="N58" s="25" t="n">
        <v>84.99</v>
      </c>
      <c r="O58" s="25" t="n">
        <v>46.96</v>
      </c>
      <c r="P58" s="4" t="s">
        <v>1877</v>
      </c>
      <c r="Q58" s="28" t="n">
        <v>2</v>
      </c>
      <c r="R58" s="28" t="n">
        <f aca="false">COUNTIF('Inventory Master'!$C$2:$C$525,$A58)</f>
        <v>4</v>
      </c>
      <c r="S58" s="27" t="n">
        <f aca="false">SUMIF('Inventory Master'!$C$2:$C$525,$A58,'Inventory Master'!$X$2:$X$525)</f>
        <v>14</v>
      </c>
      <c r="T58" s="29" t="n">
        <f aca="false">SUMIF('Inventory Master'!$C$2:$C$525,$A58,'Inventory Master'!$Z$2:$Z$525)</f>
        <v>1189.86</v>
      </c>
    </row>
    <row r="59" customFormat="false" ht="15" hidden="false" customHeight="true" outlineLevel="0" collapsed="false">
      <c r="A59" s="4" t="s">
        <v>302</v>
      </c>
      <c r="B59" s="4" t="s">
        <v>122</v>
      </c>
      <c r="C59" s="4" t="s">
        <v>123</v>
      </c>
      <c r="D59" s="4" t="s">
        <v>303</v>
      </c>
      <c r="E59" s="4" t="s">
        <v>304</v>
      </c>
      <c r="F59" s="4" t="s">
        <v>305</v>
      </c>
      <c r="G59" s="4" t="s">
        <v>127</v>
      </c>
      <c r="H59" s="4" t="s">
        <v>306</v>
      </c>
      <c r="I59" s="4" t="s">
        <v>187</v>
      </c>
      <c r="J59" s="4" t="s">
        <v>307</v>
      </c>
      <c r="K59" s="4" t="s">
        <v>165</v>
      </c>
      <c r="L59" s="4" t="s">
        <v>118</v>
      </c>
      <c r="M59" s="25" t="n">
        <v>164.99</v>
      </c>
      <c r="N59" s="25" t="n">
        <v>164.99</v>
      </c>
      <c r="O59" s="25" t="n">
        <v>89.57</v>
      </c>
      <c r="P59" s="4" t="s">
        <v>1876</v>
      </c>
      <c r="Q59" s="28" t="n">
        <v>4</v>
      </c>
      <c r="R59" s="28" t="n">
        <f aca="false">COUNTIF('Inventory Master'!$C$2:$C$525,$A59)</f>
        <v>6</v>
      </c>
      <c r="S59" s="27" t="n">
        <f aca="false">SUMIF('Inventory Master'!$C$2:$C$525,$A59,'Inventory Master'!$X$2:$X$525)</f>
        <v>61</v>
      </c>
      <c r="T59" s="29" t="n">
        <f aca="false">SUMIF('Inventory Master'!$C$2:$C$525,$A59,'Inventory Master'!$Z$2:$Z$525)</f>
        <v>10064.39</v>
      </c>
    </row>
    <row r="60" customFormat="false" ht="15" hidden="false" customHeight="true" outlineLevel="0" collapsed="false">
      <c r="A60" s="4" t="s">
        <v>1130</v>
      </c>
      <c r="B60" s="4" t="s">
        <v>122</v>
      </c>
      <c r="C60" s="4" t="s">
        <v>123</v>
      </c>
      <c r="D60" s="4" t="s">
        <v>1131</v>
      </c>
      <c r="E60" s="4" t="s">
        <v>1132</v>
      </c>
      <c r="F60" s="4" t="s">
        <v>1133</v>
      </c>
      <c r="G60" s="4" t="s">
        <v>226</v>
      </c>
      <c r="H60" s="4" t="s">
        <v>265</v>
      </c>
      <c r="I60" s="4" t="s">
        <v>113</v>
      </c>
      <c r="J60" s="4" t="s">
        <v>1134</v>
      </c>
      <c r="K60" s="4" t="s">
        <v>117</v>
      </c>
      <c r="L60" s="4" t="s">
        <v>202</v>
      </c>
      <c r="M60" s="25" t="n">
        <v>129.99</v>
      </c>
      <c r="N60" s="25" t="n">
        <v>129.99</v>
      </c>
      <c r="O60" s="25" t="n">
        <v>72.02</v>
      </c>
      <c r="P60" s="4" t="s">
        <v>1876</v>
      </c>
      <c r="Q60" s="28" t="n">
        <v>4</v>
      </c>
      <c r="R60" s="28" t="n">
        <f aca="false">COUNTIF('Inventory Master'!$C$2:$C$525,$A60)</f>
        <v>4</v>
      </c>
      <c r="S60" s="27" t="n">
        <f aca="false">SUMIF('Inventory Master'!$C$2:$C$525,$A60,'Inventory Master'!$X$2:$X$525)</f>
        <v>33</v>
      </c>
      <c r="T60" s="29" t="n">
        <f aca="false">SUMIF('Inventory Master'!$C$2:$C$525,$A60,'Inventory Master'!$Z$2:$Z$525)</f>
        <v>4289.67</v>
      </c>
    </row>
    <row r="61" customFormat="false" ht="15" hidden="false" customHeight="true" outlineLevel="0" collapsed="false">
      <c r="A61" s="4" t="s">
        <v>568</v>
      </c>
      <c r="B61" s="4" t="s">
        <v>122</v>
      </c>
      <c r="C61" s="4" t="s">
        <v>123</v>
      </c>
      <c r="D61" s="4" t="s">
        <v>569</v>
      </c>
      <c r="E61" s="4" t="s">
        <v>570</v>
      </c>
      <c r="F61" s="4" t="s">
        <v>571</v>
      </c>
      <c r="G61" s="4" t="s">
        <v>226</v>
      </c>
      <c r="H61" s="4" t="s">
        <v>265</v>
      </c>
      <c r="I61" s="4" t="s">
        <v>113</v>
      </c>
      <c r="J61" s="4" t="s">
        <v>572</v>
      </c>
      <c r="K61" s="4" t="s">
        <v>165</v>
      </c>
      <c r="L61" s="4" t="s">
        <v>118</v>
      </c>
      <c r="M61" s="25" t="n">
        <v>159.99</v>
      </c>
      <c r="N61" s="25" t="n">
        <v>159.99</v>
      </c>
      <c r="O61" s="25" t="n">
        <v>86.99</v>
      </c>
      <c r="P61" s="4" t="s">
        <v>1874</v>
      </c>
      <c r="Q61" s="28" t="n">
        <v>3</v>
      </c>
      <c r="R61" s="28" t="n">
        <f aca="false">COUNTIF('Inventory Master'!$C$2:$C$525,$A61)</f>
        <v>6</v>
      </c>
      <c r="S61" s="27" t="n">
        <f aca="false">SUMIF('Inventory Master'!$C$2:$C$525,$A61,'Inventory Master'!$X$2:$X$525)</f>
        <v>55</v>
      </c>
      <c r="T61" s="29" t="n">
        <f aca="false">SUMIF('Inventory Master'!$C$2:$C$525,$A61,'Inventory Master'!$Z$2:$Z$525)</f>
        <v>8799.45</v>
      </c>
    </row>
    <row r="62" customFormat="false" ht="15" hidden="false" customHeight="true" outlineLevel="0" collapsed="false">
      <c r="A62" s="4" t="s">
        <v>629</v>
      </c>
      <c r="B62" s="4" t="s">
        <v>122</v>
      </c>
      <c r="C62" s="4" t="s">
        <v>123</v>
      </c>
      <c r="D62" s="4" t="s">
        <v>630</v>
      </c>
      <c r="E62" s="4" t="s">
        <v>631</v>
      </c>
      <c r="F62" s="4" t="s">
        <v>632</v>
      </c>
      <c r="G62" s="4" t="s">
        <v>111</v>
      </c>
      <c r="H62" s="4" t="s">
        <v>112</v>
      </c>
      <c r="I62" s="4" t="s">
        <v>199</v>
      </c>
      <c r="J62" s="4" t="s">
        <v>348</v>
      </c>
      <c r="K62" s="4" t="s">
        <v>117</v>
      </c>
      <c r="L62" s="4" t="s">
        <v>118</v>
      </c>
      <c r="M62" s="25" t="n">
        <v>27.99</v>
      </c>
      <c r="N62" s="25" t="n">
        <v>27.99</v>
      </c>
      <c r="O62" s="25" t="n">
        <v>14.09</v>
      </c>
      <c r="P62" s="4" t="s">
        <v>1877</v>
      </c>
      <c r="Q62" s="28" t="n">
        <v>2</v>
      </c>
      <c r="R62" s="28" t="n">
        <f aca="false">COUNTIF('Inventory Master'!$C$2:$C$525,$A62)</f>
        <v>3</v>
      </c>
      <c r="S62" s="27" t="n">
        <f aca="false">SUMIF('Inventory Master'!$C$2:$C$525,$A62,'Inventory Master'!$X$2:$X$525)</f>
        <v>26</v>
      </c>
      <c r="T62" s="29" t="n">
        <f aca="false">SUMIF('Inventory Master'!$C$2:$C$525,$A62,'Inventory Master'!$Z$2:$Z$525)</f>
        <v>727.74</v>
      </c>
    </row>
    <row r="63" customFormat="false" ht="15" hidden="false" customHeight="true" outlineLevel="0" collapsed="false">
      <c r="A63" s="4" t="s">
        <v>222</v>
      </c>
      <c r="B63" s="4" t="s">
        <v>122</v>
      </c>
      <c r="C63" s="4" t="s">
        <v>123</v>
      </c>
      <c r="D63" s="4" t="s">
        <v>223</v>
      </c>
      <c r="E63" s="4" t="s">
        <v>224</v>
      </c>
      <c r="F63" s="4" t="s">
        <v>225</v>
      </c>
      <c r="G63" s="4" t="s">
        <v>226</v>
      </c>
      <c r="H63" s="4" t="s">
        <v>227</v>
      </c>
      <c r="I63" s="4" t="s">
        <v>113</v>
      </c>
      <c r="J63" s="4" t="s">
        <v>228</v>
      </c>
      <c r="K63" s="4" t="s">
        <v>165</v>
      </c>
      <c r="L63" s="4" t="s">
        <v>118</v>
      </c>
      <c r="M63" s="25" t="n">
        <v>199.99</v>
      </c>
      <c r="N63" s="25" t="n">
        <v>199.99</v>
      </c>
      <c r="O63" s="25" t="n">
        <v>102.88</v>
      </c>
      <c r="P63" s="4" t="s">
        <v>1876</v>
      </c>
      <c r="Q63" s="28" t="n">
        <v>4</v>
      </c>
      <c r="R63" s="28" t="n">
        <f aca="false">COUNTIF('Inventory Master'!$C$2:$C$525,$A63)</f>
        <v>4</v>
      </c>
      <c r="S63" s="27" t="n">
        <f aca="false">SUMIF('Inventory Master'!$C$2:$C$525,$A63,'Inventory Master'!$X$2:$X$525)</f>
        <v>59</v>
      </c>
      <c r="T63" s="29" t="n">
        <f aca="false">SUMIF('Inventory Master'!$C$2:$C$525,$A63,'Inventory Master'!$Z$2:$Z$525)</f>
        <v>11799.41</v>
      </c>
    </row>
    <row r="64" customFormat="false" ht="15" hidden="false" customHeight="true" outlineLevel="0" collapsed="false">
      <c r="A64" s="4" t="s">
        <v>937</v>
      </c>
      <c r="B64" s="4" t="s">
        <v>122</v>
      </c>
      <c r="C64" s="4" t="s">
        <v>123</v>
      </c>
      <c r="D64" s="4" t="s">
        <v>938</v>
      </c>
      <c r="E64" s="4" t="s">
        <v>939</v>
      </c>
      <c r="F64" s="4" t="s">
        <v>940</v>
      </c>
      <c r="G64" s="4" t="s">
        <v>226</v>
      </c>
      <c r="H64" s="4" t="s">
        <v>790</v>
      </c>
      <c r="I64" s="4" t="s">
        <v>113</v>
      </c>
      <c r="J64" s="4" t="s">
        <v>941</v>
      </c>
      <c r="K64" s="4" t="s">
        <v>165</v>
      </c>
      <c r="L64" s="4" t="s">
        <v>239</v>
      </c>
      <c r="M64" s="25" t="n">
        <v>109.99</v>
      </c>
      <c r="N64" s="25" t="n">
        <v>81.99</v>
      </c>
      <c r="O64" s="25" t="n">
        <v>52.89</v>
      </c>
      <c r="P64" s="4" t="s">
        <v>1877</v>
      </c>
      <c r="Q64" s="28" t="n">
        <v>2</v>
      </c>
      <c r="R64" s="28" t="n">
        <f aca="false">COUNTIF('Inventory Master'!$C$2:$C$525,$A64)</f>
        <v>5</v>
      </c>
      <c r="S64" s="27" t="n">
        <f aca="false">SUMIF('Inventory Master'!$C$2:$C$525,$A64,'Inventory Master'!$X$2:$X$525)</f>
        <v>32</v>
      </c>
      <c r="T64" s="29" t="n">
        <f aca="false">SUMIF('Inventory Master'!$C$2:$C$525,$A64,'Inventory Master'!$Z$2:$Z$525)</f>
        <v>2623.68</v>
      </c>
    </row>
    <row r="65" customFormat="false" ht="15" hidden="false" customHeight="true" outlineLevel="0" collapsed="false">
      <c r="A65" s="4" t="s">
        <v>555</v>
      </c>
      <c r="B65" s="4" t="s">
        <v>122</v>
      </c>
      <c r="C65" s="4" t="s">
        <v>123</v>
      </c>
      <c r="D65" s="4" t="s">
        <v>556</v>
      </c>
      <c r="E65" s="4" t="s">
        <v>557</v>
      </c>
      <c r="F65" s="4" t="s">
        <v>558</v>
      </c>
      <c r="G65" s="4" t="s">
        <v>161</v>
      </c>
      <c r="H65" s="4" t="s">
        <v>246</v>
      </c>
      <c r="I65" s="4" t="s">
        <v>187</v>
      </c>
      <c r="J65" s="4" t="s">
        <v>559</v>
      </c>
      <c r="K65" s="4" t="s">
        <v>117</v>
      </c>
      <c r="L65" s="4" t="s">
        <v>202</v>
      </c>
      <c r="M65" s="25" t="n">
        <v>119.99</v>
      </c>
      <c r="N65" s="25" t="n">
        <v>119.99</v>
      </c>
      <c r="O65" s="25" t="n">
        <v>62.97</v>
      </c>
      <c r="P65" s="4" t="s">
        <v>1874</v>
      </c>
      <c r="Q65" s="28" t="n">
        <v>3</v>
      </c>
      <c r="R65" s="28" t="n">
        <f aca="false">COUNTIF('Inventory Master'!$C$2:$C$525,$A65)</f>
        <v>6</v>
      </c>
      <c r="S65" s="27" t="n">
        <f aca="false">SUMIF('Inventory Master'!$C$2:$C$525,$A65,'Inventory Master'!$X$2:$X$525)</f>
        <v>46</v>
      </c>
      <c r="T65" s="29" t="n">
        <f aca="false">SUMIF('Inventory Master'!$C$2:$C$525,$A65,'Inventory Master'!$Z$2:$Z$525)</f>
        <v>5519.54</v>
      </c>
    </row>
    <row r="66" customFormat="false" ht="15" hidden="false" customHeight="true" outlineLevel="0" collapsed="false">
      <c r="A66" s="4" t="s">
        <v>636</v>
      </c>
      <c r="B66" s="4" t="s">
        <v>122</v>
      </c>
      <c r="C66" s="4" t="s">
        <v>123</v>
      </c>
      <c r="D66" s="4" t="s">
        <v>598</v>
      </c>
      <c r="E66" s="4" t="s">
        <v>637</v>
      </c>
      <c r="F66" s="4" t="s">
        <v>638</v>
      </c>
      <c r="G66" s="4" t="s">
        <v>127</v>
      </c>
      <c r="H66" s="4" t="s">
        <v>280</v>
      </c>
      <c r="I66" s="4" t="s">
        <v>113</v>
      </c>
      <c r="J66" s="4" t="s">
        <v>639</v>
      </c>
      <c r="K66" s="4" t="s">
        <v>117</v>
      </c>
      <c r="L66" s="4" t="s">
        <v>118</v>
      </c>
      <c r="M66" s="25" t="n">
        <v>139.99</v>
      </c>
      <c r="N66" s="25" t="n">
        <v>139.99</v>
      </c>
      <c r="O66" s="25" t="n">
        <v>75.33</v>
      </c>
      <c r="P66" s="4" t="s">
        <v>1877</v>
      </c>
      <c r="Q66" s="28" t="n">
        <v>2</v>
      </c>
      <c r="R66" s="28" t="n">
        <f aca="false">COUNTIF('Inventory Master'!$C$2:$C$525,$A66)</f>
        <v>5</v>
      </c>
      <c r="S66" s="27" t="n">
        <f aca="false">SUMIF('Inventory Master'!$C$2:$C$525,$A66,'Inventory Master'!$X$2:$X$525)</f>
        <v>22</v>
      </c>
      <c r="T66" s="29" t="n">
        <f aca="false">SUMIF('Inventory Master'!$C$2:$C$525,$A66,'Inventory Master'!$Z$2:$Z$525)</f>
        <v>3079.78</v>
      </c>
    </row>
    <row r="67" customFormat="false" ht="15" hidden="false" customHeight="true" outlineLevel="0" collapsed="false">
      <c r="A67" s="4" t="s">
        <v>597</v>
      </c>
      <c r="B67" s="4" t="s">
        <v>122</v>
      </c>
      <c r="C67" s="4" t="s">
        <v>123</v>
      </c>
      <c r="D67" s="4" t="s">
        <v>598</v>
      </c>
      <c r="E67" s="4" t="s">
        <v>599</v>
      </c>
      <c r="F67" s="4" t="s">
        <v>600</v>
      </c>
      <c r="G67" s="4" t="s">
        <v>127</v>
      </c>
      <c r="H67" s="4" t="s">
        <v>280</v>
      </c>
      <c r="I67" s="4" t="s">
        <v>187</v>
      </c>
      <c r="J67" s="4" t="s">
        <v>601</v>
      </c>
      <c r="K67" s="4" t="s">
        <v>165</v>
      </c>
      <c r="L67" s="4" t="s">
        <v>118</v>
      </c>
      <c r="M67" s="25" t="n">
        <v>139.99</v>
      </c>
      <c r="N67" s="25" t="n">
        <v>139.99</v>
      </c>
      <c r="O67" s="25" t="n">
        <v>72.45</v>
      </c>
      <c r="P67" s="4" t="s">
        <v>1877</v>
      </c>
      <c r="Q67" s="28" t="n">
        <v>2</v>
      </c>
      <c r="R67" s="28" t="n">
        <f aca="false">COUNTIF('Inventory Master'!$C$2:$C$525,$A67)</f>
        <v>3</v>
      </c>
      <c r="S67" s="27" t="n">
        <f aca="false">SUMIF('Inventory Master'!$C$2:$C$525,$A67,'Inventory Master'!$X$2:$X$525)</f>
        <v>19</v>
      </c>
      <c r="T67" s="29" t="n">
        <f aca="false">SUMIF('Inventory Master'!$C$2:$C$525,$A67,'Inventory Master'!$Z$2:$Z$525)</f>
        <v>2659.81</v>
      </c>
    </row>
    <row r="68" customFormat="false" ht="15" hidden="false" customHeight="true" outlineLevel="0" collapsed="false">
      <c r="A68" s="4" t="s">
        <v>671</v>
      </c>
      <c r="B68" s="4" t="s">
        <v>122</v>
      </c>
      <c r="C68" s="4" t="s">
        <v>123</v>
      </c>
      <c r="D68" s="4" t="s">
        <v>124</v>
      </c>
      <c r="E68" s="4" t="s">
        <v>672</v>
      </c>
      <c r="F68" s="4" t="s">
        <v>673</v>
      </c>
      <c r="G68" s="4" t="s">
        <v>127</v>
      </c>
      <c r="H68" s="4" t="s">
        <v>128</v>
      </c>
      <c r="I68" s="4" t="s">
        <v>150</v>
      </c>
      <c r="J68" s="4" t="s">
        <v>674</v>
      </c>
      <c r="K68" s="4" t="s">
        <v>165</v>
      </c>
      <c r="L68" s="4" t="s">
        <v>118</v>
      </c>
      <c r="M68" s="25" t="n">
        <v>59.99</v>
      </c>
      <c r="N68" s="25" t="n">
        <v>59.99</v>
      </c>
      <c r="O68" s="25" t="n">
        <v>29.23</v>
      </c>
      <c r="P68" s="4" t="s">
        <v>1876</v>
      </c>
      <c r="Q68" s="28" t="n">
        <v>4</v>
      </c>
      <c r="R68" s="28" t="n">
        <f aca="false">COUNTIF('Inventory Master'!$C$2:$C$525,$A68)</f>
        <v>6</v>
      </c>
      <c r="S68" s="27" t="n">
        <f aca="false">SUMIF('Inventory Master'!$C$2:$C$525,$A68,'Inventory Master'!$X$2:$X$525)</f>
        <v>45</v>
      </c>
      <c r="T68" s="29" t="n">
        <f aca="false">SUMIF('Inventory Master'!$C$2:$C$525,$A68,'Inventory Master'!$Z$2:$Z$525)</f>
        <v>2699.55</v>
      </c>
    </row>
    <row r="69" customFormat="false" ht="15" hidden="false" customHeight="true" outlineLevel="0" collapsed="false">
      <c r="A69" s="4" t="s">
        <v>121</v>
      </c>
      <c r="B69" s="4" t="s">
        <v>122</v>
      </c>
      <c r="C69" s="4" t="s">
        <v>123</v>
      </c>
      <c r="D69" s="4" t="s">
        <v>124</v>
      </c>
      <c r="E69" s="4" t="s">
        <v>125</v>
      </c>
      <c r="F69" s="4" t="s">
        <v>126</v>
      </c>
      <c r="G69" s="4" t="s">
        <v>127</v>
      </c>
      <c r="H69" s="4" t="s">
        <v>128</v>
      </c>
      <c r="I69" s="4" t="s">
        <v>113</v>
      </c>
      <c r="J69" s="4" t="s">
        <v>129</v>
      </c>
      <c r="K69" s="4" t="s">
        <v>131</v>
      </c>
      <c r="L69" s="4" t="s">
        <v>118</v>
      </c>
      <c r="M69" s="25" t="n">
        <v>74.99</v>
      </c>
      <c r="N69" s="25" t="n">
        <v>74.99</v>
      </c>
      <c r="O69" s="25" t="n">
        <v>36.3</v>
      </c>
      <c r="P69" s="4" t="s">
        <v>1877</v>
      </c>
      <c r="Q69" s="28" t="n">
        <v>2</v>
      </c>
      <c r="R69" s="28" t="n">
        <f aca="false">COUNTIF('Inventory Master'!$C$2:$C$525,$A69)</f>
        <v>3</v>
      </c>
      <c r="S69" s="27" t="n">
        <f aca="false">SUMIF('Inventory Master'!$C$2:$C$525,$A69,'Inventory Master'!$X$2:$X$525)</f>
        <v>13</v>
      </c>
      <c r="T69" s="29" t="n">
        <f aca="false">SUMIF('Inventory Master'!$C$2:$C$525,$A69,'Inventory Master'!$Z$2:$Z$525)</f>
        <v>974.87</v>
      </c>
    </row>
    <row r="70" customFormat="false" ht="15" hidden="false" customHeight="true" outlineLevel="0" collapsed="false">
      <c r="A70" s="4" t="s">
        <v>525</v>
      </c>
      <c r="B70" s="4" t="s">
        <v>122</v>
      </c>
      <c r="C70" s="4" t="s">
        <v>123</v>
      </c>
      <c r="D70" s="4" t="s">
        <v>526</v>
      </c>
      <c r="E70" s="4" t="s">
        <v>527</v>
      </c>
      <c r="F70" s="4" t="s">
        <v>528</v>
      </c>
      <c r="G70" s="4" t="s">
        <v>111</v>
      </c>
      <c r="H70" s="4" t="s">
        <v>112</v>
      </c>
      <c r="I70" s="4" t="s">
        <v>113</v>
      </c>
      <c r="J70" s="4" t="s">
        <v>348</v>
      </c>
      <c r="K70" s="4" t="s">
        <v>238</v>
      </c>
      <c r="L70" s="4" t="s">
        <v>239</v>
      </c>
      <c r="M70" s="25" t="n">
        <v>34.99</v>
      </c>
      <c r="N70" s="25" t="n">
        <v>23.99</v>
      </c>
      <c r="O70" s="25" t="n">
        <v>19</v>
      </c>
      <c r="P70" s="4" t="s">
        <v>1876</v>
      </c>
      <c r="Q70" s="28" t="n">
        <v>4</v>
      </c>
      <c r="R70" s="28" t="n">
        <f aca="false">COUNTIF('Inventory Master'!$C$2:$C$525,$A70)</f>
        <v>3</v>
      </c>
      <c r="S70" s="27" t="n">
        <f aca="false">SUMIF('Inventory Master'!$C$2:$C$525,$A70,'Inventory Master'!$X$2:$X$525)</f>
        <v>20</v>
      </c>
      <c r="T70" s="29" t="n">
        <f aca="false">SUMIF('Inventory Master'!$C$2:$C$525,$A70,'Inventory Master'!$Z$2:$Z$525)</f>
        <v>479.8</v>
      </c>
    </row>
    <row r="71" customFormat="false" ht="15" hidden="false" customHeight="true" outlineLevel="0" collapsed="false">
      <c r="A71" s="4" t="s">
        <v>883</v>
      </c>
      <c r="B71" s="4" t="s">
        <v>122</v>
      </c>
      <c r="C71" s="4" t="s">
        <v>123</v>
      </c>
      <c r="D71" s="4" t="s">
        <v>884</v>
      </c>
      <c r="E71" s="4" t="s">
        <v>885</v>
      </c>
      <c r="F71" s="4" t="s">
        <v>886</v>
      </c>
      <c r="G71" s="4" t="s">
        <v>127</v>
      </c>
      <c r="H71" s="4" t="s">
        <v>218</v>
      </c>
      <c r="I71" s="4" t="s">
        <v>113</v>
      </c>
      <c r="J71" s="4" t="s">
        <v>579</v>
      </c>
      <c r="K71" s="4" t="s">
        <v>380</v>
      </c>
      <c r="L71" s="4" t="s">
        <v>239</v>
      </c>
      <c r="M71" s="25" t="n">
        <v>154.99</v>
      </c>
      <c r="N71" s="25" t="n">
        <v>115.99</v>
      </c>
      <c r="O71" s="25" t="n">
        <v>75.44</v>
      </c>
      <c r="P71" s="4" t="s">
        <v>1876</v>
      </c>
      <c r="Q71" s="28" t="n">
        <v>4</v>
      </c>
      <c r="R71" s="28" t="n">
        <f aca="false">COUNTIF('Inventory Master'!$C$2:$C$525,$A71)</f>
        <v>3</v>
      </c>
      <c r="S71" s="27" t="n">
        <f aca="false">SUMIF('Inventory Master'!$C$2:$C$525,$A71,'Inventory Master'!$X$2:$X$525)</f>
        <v>15</v>
      </c>
      <c r="T71" s="29" t="n">
        <f aca="false">SUMIF('Inventory Master'!$C$2:$C$525,$A71,'Inventory Master'!$Z$2:$Z$525)</f>
        <v>1739.85</v>
      </c>
    </row>
    <row r="72" customFormat="false" ht="15" hidden="false" customHeight="true" outlineLevel="0" collapsed="false">
      <c r="A72" s="4" t="s">
        <v>1074</v>
      </c>
      <c r="B72" s="4" t="s">
        <v>122</v>
      </c>
      <c r="C72" s="4" t="s">
        <v>123</v>
      </c>
      <c r="D72" s="4" t="s">
        <v>1075</v>
      </c>
      <c r="E72" s="4" t="s">
        <v>1076</v>
      </c>
      <c r="F72" s="4" t="s">
        <v>1077</v>
      </c>
      <c r="G72" s="4" t="s">
        <v>161</v>
      </c>
      <c r="H72" s="4" t="s">
        <v>246</v>
      </c>
      <c r="I72" s="4" t="s">
        <v>113</v>
      </c>
      <c r="J72" s="4" t="s">
        <v>1078</v>
      </c>
      <c r="K72" s="4" t="s">
        <v>165</v>
      </c>
      <c r="L72" s="4" t="s">
        <v>118</v>
      </c>
      <c r="M72" s="25" t="n">
        <v>159.99</v>
      </c>
      <c r="N72" s="25" t="n">
        <v>159.99</v>
      </c>
      <c r="O72" s="25" t="n">
        <v>87.97</v>
      </c>
      <c r="P72" s="4" t="s">
        <v>1876</v>
      </c>
      <c r="Q72" s="28" t="n">
        <v>4</v>
      </c>
      <c r="R72" s="28" t="n">
        <f aca="false">COUNTIF('Inventory Master'!$C$2:$C$525,$A72)</f>
        <v>5</v>
      </c>
      <c r="S72" s="27" t="n">
        <f aca="false">SUMIF('Inventory Master'!$C$2:$C$525,$A72,'Inventory Master'!$X$2:$X$525)</f>
        <v>55</v>
      </c>
      <c r="T72" s="29" t="n">
        <f aca="false">SUMIF('Inventory Master'!$C$2:$C$525,$A72,'Inventory Master'!$Z$2:$Z$525)</f>
        <v>8799.45</v>
      </c>
    </row>
    <row r="73" customFormat="false" ht="15" hidden="false" customHeight="true" outlineLevel="0" collapsed="false">
      <c r="A73" s="4" t="s">
        <v>813</v>
      </c>
      <c r="B73" s="4" t="s">
        <v>331</v>
      </c>
      <c r="C73" s="4" t="s">
        <v>332</v>
      </c>
      <c r="D73" s="4" t="s">
        <v>814</v>
      </c>
      <c r="E73" s="4" t="s">
        <v>815</v>
      </c>
      <c r="F73" s="4" t="s">
        <v>816</v>
      </c>
      <c r="G73" s="4" t="s">
        <v>127</v>
      </c>
      <c r="H73" s="4" t="s">
        <v>817</v>
      </c>
      <c r="I73" s="4" t="s">
        <v>113</v>
      </c>
      <c r="J73" s="4" t="s">
        <v>818</v>
      </c>
      <c r="K73" s="4" t="s">
        <v>165</v>
      </c>
      <c r="L73" s="4" t="s">
        <v>239</v>
      </c>
      <c r="M73" s="25" t="n">
        <v>179.99</v>
      </c>
      <c r="N73" s="25" t="n">
        <v>107.99</v>
      </c>
      <c r="O73" s="25" t="n">
        <v>100.67</v>
      </c>
      <c r="P73" s="4" t="s">
        <v>1877</v>
      </c>
      <c r="Q73" s="28" t="n">
        <v>2</v>
      </c>
      <c r="R73" s="28" t="n">
        <f aca="false">COUNTIF('Inventory Master'!$C$2:$C$525,$A73)</f>
        <v>3</v>
      </c>
      <c r="S73" s="27" t="n">
        <f aca="false">SUMIF('Inventory Master'!$C$2:$C$525,$A73,'Inventory Master'!$X$2:$X$525)</f>
        <v>13</v>
      </c>
      <c r="T73" s="29" t="n">
        <f aca="false">SUMIF('Inventory Master'!$C$2:$C$525,$A73,'Inventory Master'!$Z$2:$Z$525)</f>
        <v>1403.87</v>
      </c>
    </row>
    <row r="74" customFormat="false" ht="15" hidden="false" customHeight="true" outlineLevel="0" collapsed="false">
      <c r="A74" s="4" t="s">
        <v>330</v>
      </c>
      <c r="B74" s="4" t="s">
        <v>331</v>
      </c>
      <c r="C74" s="4" t="s">
        <v>332</v>
      </c>
      <c r="D74" s="4" t="s">
        <v>333</v>
      </c>
      <c r="E74" s="4" t="s">
        <v>334</v>
      </c>
      <c r="F74" s="4" t="s">
        <v>335</v>
      </c>
      <c r="G74" s="4" t="s">
        <v>161</v>
      </c>
      <c r="H74" s="4" t="s">
        <v>336</v>
      </c>
      <c r="I74" s="4" t="s">
        <v>187</v>
      </c>
      <c r="J74" s="4" t="s">
        <v>337</v>
      </c>
      <c r="K74" s="4" t="s">
        <v>165</v>
      </c>
      <c r="L74" s="4" t="s">
        <v>118</v>
      </c>
      <c r="M74" s="25" t="n">
        <v>159.99</v>
      </c>
      <c r="N74" s="25" t="n">
        <v>159.99</v>
      </c>
      <c r="O74" s="25" t="n">
        <v>87.47</v>
      </c>
      <c r="P74" s="4" t="s">
        <v>1874</v>
      </c>
      <c r="Q74" s="28" t="n">
        <v>3</v>
      </c>
      <c r="R74" s="28" t="n">
        <f aca="false">COUNTIF('Inventory Master'!$C$2:$C$525,$A74)</f>
        <v>5</v>
      </c>
      <c r="S74" s="27" t="n">
        <f aca="false">SUMIF('Inventory Master'!$C$2:$C$525,$A74,'Inventory Master'!$X$2:$X$525)</f>
        <v>46</v>
      </c>
      <c r="T74" s="29" t="n">
        <f aca="false">SUMIF('Inventory Master'!$C$2:$C$525,$A74,'Inventory Master'!$Z$2:$Z$525)</f>
        <v>7359.54</v>
      </c>
    </row>
    <row r="75" customFormat="false" ht="15" hidden="false" customHeight="true" outlineLevel="0" collapsed="false">
      <c r="A75" s="4" t="s">
        <v>821</v>
      </c>
      <c r="B75" s="4" t="s">
        <v>331</v>
      </c>
      <c r="C75" s="4" t="s">
        <v>332</v>
      </c>
      <c r="D75" s="4" t="s">
        <v>822</v>
      </c>
      <c r="E75" s="4" t="s">
        <v>823</v>
      </c>
      <c r="F75" s="4" t="s">
        <v>824</v>
      </c>
      <c r="G75" s="4" t="s">
        <v>161</v>
      </c>
      <c r="H75" s="4" t="s">
        <v>336</v>
      </c>
      <c r="I75" s="4" t="s">
        <v>209</v>
      </c>
      <c r="J75" s="4" t="s">
        <v>825</v>
      </c>
      <c r="K75" s="4" t="s">
        <v>131</v>
      </c>
      <c r="L75" s="4" t="s">
        <v>239</v>
      </c>
      <c r="M75" s="25" t="n">
        <v>149.99</v>
      </c>
      <c r="N75" s="25" t="n">
        <v>104.99</v>
      </c>
      <c r="O75" s="25" t="n">
        <v>83.5</v>
      </c>
      <c r="P75" s="4" t="s">
        <v>1874</v>
      </c>
      <c r="Q75" s="28" t="n">
        <v>3</v>
      </c>
      <c r="R75" s="28" t="n">
        <f aca="false">COUNTIF('Inventory Master'!$C$2:$C$525,$A75)</f>
        <v>4</v>
      </c>
      <c r="S75" s="27" t="n">
        <f aca="false">SUMIF('Inventory Master'!$C$2:$C$525,$A75,'Inventory Master'!$X$2:$X$525)</f>
        <v>29</v>
      </c>
      <c r="T75" s="29" t="n">
        <f aca="false">SUMIF('Inventory Master'!$C$2:$C$525,$A75,'Inventory Master'!$Z$2:$Z$525)</f>
        <v>3044.71</v>
      </c>
    </row>
    <row r="76" customFormat="false" ht="15" hidden="false" customHeight="true" outlineLevel="0" collapsed="false">
      <c r="A76" s="4" t="s">
        <v>453</v>
      </c>
      <c r="B76" s="4" t="s">
        <v>251</v>
      </c>
      <c r="C76" s="4" t="s">
        <v>252</v>
      </c>
      <c r="D76" s="4" t="s">
        <v>454</v>
      </c>
      <c r="E76" s="4" t="s">
        <v>455</v>
      </c>
      <c r="F76" s="4" t="s">
        <v>456</v>
      </c>
      <c r="G76" s="4" t="s">
        <v>161</v>
      </c>
      <c r="H76" s="4" t="s">
        <v>235</v>
      </c>
      <c r="I76" s="4" t="s">
        <v>199</v>
      </c>
      <c r="J76" s="4" t="s">
        <v>457</v>
      </c>
      <c r="K76" s="4" t="s">
        <v>380</v>
      </c>
      <c r="L76" s="4" t="s">
        <v>239</v>
      </c>
      <c r="M76" s="25" t="n">
        <v>44.99</v>
      </c>
      <c r="N76" s="25" t="n">
        <v>33.99</v>
      </c>
      <c r="O76" s="25" t="n">
        <v>24.11</v>
      </c>
      <c r="P76" s="4" t="s">
        <v>1875</v>
      </c>
      <c r="Q76" s="28" t="n">
        <v>1</v>
      </c>
      <c r="R76" s="28" t="n">
        <f aca="false">COUNTIF('Inventory Master'!$C$2:$C$525,$A76)</f>
        <v>5</v>
      </c>
      <c r="S76" s="27" t="n">
        <f aca="false">SUMIF('Inventory Master'!$C$2:$C$525,$A76,'Inventory Master'!$X$2:$X$525)</f>
        <v>11</v>
      </c>
      <c r="T76" s="29" t="n">
        <f aca="false">SUMIF('Inventory Master'!$C$2:$C$525,$A76,'Inventory Master'!$Z$2:$Z$525)</f>
        <v>373.89</v>
      </c>
    </row>
    <row r="77" customFormat="false" ht="15" hidden="false" customHeight="true" outlineLevel="0" collapsed="false">
      <c r="A77" s="4" t="s">
        <v>1367</v>
      </c>
      <c r="B77" s="4" t="s">
        <v>251</v>
      </c>
      <c r="C77" s="4" t="s">
        <v>252</v>
      </c>
      <c r="D77" s="4" t="s">
        <v>1368</v>
      </c>
      <c r="E77" s="4" t="s">
        <v>1369</v>
      </c>
      <c r="F77" s="4" t="s">
        <v>1370</v>
      </c>
      <c r="G77" s="4" t="s">
        <v>226</v>
      </c>
      <c r="H77" s="4" t="s">
        <v>265</v>
      </c>
      <c r="I77" s="4" t="s">
        <v>113</v>
      </c>
      <c r="J77" s="4" t="s">
        <v>1371</v>
      </c>
      <c r="K77" s="4" t="s">
        <v>165</v>
      </c>
      <c r="L77" s="4" t="s">
        <v>118</v>
      </c>
      <c r="M77" s="25" t="n">
        <v>129.99</v>
      </c>
      <c r="N77" s="25" t="n">
        <v>129.99</v>
      </c>
      <c r="O77" s="25" t="n">
        <v>63.86</v>
      </c>
      <c r="P77" s="4" t="s">
        <v>1876</v>
      </c>
      <c r="Q77" s="28" t="n">
        <v>4</v>
      </c>
      <c r="R77" s="28" t="n">
        <f aca="false">COUNTIF('Inventory Master'!$C$2:$C$525,$A77)</f>
        <v>3</v>
      </c>
      <c r="S77" s="27" t="n">
        <f aca="false">SUMIF('Inventory Master'!$C$2:$C$525,$A77,'Inventory Master'!$X$2:$X$525)</f>
        <v>31</v>
      </c>
      <c r="T77" s="29" t="n">
        <f aca="false">SUMIF('Inventory Master'!$C$2:$C$525,$A77,'Inventory Master'!$Z$2:$Z$525)</f>
        <v>4029.69</v>
      </c>
    </row>
    <row r="78" customFormat="false" ht="15" hidden="false" customHeight="true" outlineLevel="0" collapsed="false">
      <c r="A78" s="4" t="s">
        <v>366</v>
      </c>
      <c r="B78" s="4" t="s">
        <v>251</v>
      </c>
      <c r="C78" s="4" t="s">
        <v>252</v>
      </c>
      <c r="D78" s="4" t="s">
        <v>367</v>
      </c>
      <c r="E78" s="4" t="s">
        <v>368</v>
      </c>
      <c r="F78" s="4" t="s">
        <v>369</v>
      </c>
      <c r="G78" s="4" t="s">
        <v>161</v>
      </c>
      <c r="H78" s="4" t="s">
        <v>162</v>
      </c>
      <c r="I78" s="4" t="s">
        <v>187</v>
      </c>
      <c r="J78" s="4" t="s">
        <v>370</v>
      </c>
      <c r="K78" s="4" t="s">
        <v>117</v>
      </c>
      <c r="L78" s="4" t="s">
        <v>118</v>
      </c>
      <c r="M78" s="25" t="n">
        <v>89.99</v>
      </c>
      <c r="N78" s="25" t="n">
        <v>89.99</v>
      </c>
      <c r="O78" s="25" t="n">
        <v>45.15</v>
      </c>
      <c r="P78" s="4" t="s">
        <v>1874</v>
      </c>
      <c r="Q78" s="28" t="n">
        <v>3</v>
      </c>
      <c r="R78" s="28" t="n">
        <f aca="false">COUNTIF('Inventory Master'!$C$2:$C$525,$A78)</f>
        <v>6</v>
      </c>
      <c r="S78" s="27" t="n">
        <f aca="false">SUMIF('Inventory Master'!$C$2:$C$525,$A78,'Inventory Master'!$X$2:$X$525)</f>
        <v>50</v>
      </c>
      <c r="T78" s="29" t="n">
        <f aca="false">SUMIF('Inventory Master'!$C$2:$C$525,$A78,'Inventory Master'!$Z$2:$Z$525)</f>
        <v>4499.5</v>
      </c>
    </row>
    <row r="79" customFormat="false" ht="15" hidden="false" customHeight="true" outlineLevel="0" collapsed="false">
      <c r="A79" s="4" t="s">
        <v>250</v>
      </c>
      <c r="B79" s="4" t="s">
        <v>251</v>
      </c>
      <c r="C79" s="4" t="s">
        <v>252</v>
      </c>
      <c r="D79" s="4" t="s">
        <v>253</v>
      </c>
      <c r="E79" s="4" t="s">
        <v>254</v>
      </c>
      <c r="F79" s="4" t="s">
        <v>255</v>
      </c>
      <c r="G79" s="4" t="s">
        <v>161</v>
      </c>
      <c r="H79" s="4" t="s">
        <v>256</v>
      </c>
      <c r="I79" s="4" t="s">
        <v>113</v>
      </c>
      <c r="J79" s="4" t="s">
        <v>257</v>
      </c>
      <c r="K79" s="4" t="s">
        <v>165</v>
      </c>
      <c r="L79" s="4" t="s">
        <v>118</v>
      </c>
      <c r="M79" s="25" t="n">
        <v>119.99</v>
      </c>
      <c r="N79" s="25" t="n">
        <v>119.99</v>
      </c>
      <c r="O79" s="25" t="n">
        <v>66.31</v>
      </c>
      <c r="P79" s="4" t="s">
        <v>1874</v>
      </c>
      <c r="Q79" s="28" t="n">
        <v>3</v>
      </c>
      <c r="R79" s="28" t="n">
        <f aca="false">COUNTIF('Inventory Master'!$C$2:$C$525,$A79)</f>
        <v>5</v>
      </c>
      <c r="S79" s="27" t="n">
        <f aca="false">SUMIF('Inventory Master'!$C$2:$C$525,$A79,'Inventory Master'!$X$2:$X$525)</f>
        <v>46</v>
      </c>
      <c r="T79" s="29" t="n">
        <f aca="false">SUMIF('Inventory Master'!$C$2:$C$525,$A79,'Inventory Master'!$Z$2:$Z$525)</f>
        <v>5519.54</v>
      </c>
    </row>
    <row r="80" customFormat="false" ht="15" hidden="false" customHeight="true" outlineLevel="0" collapsed="false">
      <c r="A80" s="4" t="s">
        <v>294</v>
      </c>
      <c r="B80" s="4" t="s">
        <v>251</v>
      </c>
      <c r="C80" s="4" t="s">
        <v>252</v>
      </c>
      <c r="D80" s="4" t="s">
        <v>295</v>
      </c>
      <c r="E80" s="4" t="s">
        <v>296</v>
      </c>
      <c r="F80" s="4" t="s">
        <v>297</v>
      </c>
      <c r="G80" s="4" t="s">
        <v>127</v>
      </c>
      <c r="H80" s="4" t="s">
        <v>298</v>
      </c>
      <c r="I80" s="4" t="s">
        <v>113</v>
      </c>
      <c r="J80" s="4" t="s">
        <v>299</v>
      </c>
      <c r="K80" s="4" t="s">
        <v>165</v>
      </c>
      <c r="L80" s="4" t="s">
        <v>118</v>
      </c>
      <c r="M80" s="25" t="n">
        <v>79.99</v>
      </c>
      <c r="N80" s="25" t="n">
        <v>79.99</v>
      </c>
      <c r="O80" s="25" t="n">
        <v>41.96</v>
      </c>
      <c r="P80" s="4" t="s">
        <v>1874</v>
      </c>
      <c r="Q80" s="28" t="n">
        <v>3</v>
      </c>
      <c r="R80" s="28" t="n">
        <f aca="false">COUNTIF('Inventory Master'!$C$2:$C$525,$A80)</f>
        <v>6</v>
      </c>
      <c r="S80" s="27" t="n">
        <f aca="false">SUMIF('Inventory Master'!$C$2:$C$525,$A80,'Inventory Master'!$X$2:$X$525)</f>
        <v>52</v>
      </c>
      <c r="T80" s="29" t="n">
        <f aca="false">SUMIF('Inventory Master'!$C$2:$C$525,$A80,'Inventory Master'!$Z$2:$Z$525)</f>
        <v>4159.48</v>
      </c>
    </row>
    <row r="81" customFormat="false" ht="15" hidden="false" customHeight="true" outlineLevel="0" collapsed="false">
      <c r="A81" s="4" t="s">
        <v>758</v>
      </c>
      <c r="B81" s="4" t="s">
        <v>251</v>
      </c>
      <c r="C81" s="4" t="s">
        <v>252</v>
      </c>
      <c r="D81" s="4" t="s">
        <v>759</v>
      </c>
      <c r="E81" s="4" t="s">
        <v>760</v>
      </c>
      <c r="F81" s="4" t="s">
        <v>761</v>
      </c>
      <c r="G81" s="4" t="s">
        <v>161</v>
      </c>
      <c r="H81" s="4" t="s">
        <v>762</v>
      </c>
      <c r="I81" s="4" t="s">
        <v>187</v>
      </c>
      <c r="J81" s="4" t="s">
        <v>348</v>
      </c>
      <c r="K81" s="4" t="s">
        <v>131</v>
      </c>
      <c r="L81" s="4" t="s">
        <v>118</v>
      </c>
      <c r="M81" s="25" t="n">
        <v>99.99</v>
      </c>
      <c r="N81" s="25" t="n">
        <v>99.99</v>
      </c>
      <c r="O81" s="25" t="n">
        <v>53.97</v>
      </c>
      <c r="P81" s="4" t="s">
        <v>1877</v>
      </c>
      <c r="Q81" s="28" t="n">
        <v>2</v>
      </c>
      <c r="R81" s="28" t="n">
        <f aca="false">COUNTIF('Inventory Master'!$C$2:$C$525,$A81)</f>
        <v>6</v>
      </c>
      <c r="S81" s="27" t="n">
        <f aca="false">SUMIF('Inventory Master'!$C$2:$C$525,$A81,'Inventory Master'!$X$2:$X$525)</f>
        <v>35</v>
      </c>
      <c r="T81" s="29" t="n">
        <f aca="false">SUMIF('Inventory Master'!$C$2:$C$525,$A81,'Inventory Master'!$Z$2:$Z$525)</f>
        <v>3499.65</v>
      </c>
    </row>
    <row r="82" customFormat="false" ht="15" hidden="false" customHeight="true" outlineLevel="0" collapsed="false">
      <c r="A82" s="4" t="s">
        <v>684</v>
      </c>
      <c r="B82" s="4" t="s">
        <v>251</v>
      </c>
      <c r="C82" s="4" t="s">
        <v>252</v>
      </c>
      <c r="D82" s="4" t="s">
        <v>685</v>
      </c>
      <c r="E82" s="4" t="s">
        <v>686</v>
      </c>
      <c r="F82" s="4" t="s">
        <v>687</v>
      </c>
      <c r="G82" s="4" t="s">
        <v>161</v>
      </c>
      <c r="H82" s="4" t="s">
        <v>235</v>
      </c>
      <c r="I82" s="4" t="s">
        <v>113</v>
      </c>
      <c r="J82" s="4" t="s">
        <v>348</v>
      </c>
      <c r="K82" s="4" t="s">
        <v>117</v>
      </c>
      <c r="L82" s="4" t="s">
        <v>118</v>
      </c>
      <c r="M82" s="25" t="n">
        <v>79.99</v>
      </c>
      <c r="N82" s="25" t="n">
        <v>79.99</v>
      </c>
      <c r="O82" s="25" t="n">
        <v>44.53</v>
      </c>
      <c r="P82" s="4" t="s">
        <v>1876</v>
      </c>
      <c r="Q82" s="28" t="n">
        <v>4</v>
      </c>
      <c r="R82" s="28" t="n">
        <f aca="false">COUNTIF('Inventory Master'!$C$2:$C$525,$A82)</f>
        <v>6</v>
      </c>
      <c r="S82" s="27" t="n">
        <f aca="false">SUMIF('Inventory Master'!$C$2:$C$525,$A82,'Inventory Master'!$X$2:$X$525)</f>
        <v>58</v>
      </c>
      <c r="T82" s="29" t="n">
        <f aca="false">SUMIF('Inventory Master'!$C$2:$C$525,$A82,'Inventory Master'!$Z$2:$Z$525)</f>
        <v>4639.42</v>
      </c>
    </row>
    <row r="83" customFormat="false" ht="15" hidden="false" customHeight="true" outlineLevel="0" collapsed="false">
      <c r="A83" s="4" t="s">
        <v>373</v>
      </c>
      <c r="B83" s="4" t="s">
        <v>374</v>
      </c>
      <c r="C83" s="4" t="s">
        <v>375</v>
      </c>
      <c r="D83" s="4" t="s">
        <v>376</v>
      </c>
      <c r="E83" s="4" t="s">
        <v>377</v>
      </c>
      <c r="F83" s="4" t="s">
        <v>378</v>
      </c>
      <c r="G83" s="4" t="s">
        <v>161</v>
      </c>
      <c r="H83" s="4" t="s">
        <v>235</v>
      </c>
      <c r="I83" s="4" t="s">
        <v>113</v>
      </c>
      <c r="J83" s="4" t="s">
        <v>379</v>
      </c>
      <c r="K83" s="4" t="s">
        <v>380</v>
      </c>
      <c r="L83" s="4" t="s">
        <v>239</v>
      </c>
      <c r="M83" s="25" t="n">
        <v>89.99</v>
      </c>
      <c r="N83" s="25" t="n">
        <v>62.99</v>
      </c>
      <c r="O83" s="25" t="n">
        <v>49.53</v>
      </c>
      <c r="P83" s="4" t="s">
        <v>1876</v>
      </c>
      <c r="Q83" s="28" t="n">
        <v>4</v>
      </c>
      <c r="R83" s="28" t="n">
        <f aca="false">COUNTIF('Inventory Master'!$C$2:$C$525,$A83)</f>
        <v>5</v>
      </c>
      <c r="S83" s="27" t="n">
        <f aca="false">SUMIF('Inventory Master'!$C$2:$C$525,$A83,'Inventory Master'!$X$2:$X$525)</f>
        <v>33</v>
      </c>
      <c r="T83" s="29" t="n">
        <f aca="false">SUMIF('Inventory Master'!$C$2:$C$525,$A83,'Inventory Master'!$Z$2:$Z$525)</f>
        <v>2078.67</v>
      </c>
    </row>
    <row r="84" customFormat="false" ht="15" hidden="false" customHeight="true" outlineLevel="0" collapsed="false">
      <c r="A84" s="4" t="s">
        <v>767</v>
      </c>
      <c r="B84" s="4" t="s">
        <v>374</v>
      </c>
      <c r="C84" s="4" t="s">
        <v>375</v>
      </c>
      <c r="D84" s="4" t="s">
        <v>768</v>
      </c>
      <c r="E84" s="4" t="s">
        <v>769</v>
      </c>
      <c r="F84" s="4" t="s">
        <v>770</v>
      </c>
      <c r="G84" s="4" t="s">
        <v>771</v>
      </c>
      <c r="H84" s="4" t="s">
        <v>772</v>
      </c>
      <c r="I84" s="4" t="s">
        <v>113</v>
      </c>
      <c r="J84" s="4" t="s">
        <v>773</v>
      </c>
      <c r="K84" s="4" t="s">
        <v>131</v>
      </c>
      <c r="L84" s="4" t="s">
        <v>118</v>
      </c>
      <c r="M84" s="25" t="n">
        <v>149.99</v>
      </c>
      <c r="N84" s="25" t="n">
        <v>149.99</v>
      </c>
      <c r="O84" s="25" t="n">
        <v>72.27</v>
      </c>
      <c r="P84" s="4" t="s">
        <v>1875</v>
      </c>
      <c r="Q84" s="28" t="n">
        <v>1</v>
      </c>
      <c r="R84" s="28" t="n">
        <f aca="false">COUNTIF('Inventory Master'!$C$2:$C$525,$A84)</f>
        <v>4</v>
      </c>
      <c r="S84" s="27" t="n">
        <f aca="false">SUMIF('Inventory Master'!$C$2:$C$525,$A84,'Inventory Master'!$X$2:$X$525)</f>
        <v>17</v>
      </c>
      <c r="T84" s="29" t="n">
        <f aca="false">SUMIF('Inventory Master'!$C$2:$C$525,$A84,'Inventory Master'!$Z$2:$Z$525)</f>
        <v>2549.83</v>
      </c>
    </row>
    <row r="85" customFormat="false" ht="15" hidden="false" customHeight="true" outlineLevel="0" collapsed="false">
      <c r="A85" s="4" t="s">
        <v>483</v>
      </c>
      <c r="B85" s="4" t="s">
        <v>484</v>
      </c>
      <c r="C85" s="4" t="s">
        <v>485</v>
      </c>
      <c r="D85" s="4" t="s">
        <v>486</v>
      </c>
      <c r="E85" s="4" t="s">
        <v>487</v>
      </c>
      <c r="F85" s="4" t="s">
        <v>488</v>
      </c>
      <c r="G85" s="4" t="s">
        <v>127</v>
      </c>
      <c r="H85" s="4" t="s">
        <v>280</v>
      </c>
      <c r="I85" s="4" t="s">
        <v>113</v>
      </c>
      <c r="J85" s="4" t="s">
        <v>489</v>
      </c>
      <c r="K85" s="4" t="s">
        <v>131</v>
      </c>
      <c r="L85" s="4" t="s">
        <v>239</v>
      </c>
      <c r="M85" s="25" t="n">
        <v>144.99</v>
      </c>
      <c r="N85" s="25" t="n">
        <v>93.99</v>
      </c>
      <c r="O85" s="25" t="n">
        <v>77.83</v>
      </c>
      <c r="P85" s="4" t="s">
        <v>1876</v>
      </c>
      <c r="Q85" s="28" t="n">
        <v>4</v>
      </c>
      <c r="R85" s="28" t="n">
        <f aca="false">COUNTIF('Inventory Master'!$C$2:$C$525,$A85)</f>
        <v>6</v>
      </c>
      <c r="S85" s="27" t="n">
        <f aca="false">SUMIF('Inventory Master'!$C$2:$C$525,$A85,'Inventory Master'!$X$2:$X$525)</f>
        <v>40</v>
      </c>
      <c r="T85" s="29" t="n">
        <f aca="false">SUMIF('Inventory Master'!$C$2:$C$525,$A85,'Inventory Master'!$Z$2:$Z$525)</f>
        <v>3759.6</v>
      </c>
    </row>
    <row r="86" customFormat="false" ht="15" hidden="false" customHeight="true" outlineLevel="0" collapsed="false">
      <c r="A86" s="4" t="s">
        <v>1584</v>
      </c>
      <c r="B86" s="4" t="s">
        <v>484</v>
      </c>
      <c r="C86" s="4" t="s">
        <v>485</v>
      </c>
      <c r="D86" s="4" t="s">
        <v>1585</v>
      </c>
      <c r="E86" s="4" t="s">
        <v>1586</v>
      </c>
      <c r="F86" s="4" t="s">
        <v>1587</v>
      </c>
      <c r="G86" s="4" t="s">
        <v>161</v>
      </c>
      <c r="H86" s="4" t="s">
        <v>246</v>
      </c>
      <c r="I86" s="4" t="s">
        <v>209</v>
      </c>
      <c r="J86" s="4" t="s">
        <v>1588</v>
      </c>
      <c r="K86" s="4" t="s">
        <v>117</v>
      </c>
      <c r="L86" s="4" t="s">
        <v>118</v>
      </c>
      <c r="M86" s="25" t="n">
        <v>109.99</v>
      </c>
      <c r="N86" s="25" t="n">
        <v>109.99</v>
      </c>
      <c r="O86" s="25" t="n">
        <v>57.68</v>
      </c>
      <c r="P86" s="4" t="s">
        <v>1876</v>
      </c>
      <c r="Q86" s="28" t="n">
        <v>4</v>
      </c>
      <c r="R86" s="28" t="n">
        <f aca="false">COUNTIF('Inventory Master'!$C$2:$C$525,$A86)</f>
        <v>3</v>
      </c>
      <c r="S86" s="27" t="n">
        <f aca="false">SUMIF('Inventory Master'!$C$2:$C$525,$A86,'Inventory Master'!$X$2:$X$525)</f>
        <v>19</v>
      </c>
      <c r="T86" s="29" t="n">
        <f aca="false">SUMIF('Inventory Master'!$C$2:$C$525,$A86,'Inventory Master'!$Z$2:$Z$525)</f>
        <v>2089.81</v>
      </c>
    </row>
    <row r="87" customFormat="false" ht="15" hidden="false" customHeight="true" outlineLevel="0" collapsed="false">
      <c r="A87" s="4" t="s">
        <v>426</v>
      </c>
      <c r="B87" s="4" t="s">
        <v>427</v>
      </c>
      <c r="C87" s="4" t="s">
        <v>428</v>
      </c>
      <c r="D87" s="4" t="s">
        <v>429</v>
      </c>
      <c r="E87" s="4" t="s">
        <v>430</v>
      </c>
      <c r="F87" s="4" t="s">
        <v>431</v>
      </c>
      <c r="G87" s="4" t="s">
        <v>127</v>
      </c>
      <c r="H87" s="4" t="s">
        <v>298</v>
      </c>
      <c r="I87" s="4" t="s">
        <v>113</v>
      </c>
      <c r="J87" s="4" t="s">
        <v>432</v>
      </c>
      <c r="K87" s="4" t="s">
        <v>165</v>
      </c>
      <c r="L87" s="4" t="s">
        <v>118</v>
      </c>
      <c r="M87" s="25" t="n">
        <v>99.99</v>
      </c>
      <c r="N87" s="25" t="n">
        <v>99.99</v>
      </c>
      <c r="O87" s="25" t="n">
        <v>55.37</v>
      </c>
      <c r="P87" s="4" t="s">
        <v>1874</v>
      </c>
      <c r="Q87" s="28" t="n">
        <v>3</v>
      </c>
      <c r="R87" s="28" t="n">
        <f aca="false">COUNTIF('Inventory Master'!$C$2:$C$525,$A87)</f>
        <v>6</v>
      </c>
      <c r="S87" s="27" t="n">
        <f aca="false">SUMIF('Inventory Master'!$C$2:$C$525,$A87,'Inventory Master'!$X$2:$X$525)</f>
        <v>46</v>
      </c>
      <c r="T87" s="29" t="n">
        <f aca="false">SUMIF('Inventory Master'!$C$2:$C$525,$A87,'Inventory Master'!$Z$2:$Z$525)</f>
        <v>4599.54</v>
      </c>
    </row>
    <row r="88" customFormat="false" ht="15" hidden="false" customHeight="true" outlineLevel="0" collapsed="false">
      <c r="A88" s="4" t="s">
        <v>548</v>
      </c>
      <c r="B88" s="4" t="s">
        <v>427</v>
      </c>
      <c r="C88" s="4" t="s">
        <v>428</v>
      </c>
      <c r="D88" s="4" t="s">
        <v>549</v>
      </c>
      <c r="E88" s="4" t="s">
        <v>550</v>
      </c>
      <c r="F88" s="4" t="s">
        <v>551</v>
      </c>
      <c r="G88" s="4" t="s">
        <v>127</v>
      </c>
      <c r="H88" s="4" t="s">
        <v>298</v>
      </c>
      <c r="I88" s="4" t="s">
        <v>187</v>
      </c>
      <c r="J88" s="4" t="s">
        <v>552</v>
      </c>
      <c r="K88" s="4" t="s">
        <v>165</v>
      </c>
      <c r="L88" s="4" t="s">
        <v>118</v>
      </c>
      <c r="M88" s="25" t="n">
        <v>79.99</v>
      </c>
      <c r="N88" s="25" t="n">
        <v>79.99</v>
      </c>
      <c r="O88" s="25" t="n">
        <v>41.06</v>
      </c>
      <c r="P88" s="4" t="s">
        <v>1874</v>
      </c>
      <c r="Q88" s="28" t="n">
        <v>3</v>
      </c>
      <c r="R88" s="28" t="n">
        <f aca="false">COUNTIF('Inventory Master'!$C$2:$C$525,$A88)</f>
        <v>5</v>
      </c>
      <c r="S88" s="27" t="n">
        <f aca="false">SUMIF('Inventory Master'!$C$2:$C$525,$A88,'Inventory Master'!$X$2:$X$525)</f>
        <v>50</v>
      </c>
      <c r="T88" s="29" t="n">
        <f aca="false">SUMIF('Inventory Master'!$C$2:$C$525,$A88,'Inventory Master'!$Z$2:$Z$525)</f>
        <v>3999.5</v>
      </c>
    </row>
    <row r="89" customFormat="false" ht="15" hidden="false" customHeight="true" outlineLevel="0" collapsed="false">
      <c r="A89" s="4" t="s">
        <v>320</v>
      </c>
      <c r="B89" s="4" t="s">
        <v>181</v>
      </c>
      <c r="C89" s="4" t="s">
        <v>321</v>
      </c>
      <c r="D89" s="4" t="s">
        <v>322</v>
      </c>
      <c r="E89" s="4" t="s">
        <v>323</v>
      </c>
      <c r="F89" s="4" t="s">
        <v>324</v>
      </c>
      <c r="G89" s="4" t="s">
        <v>161</v>
      </c>
      <c r="H89" s="4" t="s">
        <v>325</v>
      </c>
      <c r="I89" s="4" t="s">
        <v>113</v>
      </c>
      <c r="J89" s="4" t="s">
        <v>326</v>
      </c>
      <c r="K89" s="4" t="s">
        <v>131</v>
      </c>
      <c r="L89" s="4" t="s">
        <v>118</v>
      </c>
      <c r="M89" s="25" t="n">
        <v>209.99</v>
      </c>
      <c r="N89" s="25" t="n">
        <v>209.99</v>
      </c>
      <c r="O89" s="25" t="n">
        <v>110.54</v>
      </c>
      <c r="P89" s="4" t="s">
        <v>1877</v>
      </c>
      <c r="Q89" s="28" t="n">
        <v>2</v>
      </c>
      <c r="R89" s="28" t="n">
        <f aca="false">COUNTIF('Inventory Master'!$C$2:$C$525,$A89)</f>
        <v>5</v>
      </c>
      <c r="S89" s="27" t="n">
        <f aca="false">SUMIF('Inventory Master'!$C$2:$C$525,$A89,'Inventory Master'!$X$2:$X$525)</f>
        <v>40</v>
      </c>
      <c r="T89" s="29" t="n">
        <f aca="false">SUMIF('Inventory Master'!$C$2:$C$525,$A89,'Inventory Master'!$Z$2:$Z$525)</f>
        <v>8399.6</v>
      </c>
    </row>
    <row r="90" customFormat="false" ht="15" hidden="false" customHeight="true" outlineLevel="0" collapsed="false">
      <c r="A90" s="4" t="s">
        <v>713</v>
      </c>
      <c r="B90" s="4" t="s">
        <v>342</v>
      </c>
      <c r="C90" s="4" t="s">
        <v>714</v>
      </c>
      <c r="D90" s="4" t="s">
        <v>715</v>
      </c>
      <c r="E90" s="4" t="s">
        <v>716</v>
      </c>
      <c r="F90" s="4" t="s">
        <v>717</v>
      </c>
      <c r="G90" s="4" t="s">
        <v>161</v>
      </c>
      <c r="H90" s="4" t="s">
        <v>718</v>
      </c>
      <c r="I90" s="4" t="s">
        <v>187</v>
      </c>
      <c r="J90" s="4" t="s">
        <v>719</v>
      </c>
      <c r="K90" s="4" t="s">
        <v>238</v>
      </c>
      <c r="L90" s="4" t="s">
        <v>239</v>
      </c>
      <c r="M90" s="25" t="n">
        <v>119.99</v>
      </c>
      <c r="N90" s="25" t="n">
        <v>71.99</v>
      </c>
      <c r="O90" s="25" t="n">
        <v>61.14</v>
      </c>
      <c r="P90" s="4" t="s">
        <v>1876</v>
      </c>
      <c r="Q90" s="28" t="n">
        <v>4</v>
      </c>
      <c r="R90" s="28" t="n">
        <f aca="false">COUNTIF('Inventory Master'!$C$2:$C$525,$A90)</f>
        <v>3</v>
      </c>
      <c r="S90" s="27" t="n">
        <f aca="false">SUMIF('Inventory Master'!$C$2:$C$525,$A90,'Inventory Master'!$X$2:$X$525)</f>
        <v>29</v>
      </c>
      <c r="T90" s="29" t="n">
        <f aca="false">SUMIF('Inventory Master'!$C$2:$C$525,$A90,'Inventory Master'!$Z$2:$Z$525)</f>
        <v>2087.71</v>
      </c>
    </row>
    <row r="91" customFormat="false" ht="15" hidden="false" customHeight="true" outlineLevel="0" collapsed="false">
      <c r="A91" s="4" t="s">
        <v>562</v>
      </c>
      <c r="B91" s="4" t="s">
        <v>145</v>
      </c>
      <c r="C91" s="4" t="s">
        <v>146</v>
      </c>
      <c r="D91" s="4" t="s">
        <v>563</v>
      </c>
      <c r="E91" s="4" t="s">
        <v>564</v>
      </c>
      <c r="F91" s="4" t="s">
        <v>565</v>
      </c>
      <c r="G91" s="4" t="s">
        <v>127</v>
      </c>
      <c r="H91" s="4" t="s">
        <v>128</v>
      </c>
      <c r="I91" s="4" t="s">
        <v>113</v>
      </c>
      <c r="J91" s="4" t="s">
        <v>464</v>
      </c>
      <c r="K91" s="4" t="s">
        <v>131</v>
      </c>
      <c r="L91" s="4" t="s">
        <v>239</v>
      </c>
      <c r="M91" s="25" t="n">
        <v>84.99</v>
      </c>
      <c r="N91" s="25" t="n">
        <v>54.99</v>
      </c>
      <c r="O91" s="25" t="n">
        <v>45.86</v>
      </c>
      <c r="P91" s="4" t="s">
        <v>1876</v>
      </c>
      <c r="Q91" s="28" t="n">
        <v>4</v>
      </c>
      <c r="R91" s="28" t="n">
        <f aca="false">COUNTIF('Inventory Master'!$C$2:$C$525,$A91)</f>
        <v>5</v>
      </c>
      <c r="S91" s="27" t="n">
        <f aca="false">SUMIF('Inventory Master'!$C$2:$C$525,$A91,'Inventory Master'!$X$2:$X$525)</f>
        <v>37</v>
      </c>
      <c r="T91" s="29" t="n">
        <f aca="false">SUMIF('Inventory Master'!$C$2:$C$525,$A91,'Inventory Master'!$Z$2:$Z$525)</f>
        <v>2034.63</v>
      </c>
    </row>
    <row r="92" customFormat="false" ht="15" hidden="false" customHeight="true" outlineLevel="0" collapsed="false">
      <c r="A92" s="4" t="s">
        <v>795</v>
      </c>
      <c r="B92" s="4" t="s">
        <v>145</v>
      </c>
      <c r="C92" s="4" t="s">
        <v>146</v>
      </c>
      <c r="D92" s="4" t="s">
        <v>563</v>
      </c>
      <c r="E92" s="4" t="s">
        <v>796</v>
      </c>
      <c r="F92" s="4" t="s">
        <v>797</v>
      </c>
      <c r="G92" s="4" t="s">
        <v>127</v>
      </c>
      <c r="H92" s="4" t="s">
        <v>128</v>
      </c>
      <c r="I92" s="4" t="s">
        <v>187</v>
      </c>
      <c r="J92" s="4" t="s">
        <v>798</v>
      </c>
      <c r="K92" s="4" t="s">
        <v>131</v>
      </c>
      <c r="L92" s="4" t="s">
        <v>118</v>
      </c>
      <c r="M92" s="25" t="n">
        <v>84.99</v>
      </c>
      <c r="N92" s="25" t="n">
        <v>84.99</v>
      </c>
      <c r="O92" s="25" t="n">
        <v>45.28</v>
      </c>
      <c r="P92" s="4" t="s">
        <v>1877</v>
      </c>
      <c r="Q92" s="28" t="n">
        <v>2</v>
      </c>
      <c r="R92" s="28" t="n">
        <f aca="false">COUNTIF('Inventory Master'!$C$2:$C$525,$A92)</f>
        <v>3</v>
      </c>
      <c r="S92" s="27" t="n">
        <f aca="false">SUMIF('Inventory Master'!$C$2:$C$525,$A92,'Inventory Master'!$X$2:$X$525)</f>
        <v>15</v>
      </c>
      <c r="T92" s="29" t="n">
        <f aca="false">SUMIF('Inventory Master'!$C$2:$C$525,$A92,'Inventory Master'!$Z$2:$Z$525)</f>
        <v>1274.85</v>
      </c>
    </row>
    <row r="93" customFormat="false" ht="15" hidden="false" customHeight="true" outlineLevel="0" collapsed="false">
      <c r="A93" s="4" t="s">
        <v>611</v>
      </c>
      <c r="B93" s="4" t="s">
        <v>145</v>
      </c>
      <c r="C93" s="4" t="s">
        <v>146</v>
      </c>
      <c r="D93" s="4" t="s">
        <v>612</v>
      </c>
      <c r="E93" s="4" t="s">
        <v>613</v>
      </c>
      <c r="F93" s="4" t="s">
        <v>614</v>
      </c>
      <c r="G93" s="4" t="s">
        <v>127</v>
      </c>
      <c r="H93" s="4" t="s">
        <v>280</v>
      </c>
      <c r="I93" s="4" t="s">
        <v>113</v>
      </c>
      <c r="J93" s="4" t="s">
        <v>615</v>
      </c>
      <c r="K93" s="4" t="s">
        <v>165</v>
      </c>
      <c r="L93" s="4" t="s">
        <v>118</v>
      </c>
      <c r="M93" s="25" t="n">
        <v>99.99</v>
      </c>
      <c r="N93" s="25" t="n">
        <v>99.99</v>
      </c>
      <c r="O93" s="25" t="n">
        <v>51.72</v>
      </c>
      <c r="P93" s="4" t="s">
        <v>1874</v>
      </c>
      <c r="Q93" s="28" t="n">
        <v>3</v>
      </c>
      <c r="R93" s="28" t="n">
        <f aca="false">COUNTIF('Inventory Master'!$C$2:$C$525,$A93)</f>
        <v>3</v>
      </c>
      <c r="S93" s="27" t="n">
        <f aca="false">SUMIF('Inventory Master'!$C$2:$C$525,$A93,'Inventory Master'!$X$2:$X$525)</f>
        <v>21</v>
      </c>
      <c r="T93" s="29" t="n">
        <f aca="false">SUMIF('Inventory Master'!$C$2:$C$525,$A93,'Inventory Master'!$Z$2:$Z$525)</f>
        <v>2099.79</v>
      </c>
    </row>
    <row r="94" customFormat="false" ht="15" hidden="false" customHeight="true" outlineLevel="0" collapsed="false">
      <c r="A94" s="4" t="s">
        <v>313</v>
      </c>
      <c r="B94" s="4" t="s">
        <v>145</v>
      </c>
      <c r="C94" s="4" t="s">
        <v>146</v>
      </c>
      <c r="D94" s="4" t="s">
        <v>314</v>
      </c>
      <c r="E94" s="4" t="s">
        <v>315</v>
      </c>
      <c r="F94" s="4" t="s">
        <v>316</v>
      </c>
      <c r="G94" s="4" t="s">
        <v>226</v>
      </c>
      <c r="H94" s="4" t="s">
        <v>265</v>
      </c>
      <c r="I94" s="4" t="s">
        <v>113</v>
      </c>
      <c r="J94" s="4" t="s">
        <v>317</v>
      </c>
      <c r="K94" s="4" t="s">
        <v>165</v>
      </c>
      <c r="L94" s="4" t="s">
        <v>118</v>
      </c>
      <c r="M94" s="25" t="n">
        <v>169.99</v>
      </c>
      <c r="N94" s="25" t="n">
        <v>169.99</v>
      </c>
      <c r="O94" s="25" t="n">
        <v>86.49</v>
      </c>
      <c r="P94" s="4" t="s">
        <v>1874</v>
      </c>
      <c r="Q94" s="28" t="n">
        <v>3</v>
      </c>
      <c r="R94" s="28" t="n">
        <f aca="false">COUNTIF('Inventory Master'!$C$2:$C$525,$A94)</f>
        <v>4</v>
      </c>
      <c r="S94" s="27" t="n">
        <f aca="false">SUMIF('Inventory Master'!$C$2:$C$525,$A94,'Inventory Master'!$X$2:$X$525)</f>
        <v>45</v>
      </c>
      <c r="T94" s="29" t="n">
        <f aca="false">SUMIF('Inventory Master'!$C$2:$C$525,$A94,'Inventory Master'!$Z$2:$Z$525)</f>
        <v>7649.55</v>
      </c>
    </row>
    <row r="95" customFormat="false" ht="15" hidden="false" customHeight="true" outlineLevel="0" collapsed="false">
      <c r="A95" s="4" t="s">
        <v>1342</v>
      </c>
      <c r="B95" s="4" t="s">
        <v>145</v>
      </c>
      <c r="C95" s="4" t="s">
        <v>146</v>
      </c>
      <c r="D95" s="4" t="s">
        <v>1343</v>
      </c>
      <c r="E95" s="4" t="s">
        <v>1344</v>
      </c>
      <c r="F95" s="4" t="s">
        <v>1345</v>
      </c>
      <c r="G95" s="4" t="s">
        <v>127</v>
      </c>
      <c r="H95" s="4" t="s">
        <v>347</v>
      </c>
      <c r="I95" s="4" t="s">
        <v>113</v>
      </c>
      <c r="J95" s="4" t="s">
        <v>1346</v>
      </c>
      <c r="K95" s="4" t="s">
        <v>165</v>
      </c>
      <c r="L95" s="4" t="s">
        <v>118</v>
      </c>
      <c r="M95" s="25" t="n">
        <v>159.99</v>
      </c>
      <c r="N95" s="25" t="n">
        <v>159.99</v>
      </c>
      <c r="O95" s="25" t="n">
        <v>85.81</v>
      </c>
      <c r="P95" s="4" t="s">
        <v>1874</v>
      </c>
      <c r="Q95" s="28" t="n">
        <v>3</v>
      </c>
      <c r="R95" s="28" t="n">
        <f aca="false">COUNTIF('Inventory Master'!$C$2:$C$525,$A95)</f>
        <v>3</v>
      </c>
      <c r="S95" s="27" t="n">
        <f aca="false">SUMIF('Inventory Master'!$C$2:$C$525,$A95,'Inventory Master'!$X$2:$X$525)</f>
        <v>22</v>
      </c>
      <c r="T95" s="29" t="n">
        <f aca="false">SUMIF('Inventory Master'!$C$2:$C$525,$A95,'Inventory Master'!$Z$2:$Z$525)</f>
        <v>3519.78</v>
      </c>
    </row>
    <row r="96" customFormat="false" ht="15" hidden="false" customHeight="true" outlineLevel="0" collapsed="false">
      <c r="A96" s="4" t="s">
        <v>786</v>
      </c>
      <c r="B96" s="4" t="s">
        <v>145</v>
      </c>
      <c r="C96" s="4" t="s">
        <v>146</v>
      </c>
      <c r="D96" s="4" t="s">
        <v>787</v>
      </c>
      <c r="E96" s="4" t="s">
        <v>788</v>
      </c>
      <c r="F96" s="4" t="s">
        <v>789</v>
      </c>
      <c r="G96" s="4" t="s">
        <v>226</v>
      </c>
      <c r="H96" s="4" t="s">
        <v>790</v>
      </c>
      <c r="I96" s="4" t="s">
        <v>150</v>
      </c>
      <c r="J96" s="4" t="s">
        <v>348</v>
      </c>
      <c r="K96" s="4" t="s">
        <v>238</v>
      </c>
      <c r="L96" s="4" t="s">
        <v>118</v>
      </c>
      <c r="M96" s="25" t="n">
        <v>74.99</v>
      </c>
      <c r="N96" s="25" t="n">
        <v>74.99</v>
      </c>
      <c r="O96" s="25" t="n">
        <v>40.94</v>
      </c>
      <c r="P96" s="4" t="s">
        <v>1874</v>
      </c>
      <c r="Q96" s="28" t="n">
        <v>3</v>
      </c>
      <c r="R96" s="28" t="n">
        <f aca="false">COUNTIF('Inventory Master'!$C$2:$C$525,$A96)</f>
        <v>6</v>
      </c>
      <c r="S96" s="27" t="n">
        <f aca="false">SUMIF('Inventory Master'!$C$2:$C$525,$A96,'Inventory Master'!$X$2:$X$525)</f>
        <v>59</v>
      </c>
      <c r="T96" s="29" t="n">
        <f aca="false">SUMIF('Inventory Master'!$C$2:$C$525,$A96,'Inventory Master'!$Z$2:$Z$525)</f>
        <v>4424.41</v>
      </c>
    </row>
    <row r="97" customFormat="false" ht="15" hidden="false" customHeight="true" outlineLevel="0" collapsed="false">
      <c r="A97" s="4" t="s">
        <v>144</v>
      </c>
      <c r="B97" s="4" t="s">
        <v>145</v>
      </c>
      <c r="C97" s="4" t="s">
        <v>146</v>
      </c>
      <c r="D97" s="4" t="s">
        <v>147</v>
      </c>
      <c r="E97" s="4" t="s">
        <v>148</v>
      </c>
      <c r="F97" s="4" t="s">
        <v>149</v>
      </c>
      <c r="G97" s="4" t="s">
        <v>127</v>
      </c>
      <c r="H97" s="4" t="s">
        <v>128</v>
      </c>
      <c r="I97" s="4" t="s">
        <v>150</v>
      </c>
      <c r="J97" s="4" t="s">
        <v>151</v>
      </c>
      <c r="K97" s="4" t="s">
        <v>131</v>
      </c>
      <c r="L97" s="4" t="s">
        <v>118</v>
      </c>
      <c r="M97" s="25" t="n">
        <v>64.99</v>
      </c>
      <c r="N97" s="25" t="n">
        <v>64.99</v>
      </c>
      <c r="O97" s="25" t="n">
        <v>32.11</v>
      </c>
      <c r="P97" s="4" t="s">
        <v>1875</v>
      </c>
      <c r="Q97" s="28" t="n">
        <v>1</v>
      </c>
      <c r="R97" s="28" t="n">
        <f aca="false">COUNTIF('Inventory Master'!$C$2:$C$525,$A97)</f>
        <v>5</v>
      </c>
      <c r="S97" s="27" t="n">
        <f aca="false">SUMIF('Inventory Master'!$C$2:$C$525,$A97,'Inventory Master'!$X$2:$X$525)</f>
        <v>21</v>
      </c>
      <c r="T97" s="29" t="n">
        <f aca="false">SUMIF('Inventory Master'!$C$2:$C$525,$A97,'Inventory Master'!$Z$2:$Z$525)</f>
        <v>1364.79</v>
      </c>
    </row>
    <row r="98" customFormat="false" ht="15" hidden="false" customHeight="true" outlineLevel="0" collapsed="false">
      <c r="A98" s="4" t="s">
        <v>1291</v>
      </c>
      <c r="B98" s="4" t="s">
        <v>145</v>
      </c>
      <c r="C98" s="4" t="s">
        <v>146</v>
      </c>
      <c r="D98" s="4" t="s">
        <v>1292</v>
      </c>
      <c r="E98" s="4" t="s">
        <v>1293</v>
      </c>
      <c r="F98" s="4" t="s">
        <v>1294</v>
      </c>
      <c r="G98" s="4" t="s">
        <v>771</v>
      </c>
      <c r="H98" s="4" t="s">
        <v>772</v>
      </c>
      <c r="I98" s="4" t="s">
        <v>113</v>
      </c>
      <c r="J98" s="4" t="s">
        <v>1295</v>
      </c>
      <c r="K98" s="4" t="s">
        <v>238</v>
      </c>
      <c r="L98" s="4" t="s">
        <v>118</v>
      </c>
      <c r="M98" s="25" t="n">
        <v>139.99</v>
      </c>
      <c r="N98" s="25" t="n">
        <v>139.99</v>
      </c>
      <c r="O98" s="25" t="n">
        <v>70.17</v>
      </c>
      <c r="P98" s="4" t="s">
        <v>1876</v>
      </c>
      <c r="Q98" s="28" t="n">
        <v>4</v>
      </c>
      <c r="R98" s="28" t="n">
        <f aca="false">COUNTIF('Inventory Master'!$C$2:$C$525,$A98)</f>
        <v>3</v>
      </c>
      <c r="S98" s="27" t="n">
        <f aca="false">SUMIF('Inventory Master'!$C$2:$C$525,$A98,'Inventory Master'!$X$2:$X$525)</f>
        <v>34</v>
      </c>
      <c r="T98" s="29" t="n">
        <f aca="false">SUMIF('Inventory Master'!$C$2:$C$525,$A98,'Inventory Master'!$Z$2:$Z$525)</f>
        <v>4759.66</v>
      </c>
    </row>
    <row r="99" customFormat="false" ht="15" hidden="false" customHeight="true" outlineLevel="0" collapsed="false">
      <c r="A99" s="4" t="s">
        <v>205</v>
      </c>
      <c r="B99" s="4" t="s">
        <v>181</v>
      </c>
      <c r="C99" s="4" t="s">
        <v>182</v>
      </c>
      <c r="D99" s="4" t="s">
        <v>206</v>
      </c>
      <c r="E99" s="4" t="s">
        <v>207</v>
      </c>
      <c r="F99" s="4" t="s">
        <v>208</v>
      </c>
      <c r="G99" s="4" t="s">
        <v>161</v>
      </c>
      <c r="H99" s="4" t="s">
        <v>186</v>
      </c>
      <c r="I99" s="4" t="s">
        <v>209</v>
      </c>
      <c r="J99" s="4" t="s">
        <v>210</v>
      </c>
      <c r="K99" s="4" t="s">
        <v>131</v>
      </c>
      <c r="L99" s="4" t="s">
        <v>118</v>
      </c>
      <c r="M99" s="25" t="n">
        <v>69.99</v>
      </c>
      <c r="N99" s="25" t="n">
        <v>69.99</v>
      </c>
      <c r="O99" s="25" t="n">
        <v>37.84</v>
      </c>
      <c r="P99" s="4" t="s">
        <v>1876</v>
      </c>
      <c r="Q99" s="28" t="n">
        <v>4</v>
      </c>
      <c r="R99" s="28" t="n">
        <f aca="false">COUNTIF('Inventory Master'!$C$2:$C$525,$A99)</f>
        <v>6</v>
      </c>
      <c r="S99" s="27" t="n">
        <f aca="false">SUMIF('Inventory Master'!$C$2:$C$525,$A99,'Inventory Master'!$X$2:$X$525)</f>
        <v>60</v>
      </c>
      <c r="T99" s="29" t="n">
        <f aca="false">SUMIF('Inventory Master'!$C$2:$C$525,$A99,'Inventory Master'!$Z$2:$Z$525)</f>
        <v>4199.4</v>
      </c>
    </row>
    <row r="100" customFormat="false" ht="15" hidden="false" customHeight="true" outlineLevel="0" collapsed="false">
      <c r="A100" s="4" t="s">
        <v>180</v>
      </c>
      <c r="B100" s="4" t="s">
        <v>181</v>
      </c>
      <c r="C100" s="4" t="s">
        <v>182</v>
      </c>
      <c r="D100" s="4" t="s">
        <v>183</v>
      </c>
      <c r="E100" s="4" t="s">
        <v>184</v>
      </c>
      <c r="F100" s="4" t="s">
        <v>185</v>
      </c>
      <c r="G100" s="4" t="s">
        <v>161</v>
      </c>
      <c r="H100" s="4" t="s">
        <v>186</v>
      </c>
      <c r="I100" s="4" t="s">
        <v>187</v>
      </c>
      <c r="J100" s="4" t="s">
        <v>176</v>
      </c>
      <c r="K100" s="4" t="s">
        <v>131</v>
      </c>
      <c r="L100" s="4" t="s">
        <v>118</v>
      </c>
      <c r="M100" s="25" t="n">
        <v>89.99</v>
      </c>
      <c r="N100" s="25" t="n">
        <v>89.99</v>
      </c>
      <c r="O100" s="25" t="n">
        <v>45.49</v>
      </c>
      <c r="P100" s="4" t="s">
        <v>1874</v>
      </c>
      <c r="Q100" s="28" t="n">
        <v>3</v>
      </c>
      <c r="R100" s="28" t="n">
        <f aca="false">COUNTIF('Inventory Master'!$C$2:$C$525,$A100)</f>
        <v>6</v>
      </c>
      <c r="S100" s="27" t="n">
        <f aca="false">SUMIF('Inventory Master'!$C$2:$C$525,$A100,'Inventory Master'!$X$2:$X$525)</f>
        <v>46</v>
      </c>
      <c r="T100" s="29" t="n">
        <f aca="false">SUMIF('Inventory Master'!$C$2:$C$525,$A100,'Inventory Master'!$Z$2:$Z$525)</f>
        <v>4139.54</v>
      </c>
    </row>
    <row r="101" customFormat="false" ht="15" hidden="false" customHeight="true" outlineLevel="0" collapsed="false">
      <c r="A101" s="4" t="s">
        <v>1081</v>
      </c>
      <c r="B101" s="4" t="s">
        <v>181</v>
      </c>
      <c r="C101" s="4" t="s">
        <v>182</v>
      </c>
      <c r="D101" s="4" t="s">
        <v>1082</v>
      </c>
      <c r="E101" s="4" t="s">
        <v>1083</v>
      </c>
      <c r="F101" s="4" t="s">
        <v>1084</v>
      </c>
      <c r="G101" s="4" t="s">
        <v>161</v>
      </c>
      <c r="H101" s="4" t="s">
        <v>186</v>
      </c>
      <c r="I101" s="4" t="s">
        <v>209</v>
      </c>
      <c r="J101" s="4" t="s">
        <v>348</v>
      </c>
      <c r="K101" s="4" t="s">
        <v>131</v>
      </c>
      <c r="L101" s="4" t="s">
        <v>239</v>
      </c>
      <c r="M101" s="25" t="n">
        <v>74.99</v>
      </c>
      <c r="N101" s="25" t="n">
        <v>55.99</v>
      </c>
      <c r="O101" s="25" t="n">
        <v>38.23</v>
      </c>
      <c r="P101" s="4" t="s">
        <v>1877</v>
      </c>
      <c r="Q101" s="28" t="n">
        <v>2</v>
      </c>
      <c r="R101" s="28" t="n">
        <f aca="false">COUNTIF('Inventory Master'!$C$2:$C$525,$A101)</f>
        <v>4</v>
      </c>
      <c r="S101" s="27" t="n">
        <f aca="false">SUMIF('Inventory Master'!$C$2:$C$525,$A101,'Inventory Master'!$X$2:$X$525)</f>
        <v>26</v>
      </c>
      <c r="T101" s="29" t="n">
        <f aca="false">SUMIF('Inventory Master'!$C$2:$C$525,$A101,'Inventory Master'!$Z$2:$Z$525)</f>
        <v>1455.74</v>
      </c>
    </row>
    <row r="102" customFormat="false" ht="15" hidden="false" customHeight="true" outlineLevel="0" collapsed="false">
      <c r="A102" s="4" t="s">
        <v>460</v>
      </c>
      <c r="B102" s="4" t="s">
        <v>181</v>
      </c>
      <c r="C102" s="4" t="s">
        <v>182</v>
      </c>
      <c r="D102" s="4" t="s">
        <v>461</v>
      </c>
      <c r="E102" s="4" t="s">
        <v>462</v>
      </c>
      <c r="F102" s="4" t="s">
        <v>463</v>
      </c>
      <c r="G102" s="4" t="s">
        <v>161</v>
      </c>
      <c r="H102" s="4" t="s">
        <v>186</v>
      </c>
      <c r="I102" s="4" t="s">
        <v>209</v>
      </c>
      <c r="J102" s="4" t="s">
        <v>464</v>
      </c>
      <c r="K102" s="4" t="s">
        <v>131</v>
      </c>
      <c r="L102" s="4" t="s">
        <v>118</v>
      </c>
      <c r="M102" s="25" t="n">
        <v>84.99</v>
      </c>
      <c r="N102" s="25" t="n">
        <v>84.99</v>
      </c>
      <c r="O102" s="25" t="n">
        <v>42.89</v>
      </c>
      <c r="P102" s="4" t="s">
        <v>1874</v>
      </c>
      <c r="Q102" s="28" t="n">
        <v>3</v>
      </c>
      <c r="R102" s="28" t="n">
        <f aca="false">COUNTIF('Inventory Master'!$C$2:$C$525,$A102)</f>
        <v>6</v>
      </c>
      <c r="S102" s="27" t="n">
        <f aca="false">SUMIF('Inventory Master'!$C$2:$C$525,$A102,'Inventory Master'!$X$2:$X$525)</f>
        <v>54</v>
      </c>
      <c r="T102" s="29" t="n">
        <f aca="false">SUMIF('Inventory Master'!$C$2:$C$525,$A102,'Inventory Master'!$Z$2:$Z$525)</f>
        <v>4589.46</v>
      </c>
    </row>
    <row r="103" customFormat="false" ht="15" hidden="false" customHeight="true" outlineLevel="0" collapsed="false">
      <c r="A103" s="4" t="s">
        <v>105</v>
      </c>
      <c r="B103" s="4" t="s">
        <v>106</v>
      </c>
      <c r="C103" s="4" t="s">
        <v>107</v>
      </c>
      <c r="D103" s="4" t="s">
        <v>108</v>
      </c>
      <c r="E103" s="4" t="s">
        <v>109</v>
      </c>
      <c r="F103" s="4" t="s">
        <v>110</v>
      </c>
      <c r="G103" s="4" t="s">
        <v>111</v>
      </c>
      <c r="H103" s="4" t="s">
        <v>112</v>
      </c>
      <c r="I103" s="4" t="s">
        <v>113</v>
      </c>
      <c r="J103" s="4" t="s">
        <v>114</v>
      </c>
      <c r="K103" s="4" t="s">
        <v>117</v>
      </c>
      <c r="L103" s="4" t="s">
        <v>118</v>
      </c>
      <c r="M103" s="25" t="n">
        <v>34.99</v>
      </c>
      <c r="N103" s="25" t="n">
        <v>34.99</v>
      </c>
      <c r="O103" s="25" t="n">
        <v>19.22</v>
      </c>
      <c r="P103" s="4" t="s">
        <v>1874</v>
      </c>
      <c r="Q103" s="28" t="n">
        <v>3</v>
      </c>
      <c r="R103" s="28" t="n">
        <f aca="false">COUNTIF('Inventory Master'!$C$2:$C$525,$A103)</f>
        <v>6</v>
      </c>
      <c r="S103" s="27" t="n">
        <f aca="false">SUMIF('Inventory Master'!$C$2:$C$525,$A103,'Inventory Master'!$X$2:$X$525)</f>
        <v>49</v>
      </c>
      <c r="T103" s="29" t="n">
        <f aca="false">SUMIF('Inventory Master'!$C$2:$C$525,$A103,'Inventory Master'!$Z$2:$Z$525)</f>
        <v>1714.51</v>
      </c>
    </row>
    <row r="104" customFormat="false" ht="15" hidden="false" customHeight="true" outlineLevel="0" collapsed="false">
      <c r="A104" s="4" t="s">
        <v>846</v>
      </c>
      <c r="B104" s="4" t="s">
        <v>106</v>
      </c>
      <c r="C104" s="4" t="s">
        <v>107</v>
      </c>
      <c r="D104" s="4" t="s">
        <v>847</v>
      </c>
      <c r="E104" s="4" t="s">
        <v>848</v>
      </c>
      <c r="F104" s="4" t="s">
        <v>849</v>
      </c>
      <c r="G104" s="4" t="s">
        <v>127</v>
      </c>
      <c r="H104" s="4" t="s">
        <v>218</v>
      </c>
      <c r="I104" s="4" t="s">
        <v>113</v>
      </c>
      <c r="J104" s="4" t="s">
        <v>850</v>
      </c>
      <c r="K104" s="4" t="s">
        <v>165</v>
      </c>
      <c r="L104" s="4" t="s">
        <v>118</v>
      </c>
      <c r="M104" s="25" t="n">
        <v>129.99</v>
      </c>
      <c r="N104" s="25" t="n">
        <v>129.99</v>
      </c>
      <c r="O104" s="25" t="n">
        <v>70.57</v>
      </c>
      <c r="P104" s="4" t="s">
        <v>1874</v>
      </c>
      <c r="Q104" s="28" t="n">
        <v>3</v>
      </c>
      <c r="R104" s="28" t="n">
        <f aca="false">COUNTIF('Inventory Master'!$C$2:$C$525,$A104)</f>
        <v>4</v>
      </c>
      <c r="S104" s="27" t="n">
        <f aca="false">SUMIF('Inventory Master'!$C$2:$C$525,$A104,'Inventory Master'!$X$2:$X$525)</f>
        <v>37</v>
      </c>
      <c r="T104" s="29" t="n">
        <f aca="false">SUMIF('Inventory Master'!$C$2:$C$525,$A104,'Inventory Master'!$Z$2:$Z$525)</f>
        <v>4809.63</v>
      </c>
    </row>
    <row r="105" customFormat="false" ht="15" hidden="false" customHeight="true" outlineLevel="0" collapsed="false">
      <c r="A105" s="4" t="s">
        <v>518</v>
      </c>
      <c r="B105" s="4" t="s">
        <v>106</v>
      </c>
      <c r="C105" s="4" t="s">
        <v>107</v>
      </c>
      <c r="D105" s="4" t="s">
        <v>519</v>
      </c>
      <c r="E105" s="4" t="s">
        <v>520</v>
      </c>
      <c r="F105" s="4" t="s">
        <v>521</v>
      </c>
      <c r="G105" s="4" t="s">
        <v>226</v>
      </c>
      <c r="H105" s="4" t="s">
        <v>265</v>
      </c>
      <c r="I105" s="4" t="s">
        <v>150</v>
      </c>
      <c r="J105" s="4" t="s">
        <v>522</v>
      </c>
      <c r="K105" s="4" t="s">
        <v>117</v>
      </c>
      <c r="L105" s="4" t="s">
        <v>202</v>
      </c>
      <c r="M105" s="25" t="n">
        <v>84.99</v>
      </c>
      <c r="N105" s="25" t="n">
        <v>84.99</v>
      </c>
      <c r="O105" s="25" t="n">
        <v>45.41</v>
      </c>
      <c r="P105" s="4" t="s">
        <v>1875</v>
      </c>
      <c r="Q105" s="28" t="n">
        <v>1</v>
      </c>
      <c r="R105" s="28" t="n">
        <f aca="false">COUNTIF('Inventory Master'!$C$2:$C$525,$A105)</f>
        <v>4</v>
      </c>
      <c r="S105" s="27" t="n">
        <f aca="false">SUMIF('Inventory Master'!$C$2:$C$525,$A105,'Inventory Master'!$X$2:$X$525)</f>
        <v>13</v>
      </c>
      <c r="T105" s="29" t="n">
        <f aca="false">SUMIF('Inventory Master'!$C$2:$C$525,$A105,'Inventory Master'!$Z$2:$Z$525)</f>
        <v>1104.87</v>
      </c>
    </row>
    <row r="106" customFormat="false" ht="15" hidden="false" customHeight="true" outlineLevel="0" collapsed="false">
      <c r="A106" s="4" t="s">
        <v>1191</v>
      </c>
      <c r="B106" s="4" t="s">
        <v>106</v>
      </c>
      <c r="C106" s="4" t="s">
        <v>107</v>
      </c>
      <c r="D106" s="4" t="s">
        <v>1192</v>
      </c>
      <c r="E106" s="4" t="s">
        <v>1193</v>
      </c>
      <c r="F106" s="4" t="s">
        <v>1194</v>
      </c>
      <c r="G106" s="4" t="s">
        <v>771</v>
      </c>
      <c r="H106" s="4" t="s">
        <v>772</v>
      </c>
      <c r="I106" s="4" t="s">
        <v>113</v>
      </c>
      <c r="J106" s="4" t="s">
        <v>1195</v>
      </c>
      <c r="K106" s="4" t="s">
        <v>131</v>
      </c>
      <c r="L106" s="4" t="s">
        <v>118</v>
      </c>
      <c r="M106" s="25" t="n">
        <v>119.99</v>
      </c>
      <c r="N106" s="25" t="n">
        <v>119.99</v>
      </c>
      <c r="O106" s="25" t="n">
        <v>66.66</v>
      </c>
      <c r="P106" s="4" t="s">
        <v>1874</v>
      </c>
      <c r="Q106" s="28" t="n">
        <v>3</v>
      </c>
      <c r="R106" s="28" t="n">
        <f aca="false">COUNTIF('Inventory Master'!$C$2:$C$525,$A106)</f>
        <v>5</v>
      </c>
      <c r="S106" s="27" t="n">
        <f aca="false">SUMIF('Inventory Master'!$C$2:$C$525,$A106,'Inventory Master'!$X$2:$X$525)</f>
        <v>28</v>
      </c>
      <c r="T106" s="29" t="n">
        <f aca="false">SUMIF('Inventory Master'!$C$2:$C$525,$A106,'Inventory Master'!$Z$2:$Z$525)</f>
        <v>3359.72</v>
      </c>
    </row>
    <row r="107" customFormat="false" ht="15" hidden="false" customHeight="true" outlineLevel="0" collapsed="false">
      <c r="A107" s="4" t="s">
        <v>964</v>
      </c>
      <c r="B107" s="4" t="s">
        <v>106</v>
      </c>
      <c r="C107" s="4" t="s">
        <v>107</v>
      </c>
      <c r="D107" s="4" t="s">
        <v>965</v>
      </c>
      <c r="E107" s="4" t="s">
        <v>966</v>
      </c>
      <c r="F107" s="4" t="s">
        <v>967</v>
      </c>
      <c r="G107" s="4" t="s">
        <v>127</v>
      </c>
      <c r="H107" s="4" t="s">
        <v>128</v>
      </c>
      <c r="I107" s="4" t="s">
        <v>187</v>
      </c>
      <c r="J107" s="4" t="s">
        <v>968</v>
      </c>
      <c r="K107" s="4" t="s">
        <v>131</v>
      </c>
      <c r="L107" s="4" t="s">
        <v>118</v>
      </c>
      <c r="M107" s="25" t="n">
        <v>64.99</v>
      </c>
      <c r="N107" s="25" t="n">
        <v>64.99</v>
      </c>
      <c r="O107" s="25" t="n">
        <v>34.29</v>
      </c>
      <c r="P107" s="4" t="s">
        <v>1874</v>
      </c>
      <c r="Q107" s="28" t="n">
        <v>3</v>
      </c>
      <c r="R107" s="28" t="n">
        <f aca="false">COUNTIF('Inventory Master'!$C$2:$C$525,$A107)</f>
        <v>3</v>
      </c>
      <c r="S107" s="27" t="n">
        <f aca="false">SUMIF('Inventory Master'!$C$2:$C$525,$A107,'Inventory Master'!$X$2:$X$525)</f>
        <v>21</v>
      </c>
      <c r="T107" s="29" t="n">
        <f aca="false">SUMIF('Inventory Master'!$C$2:$C$525,$A107,'Inventory Master'!$Z$2:$Z$525)</f>
        <v>1364.79</v>
      </c>
    </row>
    <row r="108" customFormat="false" ht="15" hidden="false" customHeight="true" outlineLevel="0" collapsed="false">
      <c r="A108" s="4" t="s">
        <v>396</v>
      </c>
      <c r="B108" s="4" t="s">
        <v>106</v>
      </c>
      <c r="C108" s="4" t="s">
        <v>107</v>
      </c>
      <c r="D108" s="4" t="s">
        <v>397</v>
      </c>
      <c r="E108" s="4" t="s">
        <v>398</v>
      </c>
      <c r="F108" s="4" t="s">
        <v>399</v>
      </c>
      <c r="G108" s="4" t="s">
        <v>161</v>
      </c>
      <c r="H108" s="4" t="s">
        <v>235</v>
      </c>
      <c r="I108" s="4" t="s">
        <v>199</v>
      </c>
      <c r="J108" s="4" t="s">
        <v>400</v>
      </c>
      <c r="K108" s="4" t="s">
        <v>165</v>
      </c>
      <c r="L108" s="4" t="s">
        <v>118</v>
      </c>
      <c r="M108" s="25" t="n">
        <v>49.99</v>
      </c>
      <c r="N108" s="25" t="n">
        <v>49.99</v>
      </c>
      <c r="O108" s="25" t="n">
        <v>24.93</v>
      </c>
      <c r="P108" s="4" t="s">
        <v>1876</v>
      </c>
      <c r="Q108" s="28" t="n">
        <v>4</v>
      </c>
      <c r="R108" s="28" t="n">
        <f aca="false">COUNTIF('Inventory Master'!$C$2:$C$525,$A108)</f>
        <v>6</v>
      </c>
      <c r="S108" s="27" t="n">
        <f aca="false">SUMIF('Inventory Master'!$C$2:$C$525,$A108,'Inventory Master'!$X$2:$X$525)</f>
        <v>57</v>
      </c>
      <c r="T108" s="29" t="n">
        <f aca="false">SUMIF('Inventory Master'!$C$2:$C$525,$A108,'Inventory Master'!$Z$2:$Z$525)</f>
        <v>2849.43</v>
      </c>
    </row>
    <row r="109" customFormat="false" ht="15" hidden="false" customHeight="true" outlineLevel="0" collapsed="false">
      <c r="A109" s="4" t="s">
        <v>828</v>
      </c>
      <c r="B109" s="4" t="s">
        <v>106</v>
      </c>
      <c r="C109" s="4" t="s">
        <v>107</v>
      </c>
      <c r="D109" s="4" t="s">
        <v>397</v>
      </c>
      <c r="E109" s="4" t="s">
        <v>829</v>
      </c>
      <c r="F109" s="4" t="s">
        <v>830</v>
      </c>
      <c r="G109" s="4" t="s">
        <v>161</v>
      </c>
      <c r="H109" s="4" t="s">
        <v>235</v>
      </c>
      <c r="I109" s="4" t="s">
        <v>187</v>
      </c>
      <c r="J109" s="4" t="s">
        <v>831</v>
      </c>
      <c r="K109" s="4" t="s">
        <v>165</v>
      </c>
      <c r="L109" s="4" t="s">
        <v>118</v>
      </c>
      <c r="M109" s="25" t="n">
        <v>69.99</v>
      </c>
      <c r="N109" s="25" t="n">
        <v>69.99</v>
      </c>
      <c r="O109" s="25" t="n">
        <v>38.52</v>
      </c>
      <c r="P109" s="4" t="s">
        <v>1877</v>
      </c>
      <c r="Q109" s="28" t="n">
        <v>2</v>
      </c>
      <c r="R109" s="28" t="n">
        <f aca="false">COUNTIF('Inventory Master'!$C$2:$C$525,$A109)</f>
        <v>3</v>
      </c>
      <c r="S109" s="27" t="n">
        <f aca="false">SUMIF('Inventory Master'!$C$2:$C$525,$A109,'Inventory Master'!$X$2:$X$525)</f>
        <v>15</v>
      </c>
      <c r="T109" s="29" t="n">
        <f aca="false">SUMIF('Inventory Master'!$C$2:$C$525,$A109,'Inventory Master'!$Z$2:$Z$525)</f>
        <v>1049.85</v>
      </c>
    </row>
    <row r="110" customFormat="false" ht="15" hidden="false" customHeight="true" outlineLevel="0" collapsed="false">
      <c r="A110" s="4" t="s">
        <v>722</v>
      </c>
      <c r="B110" s="4" t="s">
        <v>106</v>
      </c>
      <c r="C110" s="4" t="s">
        <v>107</v>
      </c>
      <c r="D110" s="4" t="s">
        <v>723</v>
      </c>
      <c r="E110" s="4" t="s">
        <v>724</v>
      </c>
      <c r="F110" s="4" t="s">
        <v>725</v>
      </c>
      <c r="G110" s="4" t="s">
        <v>127</v>
      </c>
      <c r="H110" s="4" t="s">
        <v>128</v>
      </c>
      <c r="I110" s="4" t="s">
        <v>150</v>
      </c>
      <c r="J110" s="4" t="s">
        <v>114</v>
      </c>
      <c r="K110" s="4" t="s">
        <v>165</v>
      </c>
      <c r="L110" s="4" t="s">
        <v>118</v>
      </c>
      <c r="M110" s="25" t="n">
        <v>54.99</v>
      </c>
      <c r="N110" s="25" t="n">
        <v>54.99</v>
      </c>
      <c r="O110" s="25" t="n">
        <v>28.09</v>
      </c>
      <c r="P110" s="4" t="s">
        <v>1877</v>
      </c>
      <c r="Q110" s="28" t="n">
        <v>2</v>
      </c>
      <c r="R110" s="28" t="n">
        <f aca="false">COUNTIF('Inventory Master'!$C$2:$C$525,$A110)</f>
        <v>3</v>
      </c>
      <c r="S110" s="27" t="n">
        <f aca="false">SUMIF('Inventory Master'!$C$2:$C$525,$A110,'Inventory Master'!$X$2:$X$525)</f>
        <v>17</v>
      </c>
      <c r="T110" s="29" t="n">
        <f aca="false">SUMIF('Inventory Master'!$C$2:$C$525,$A110,'Inventory Master'!$Z$2:$Z$525)</f>
        <v>934.83</v>
      </c>
    </row>
    <row r="111" customFormat="false" ht="15" hidden="false" customHeight="true" outlineLevel="0" collapsed="false">
      <c r="A111" s="4" t="s">
        <v>276</v>
      </c>
      <c r="B111" s="4" t="s">
        <v>106</v>
      </c>
      <c r="C111" s="4" t="s">
        <v>107</v>
      </c>
      <c r="D111" s="4" t="s">
        <v>277</v>
      </c>
      <c r="E111" s="4" t="s">
        <v>278</v>
      </c>
      <c r="F111" s="4" t="s">
        <v>279</v>
      </c>
      <c r="G111" s="4" t="s">
        <v>127</v>
      </c>
      <c r="H111" s="4" t="s">
        <v>280</v>
      </c>
      <c r="I111" s="4" t="s">
        <v>113</v>
      </c>
      <c r="J111" s="4" t="s">
        <v>281</v>
      </c>
      <c r="K111" s="4" t="s">
        <v>165</v>
      </c>
      <c r="L111" s="4" t="s">
        <v>118</v>
      </c>
      <c r="M111" s="25" t="n">
        <v>189.99</v>
      </c>
      <c r="N111" s="25" t="n">
        <v>189.99</v>
      </c>
      <c r="O111" s="25" t="n">
        <v>103.72</v>
      </c>
      <c r="P111" s="4" t="s">
        <v>1874</v>
      </c>
      <c r="Q111" s="28" t="n">
        <v>3</v>
      </c>
      <c r="R111" s="28" t="n">
        <f aca="false">COUNTIF('Inventory Master'!$C$2:$C$525,$A111)</f>
        <v>4</v>
      </c>
      <c r="S111" s="27" t="n">
        <f aca="false">SUMIF('Inventory Master'!$C$2:$C$525,$A111,'Inventory Master'!$X$2:$X$525)</f>
        <v>26</v>
      </c>
      <c r="T111" s="29" t="n">
        <f aca="false">SUMIF('Inventory Master'!$C$2:$C$525,$A111,'Inventory Master'!$Z$2:$Z$525)</f>
        <v>4939.74</v>
      </c>
    </row>
    <row r="112" customFormat="false" ht="15" hidden="false" customHeight="true" outlineLevel="0" collapsed="false">
      <c r="A112" s="4" t="s">
        <v>604</v>
      </c>
      <c r="B112" s="4" t="s">
        <v>106</v>
      </c>
      <c r="C112" s="4" t="s">
        <v>157</v>
      </c>
      <c r="D112" s="4" t="s">
        <v>605</v>
      </c>
      <c r="E112" s="4" t="s">
        <v>606</v>
      </c>
      <c r="F112" s="4" t="s">
        <v>607</v>
      </c>
      <c r="G112" s="4" t="s">
        <v>161</v>
      </c>
      <c r="H112" s="4" t="s">
        <v>162</v>
      </c>
      <c r="I112" s="4" t="s">
        <v>113</v>
      </c>
      <c r="J112" s="4" t="s">
        <v>608</v>
      </c>
      <c r="K112" s="4" t="s">
        <v>238</v>
      </c>
      <c r="L112" s="4" t="s">
        <v>239</v>
      </c>
      <c r="M112" s="25" t="n">
        <v>109.99</v>
      </c>
      <c r="N112" s="25" t="n">
        <v>76.99</v>
      </c>
      <c r="O112" s="25" t="n">
        <v>55.09</v>
      </c>
      <c r="P112" s="4" t="s">
        <v>1876</v>
      </c>
      <c r="Q112" s="28" t="n">
        <v>4</v>
      </c>
      <c r="R112" s="28" t="n">
        <f aca="false">COUNTIF('Inventory Master'!$C$2:$C$525,$A112)</f>
        <v>4</v>
      </c>
      <c r="S112" s="27" t="n">
        <f aca="false">SUMIF('Inventory Master'!$C$2:$C$525,$A112,'Inventory Master'!$X$2:$X$525)</f>
        <v>25</v>
      </c>
      <c r="T112" s="29" t="n">
        <f aca="false">SUMIF('Inventory Master'!$C$2:$C$525,$A112,'Inventory Master'!$Z$2:$Z$525)</f>
        <v>1924.75</v>
      </c>
    </row>
    <row r="113" customFormat="false" ht="15" hidden="false" customHeight="true" outlineLevel="0" collapsed="false">
      <c r="A113" s="4" t="s">
        <v>730</v>
      </c>
      <c r="B113" s="4" t="s">
        <v>106</v>
      </c>
      <c r="C113" s="4" t="s">
        <v>157</v>
      </c>
      <c r="D113" s="4" t="s">
        <v>731</v>
      </c>
      <c r="E113" s="4" t="s">
        <v>732</v>
      </c>
      <c r="F113" s="4" t="s">
        <v>733</v>
      </c>
      <c r="G113" s="4" t="s">
        <v>161</v>
      </c>
      <c r="H113" s="4" t="s">
        <v>235</v>
      </c>
      <c r="I113" s="4" t="s">
        <v>113</v>
      </c>
      <c r="J113" s="4" t="s">
        <v>734</v>
      </c>
      <c r="K113" s="4" t="s">
        <v>165</v>
      </c>
      <c r="L113" s="4" t="s">
        <v>118</v>
      </c>
      <c r="M113" s="25" t="n">
        <v>109.99</v>
      </c>
      <c r="N113" s="25" t="n">
        <v>109.99</v>
      </c>
      <c r="O113" s="25" t="n">
        <v>59.52</v>
      </c>
      <c r="P113" s="4" t="s">
        <v>1874</v>
      </c>
      <c r="Q113" s="28" t="n">
        <v>3</v>
      </c>
      <c r="R113" s="28" t="n">
        <f aca="false">COUNTIF('Inventory Master'!$C$2:$C$525,$A113)</f>
        <v>4</v>
      </c>
      <c r="S113" s="27" t="n">
        <f aca="false">SUMIF('Inventory Master'!$C$2:$C$525,$A113,'Inventory Master'!$X$2:$X$525)</f>
        <v>30</v>
      </c>
      <c r="T113" s="29" t="n">
        <f aca="false">SUMIF('Inventory Master'!$C$2:$C$525,$A113,'Inventory Master'!$Z$2:$Z$525)</f>
        <v>3299.7</v>
      </c>
    </row>
    <row r="114" customFormat="false" ht="15" hidden="false" customHeight="true" outlineLevel="0" collapsed="false">
      <c r="A114" s="4" t="s">
        <v>662</v>
      </c>
      <c r="B114" s="4" t="s">
        <v>106</v>
      </c>
      <c r="C114" s="4" t="s">
        <v>157</v>
      </c>
      <c r="D114" s="4" t="s">
        <v>663</v>
      </c>
      <c r="E114" s="4" t="s">
        <v>664</v>
      </c>
      <c r="F114" s="4" t="s">
        <v>665</v>
      </c>
      <c r="G114" s="4" t="s">
        <v>161</v>
      </c>
      <c r="H114" s="4" t="s">
        <v>162</v>
      </c>
      <c r="I114" s="4" t="s">
        <v>187</v>
      </c>
      <c r="J114" s="4" t="s">
        <v>666</v>
      </c>
      <c r="K114" s="4" t="s">
        <v>380</v>
      </c>
      <c r="L114" s="4" t="s">
        <v>118</v>
      </c>
      <c r="M114" s="25" t="n">
        <v>99.99</v>
      </c>
      <c r="N114" s="25" t="n">
        <v>99.99</v>
      </c>
      <c r="O114" s="25" t="n">
        <v>54.14</v>
      </c>
      <c r="P114" s="4" t="s">
        <v>1876</v>
      </c>
      <c r="Q114" s="28" t="n">
        <v>4</v>
      </c>
      <c r="R114" s="28" t="n">
        <f aca="false">COUNTIF('Inventory Master'!$C$2:$C$525,$A114)</f>
        <v>5</v>
      </c>
      <c r="S114" s="27" t="n">
        <f aca="false">SUMIF('Inventory Master'!$C$2:$C$525,$A114,'Inventory Master'!$X$2:$X$525)</f>
        <v>42</v>
      </c>
      <c r="T114" s="29" t="n">
        <f aca="false">SUMIF('Inventory Master'!$C$2:$C$525,$A114,'Inventory Master'!$Z$2:$Z$525)</f>
        <v>4199.58</v>
      </c>
    </row>
    <row r="115" customFormat="false" ht="15" hidden="false" customHeight="true" outlineLevel="0" collapsed="false">
      <c r="A115" s="4" t="s">
        <v>156</v>
      </c>
      <c r="B115" s="4" t="s">
        <v>106</v>
      </c>
      <c r="C115" s="4" t="s">
        <v>157</v>
      </c>
      <c r="D115" s="4" t="s">
        <v>158</v>
      </c>
      <c r="E115" s="4" t="s">
        <v>159</v>
      </c>
      <c r="F115" s="4" t="s">
        <v>160</v>
      </c>
      <c r="G115" s="4" t="s">
        <v>161</v>
      </c>
      <c r="H115" s="4" t="s">
        <v>162</v>
      </c>
      <c r="I115" s="4" t="s">
        <v>113</v>
      </c>
      <c r="J115" s="4" t="s">
        <v>163</v>
      </c>
      <c r="K115" s="4" t="s">
        <v>165</v>
      </c>
      <c r="L115" s="4" t="s">
        <v>118</v>
      </c>
      <c r="M115" s="25" t="n">
        <v>109.99</v>
      </c>
      <c r="N115" s="25" t="n">
        <v>109.99</v>
      </c>
      <c r="O115" s="25" t="n">
        <v>54.53</v>
      </c>
      <c r="P115" s="4" t="s">
        <v>1876</v>
      </c>
      <c r="Q115" s="28" t="n">
        <v>4</v>
      </c>
      <c r="R115" s="28" t="n">
        <f aca="false">COUNTIF('Inventory Master'!$C$2:$C$525,$A115)</f>
        <v>4</v>
      </c>
      <c r="S115" s="27" t="n">
        <f aca="false">SUMIF('Inventory Master'!$C$2:$C$525,$A115,'Inventory Master'!$X$2:$X$525)</f>
        <v>38</v>
      </c>
      <c r="T115" s="29" t="n">
        <f aca="false">SUMIF('Inventory Master'!$C$2:$C$525,$A115,'Inventory Master'!$Z$2:$Z$525)</f>
        <v>4179.62</v>
      </c>
    </row>
    <row r="116" customFormat="false" ht="15" hidden="false" customHeight="true" outlineLevel="0" collapsed="false">
      <c r="A116" s="4" t="s">
        <v>494</v>
      </c>
      <c r="B116" s="4" t="s">
        <v>106</v>
      </c>
      <c r="C116" s="4" t="s">
        <v>157</v>
      </c>
      <c r="D116" s="4" t="s">
        <v>495</v>
      </c>
      <c r="E116" s="4" t="s">
        <v>496</v>
      </c>
      <c r="F116" s="4" t="s">
        <v>497</v>
      </c>
      <c r="G116" s="4" t="s">
        <v>161</v>
      </c>
      <c r="H116" s="4" t="s">
        <v>162</v>
      </c>
      <c r="I116" s="4" t="s">
        <v>113</v>
      </c>
      <c r="J116" s="4" t="s">
        <v>498</v>
      </c>
      <c r="K116" s="4" t="s">
        <v>238</v>
      </c>
      <c r="L116" s="4" t="s">
        <v>239</v>
      </c>
      <c r="M116" s="25" t="n">
        <v>109.99</v>
      </c>
      <c r="N116" s="25" t="n">
        <v>65.99</v>
      </c>
      <c r="O116" s="25" t="n">
        <v>60.5</v>
      </c>
      <c r="P116" s="4" t="s">
        <v>1876</v>
      </c>
      <c r="Q116" s="28" t="n">
        <v>4</v>
      </c>
      <c r="R116" s="28" t="n">
        <f aca="false">COUNTIF('Inventory Master'!$C$2:$C$525,$A116)</f>
        <v>5</v>
      </c>
      <c r="S116" s="27" t="n">
        <f aca="false">SUMIF('Inventory Master'!$C$2:$C$525,$A116,'Inventory Master'!$X$2:$X$525)</f>
        <v>51</v>
      </c>
      <c r="T116" s="29" t="n">
        <f aca="false">SUMIF('Inventory Master'!$C$2:$C$525,$A116,'Inventory Master'!$Z$2:$Z$525)</f>
        <v>3365.49</v>
      </c>
    </row>
    <row r="117" customFormat="false" ht="15" hidden="false" customHeight="true" outlineLevel="0" collapsed="false">
      <c r="A117" s="4" t="s">
        <v>1320</v>
      </c>
      <c r="B117" s="4" t="s">
        <v>106</v>
      </c>
      <c r="C117" s="4" t="s">
        <v>157</v>
      </c>
      <c r="D117" s="4" t="s">
        <v>495</v>
      </c>
      <c r="E117" s="4" t="s">
        <v>1321</v>
      </c>
      <c r="F117" s="4" t="s">
        <v>1322</v>
      </c>
      <c r="G117" s="4" t="s">
        <v>161</v>
      </c>
      <c r="H117" s="4" t="s">
        <v>162</v>
      </c>
      <c r="I117" s="4" t="s">
        <v>187</v>
      </c>
      <c r="J117" s="4" t="s">
        <v>1323</v>
      </c>
      <c r="K117" s="4" t="s">
        <v>165</v>
      </c>
      <c r="L117" s="4" t="s">
        <v>118</v>
      </c>
      <c r="M117" s="25" t="n">
        <v>109.99</v>
      </c>
      <c r="N117" s="25" t="n">
        <v>109.99</v>
      </c>
      <c r="O117" s="25" t="n">
        <v>55.13</v>
      </c>
      <c r="P117" s="4" t="s">
        <v>1877</v>
      </c>
      <c r="Q117" s="28" t="n">
        <v>2</v>
      </c>
      <c r="R117" s="28" t="n">
        <f aca="false">COUNTIF('Inventory Master'!$C$2:$C$525,$A117)</f>
        <v>5</v>
      </c>
      <c r="S117" s="27" t="n">
        <f aca="false">SUMIF('Inventory Master'!$C$2:$C$525,$A117,'Inventory Master'!$X$2:$X$525)</f>
        <v>44</v>
      </c>
      <c r="T117" s="29" t="n">
        <f aca="false">SUMIF('Inventory Master'!$C$2:$C$525,$A117,'Inventory Master'!$Z$2:$Z$525)</f>
        <v>4839.56</v>
      </c>
    </row>
    <row r="118" customFormat="false" ht="15" hidden="false" customHeight="true" outlineLevel="0" collapsed="false">
      <c r="A118" s="4" t="s">
        <v>1021</v>
      </c>
      <c r="B118" s="4" t="s">
        <v>106</v>
      </c>
      <c r="C118" s="4" t="s">
        <v>157</v>
      </c>
      <c r="D118" s="4" t="s">
        <v>1022</v>
      </c>
      <c r="E118" s="4" t="s">
        <v>1023</v>
      </c>
      <c r="F118" s="4" t="s">
        <v>1024</v>
      </c>
      <c r="G118" s="4" t="s">
        <v>161</v>
      </c>
      <c r="H118" s="4" t="s">
        <v>235</v>
      </c>
      <c r="I118" s="4" t="s">
        <v>187</v>
      </c>
      <c r="J118" s="4" t="s">
        <v>379</v>
      </c>
      <c r="K118" s="4" t="s">
        <v>238</v>
      </c>
      <c r="L118" s="4" t="s">
        <v>118</v>
      </c>
      <c r="M118" s="25" t="n">
        <v>99.99</v>
      </c>
      <c r="N118" s="25" t="n">
        <v>99.99</v>
      </c>
      <c r="O118" s="25" t="n">
        <v>50.01</v>
      </c>
      <c r="P118" s="4" t="s">
        <v>1874</v>
      </c>
      <c r="Q118" s="28" t="n">
        <v>3</v>
      </c>
      <c r="R118" s="28" t="n">
        <f aca="false">COUNTIF('Inventory Master'!$C$2:$C$525,$A118)</f>
        <v>6</v>
      </c>
      <c r="S118" s="27" t="n">
        <f aca="false">SUMIF('Inventory Master'!$C$2:$C$525,$A118,'Inventory Master'!$X$2:$X$525)</f>
        <v>51</v>
      </c>
      <c r="T118" s="29" t="n">
        <f aca="false">SUMIF('Inventory Master'!$C$2:$C$525,$A118,'Inventory Master'!$Z$2:$Z$525)</f>
        <v>5099.49</v>
      </c>
    </row>
    <row r="119" customFormat="false" ht="15" hidden="false" customHeight="true" outlineLevel="0" collapsed="false">
      <c r="A119" s="4" t="s">
        <v>744</v>
      </c>
      <c r="B119" s="4" t="s">
        <v>106</v>
      </c>
      <c r="C119" s="4" t="s">
        <v>157</v>
      </c>
      <c r="D119" s="4" t="s">
        <v>745</v>
      </c>
      <c r="E119" s="4" t="s">
        <v>746</v>
      </c>
      <c r="F119" s="4" t="s">
        <v>747</v>
      </c>
      <c r="G119" s="4" t="s">
        <v>161</v>
      </c>
      <c r="H119" s="4" t="s">
        <v>235</v>
      </c>
      <c r="I119" s="4" t="s">
        <v>150</v>
      </c>
      <c r="J119" s="4" t="s">
        <v>748</v>
      </c>
      <c r="K119" s="4" t="s">
        <v>117</v>
      </c>
      <c r="L119" s="4" t="s">
        <v>118</v>
      </c>
      <c r="M119" s="25" t="n">
        <v>74.99</v>
      </c>
      <c r="N119" s="25" t="n">
        <v>74.99</v>
      </c>
      <c r="O119" s="25" t="n">
        <v>39.21</v>
      </c>
      <c r="P119" s="4" t="s">
        <v>1876</v>
      </c>
      <c r="Q119" s="28" t="n">
        <v>4</v>
      </c>
      <c r="R119" s="28" t="n">
        <f aca="false">COUNTIF('Inventory Master'!$C$2:$C$525,$A119)</f>
        <v>5</v>
      </c>
      <c r="S119" s="27" t="n">
        <f aca="false">SUMIF('Inventory Master'!$C$2:$C$525,$A119,'Inventory Master'!$X$2:$X$525)</f>
        <v>58</v>
      </c>
      <c r="T119" s="29" t="n">
        <f aca="false">SUMIF('Inventory Master'!$C$2:$C$525,$A119,'Inventory Master'!$Z$2:$Z$525)</f>
        <v>4349.42</v>
      </c>
    </row>
    <row r="120" customFormat="false" ht="15" hidden="false" customHeight="true" outlineLevel="0" collapsed="false">
      <c r="A120" s="17" t="s">
        <v>75</v>
      </c>
      <c r="B120" s="18"/>
      <c r="C120" s="18"/>
      <c r="D120" s="18"/>
      <c r="E120" s="18"/>
      <c r="F120" s="18"/>
      <c r="G120" s="18"/>
      <c r="H120" s="18"/>
      <c r="I120" s="18"/>
      <c r="J120" s="18"/>
      <c r="K120" s="18"/>
      <c r="L120" s="18"/>
      <c r="M120" s="18"/>
      <c r="N120" s="18"/>
      <c r="O120" s="18"/>
      <c r="P120" s="18"/>
      <c r="Q120" s="18"/>
      <c r="R120" s="31" t="n">
        <f aca="false">SUM(R2:R119)</f>
        <v>524</v>
      </c>
      <c r="S120" s="31" t="n">
        <f aca="false">SUM(S2:S119)</f>
        <v>4021</v>
      </c>
      <c r="T120" s="32" t="n">
        <f aca="false">SUM(T2:T119)</f>
        <v>446453.79</v>
      </c>
    </row>
  </sheetData>
  <autoFilter ref="A1:T1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6" min="2" style="1" width="14"/>
    <col collapsed="false" customWidth="true" hidden="false" outlineLevel="0" max="7" min="7" style="1" width="13"/>
  </cols>
  <sheetData>
    <row r="1" customFormat="false" ht="17.25" hidden="false" customHeight="true" outlineLevel="0" collapsed="false">
      <c r="A1" s="9" t="s">
        <v>1878</v>
      </c>
    </row>
    <row r="2" customFormat="false" ht="15" hidden="false" customHeight="true" outlineLevel="0" collapsed="false">
      <c r="A2" s="21" t="s">
        <v>1879</v>
      </c>
    </row>
    <row r="4" customFormat="false" ht="15" hidden="false" customHeight="true" outlineLevel="0" collapsed="false">
      <c r="A4" s="5" t="s">
        <v>1880</v>
      </c>
    </row>
    <row r="5" customFormat="false" ht="15" hidden="false" customHeight="true" outlineLevel="0" collapsed="false">
      <c r="A5" s="10" t="s">
        <v>81</v>
      </c>
      <c r="B5" s="10" t="s">
        <v>1881</v>
      </c>
      <c r="C5" s="10" t="s">
        <v>1882</v>
      </c>
      <c r="D5" s="10" t="s">
        <v>1883</v>
      </c>
      <c r="E5" s="10" t="s">
        <v>1884</v>
      </c>
      <c r="F5" s="10" t="s">
        <v>1885</v>
      </c>
      <c r="G5" s="10" t="s">
        <v>1886</v>
      </c>
    </row>
    <row r="6" customFormat="false" ht="15" hidden="false" customHeight="true" outlineLevel="0" collapsed="false">
      <c r="A6" s="12" t="s">
        <v>584</v>
      </c>
      <c r="B6" s="13" t="n">
        <f aca="false">SUMIF('Inventory Master'!$E$2:$E$525,$A6,'Inventory Master'!$T$2:$T$525)</f>
        <v>37</v>
      </c>
      <c r="C6" s="13" t="n">
        <f aca="false">SUMIF('Inventory Master'!$E$2:$E$525,$A6,'Inventory Master'!$U$2:$U$525)</f>
        <v>27</v>
      </c>
      <c r="D6" s="13" t="n">
        <f aca="false">SUMIF('Inventory Master'!$E$2:$E$525,$A6,'Inventory Master'!$V$2:$V$525)</f>
        <v>75</v>
      </c>
      <c r="E6" s="13" t="n">
        <f aca="false">SUMIF('Inventory Master'!$E$2:$E$525,$A6,'Inventory Master'!$W$2:$W$525)</f>
        <v>14</v>
      </c>
      <c r="F6" s="38" t="n">
        <f aca="false">SUM(B6:E6)</f>
        <v>153</v>
      </c>
      <c r="G6" s="39" t="n">
        <f aca="false">IFERROR(F6/F$28,0)</f>
        <v>0.0380502362596369</v>
      </c>
    </row>
    <row r="7" customFormat="false" ht="15" hidden="false" customHeight="true" outlineLevel="0" collapsed="false">
      <c r="A7" s="12" t="s">
        <v>437</v>
      </c>
      <c r="B7" s="13" t="n">
        <f aca="false">SUMIF('Inventory Master'!$E$2:$E$525,$A7,'Inventory Master'!$T$2:$T$525)</f>
        <v>11</v>
      </c>
      <c r="C7" s="13" t="n">
        <f aca="false">SUMIF('Inventory Master'!$E$2:$E$525,$A7,'Inventory Master'!$U$2:$U$525)</f>
        <v>0</v>
      </c>
      <c r="D7" s="13" t="n">
        <f aca="false">SUMIF('Inventory Master'!$E$2:$E$525,$A7,'Inventory Master'!$V$2:$V$525)</f>
        <v>25</v>
      </c>
      <c r="E7" s="13" t="n">
        <f aca="false">SUMIF('Inventory Master'!$E$2:$E$525,$A7,'Inventory Master'!$W$2:$W$525)</f>
        <v>0</v>
      </c>
      <c r="F7" s="38" t="n">
        <f aca="false">SUM(B7:E7)</f>
        <v>36</v>
      </c>
      <c r="G7" s="39" t="n">
        <f aca="false">IFERROR(F7/F$28,0)</f>
        <v>0.00895299676697339</v>
      </c>
    </row>
    <row r="8" customFormat="false" ht="15" hidden="false" customHeight="true" outlineLevel="0" collapsed="false">
      <c r="A8" s="12" t="s">
        <v>644</v>
      </c>
      <c r="B8" s="13" t="n">
        <f aca="false">SUMIF('Inventory Master'!$E$2:$E$525,$A8,'Inventory Master'!$T$2:$T$525)</f>
        <v>36</v>
      </c>
      <c r="C8" s="13" t="n">
        <f aca="false">SUMIF('Inventory Master'!$E$2:$E$525,$A8,'Inventory Master'!$U$2:$U$525)</f>
        <v>23</v>
      </c>
      <c r="D8" s="13" t="n">
        <f aca="false">SUMIF('Inventory Master'!$E$2:$E$525,$A8,'Inventory Master'!$V$2:$V$525)</f>
        <v>56</v>
      </c>
      <c r="E8" s="13" t="n">
        <f aca="false">SUMIF('Inventory Master'!$E$2:$E$525,$A8,'Inventory Master'!$W$2:$W$525)</f>
        <v>21</v>
      </c>
      <c r="F8" s="38" t="n">
        <f aca="false">SUM(B8:E8)</f>
        <v>136</v>
      </c>
      <c r="G8" s="39" t="n">
        <f aca="false">IFERROR(F8/F$28,0)</f>
        <v>0.0338224322307884</v>
      </c>
    </row>
    <row r="9" customFormat="false" ht="15" hidden="false" customHeight="true" outlineLevel="0" collapsed="false">
      <c r="A9" s="12" t="s">
        <v>476</v>
      </c>
      <c r="B9" s="13" t="n">
        <f aca="false">SUMIF('Inventory Master'!$E$2:$E$525,$A9,'Inventory Master'!$T$2:$T$525)</f>
        <v>42</v>
      </c>
      <c r="C9" s="13" t="n">
        <f aca="false">SUMIF('Inventory Master'!$E$2:$E$525,$A9,'Inventory Master'!$U$2:$U$525)</f>
        <v>8</v>
      </c>
      <c r="D9" s="13" t="n">
        <f aca="false">SUMIF('Inventory Master'!$E$2:$E$525,$A9,'Inventory Master'!$V$2:$V$525)</f>
        <v>68</v>
      </c>
      <c r="E9" s="13" t="n">
        <f aca="false">SUMIF('Inventory Master'!$E$2:$E$525,$A9,'Inventory Master'!$W$2:$W$525)</f>
        <v>7</v>
      </c>
      <c r="F9" s="38" t="n">
        <f aca="false">SUM(B9:E9)</f>
        <v>125</v>
      </c>
      <c r="G9" s="39" t="n">
        <f aca="false">IFERROR(F9/F$28,0)</f>
        <v>0.0310867943297687</v>
      </c>
    </row>
    <row r="10" customFormat="false" ht="15" hidden="false" customHeight="true" outlineLevel="0" collapsed="false">
      <c r="A10" s="12" t="s">
        <v>194</v>
      </c>
      <c r="B10" s="13" t="n">
        <f aca="false">SUMIF('Inventory Master'!$E$2:$E$525,$A10,'Inventory Master'!$T$2:$T$525)</f>
        <v>32</v>
      </c>
      <c r="C10" s="13" t="n">
        <f aca="false">SUMIF('Inventory Master'!$E$2:$E$525,$A10,'Inventory Master'!$U$2:$U$525)</f>
        <v>17</v>
      </c>
      <c r="D10" s="13" t="n">
        <f aca="false">SUMIF('Inventory Master'!$E$2:$E$525,$A10,'Inventory Master'!$V$2:$V$525)</f>
        <v>41</v>
      </c>
      <c r="E10" s="13" t="n">
        <f aca="false">SUMIF('Inventory Master'!$E$2:$E$525,$A10,'Inventory Master'!$W$2:$W$525)</f>
        <v>20</v>
      </c>
      <c r="F10" s="38" t="n">
        <f aca="false">SUM(B10:E10)</f>
        <v>110</v>
      </c>
      <c r="G10" s="39" t="n">
        <f aca="false">IFERROR(F10/F$28,0)</f>
        <v>0.0273563790101965</v>
      </c>
    </row>
    <row r="11" customFormat="false" ht="15" hidden="false" customHeight="true" outlineLevel="0" collapsed="false">
      <c r="A11" s="12" t="s">
        <v>504</v>
      </c>
      <c r="B11" s="13" t="n">
        <f aca="false">SUMIF('Inventory Master'!$E$2:$E$525,$A11,'Inventory Master'!$T$2:$T$525)</f>
        <v>0</v>
      </c>
      <c r="C11" s="13" t="n">
        <f aca="false">SUMIF('Inventory Master'!$E$2:$E$525,$A11,'Inventory Master'!$U$2:$U$525)</f>
        <v>0</v>
      </c>
      <c r="D11" s="13" t="n">
        <f aca="false">SUMIF('Inventory Master'!$E$2:$E$525,$A11,'Inventory Master'!$V$2:$V$525)</f>
        <v>12</v>
      </c>
      <c r="E11" s="13" t="n">
        <f aca="false">SUMIF('Inventory Master'!$E$2:$E$525,$A11,'Inventory Master'!$W$2:$W$525)</f>
        <v>0</v>
      </c>
      <c r="F11" s="38" t="n">
        <f aca="false">SUM(B11:E11)</f>
        <v>12</v>
      </c>
      <c r="G11" s="39" t="n">
        <f aca="false">IFERROR(F11/F$28,0)</f>
        <v>0.0029843322556578</v>
      </c>
    </row>
    <row r="12" customFormat="false" ht="15" hidden="false" customHeight="true" outlineLevel="0" collapsed="false">
      <c r="A12" s="12" t="s">
        <v>343</v>
      </c>
      <c r="B12" s="13" t="n">
        <f aca="false">SUMIF('Inventory Master'!$E$2:$E$525,$A12,'Inventory Master'!$T$2:$T$525)</f>
        <v>43</v>
      </c>
      <c r="C12" s="13" t="n">
        <f aca="false">SUMIF('Inventory Master'!$E$2:$E$525,$A12,'Inventory Master'!$U$2:$U$525)</f>
        <v>28</v>
      </c>
      <c r="D12" s="13" t="n">
        <f aca="false">SUMIF('Inventory Master'!$E$2:$E$525,$A12,'Inventory Master'!$V$2:$V$525)</f>
        <v>54</v>
      </c>
      <c r="E12" s="13" t="n">
        <f aca="false">SUMIF('Inventory Master'!$E$2:$E$525,$A12,'Inventory Master'!$W$2:$W$525)</f>
        <v>12</v>
      </c>
      <c r="F12" s="38" t="n">
        <f aca="false">SUM(B12:E12)</f>
        <v>137</v>
      </c>
      <c r="G12" s="39" t="n">
        <f aca="false">IFERROR(F12/F$28,0)</f>
        <v>0.0340711265854265</v>
      </c>
    </row>
    <row r="13" customFormat="false" ht="15" hidden="false" customHeight="true" outlineLevel="0" collapsed="false">
      <c r="A13" s="12" t="s">
        <v>285</v>
      </c>
      <c r="B13" s="13" t="n">
        <f aca="false">SUMIF('Inventory Master'!$E$2:$E$525,$A13,'Inventory Master'!$T$2:$T$525)</f>
        <v>78</v>
      </c>
      <c r="C13" s="13" t="n">
        <f aca="false">SUMIF('Inventory Master'!$E$2:$E$525,$A13,'Inventory Master'!$U$2:$U$525)</f>
        <v>34</v>
      </c>
      <c r="D13" s="13" t="n">
        <f aca="false">SUMIF('Inventory Master'!$E$2:$E$525,$A13,'Inventory Master'!$V$2:$V$525)</f>
        <v>146</v>
      </c>
      <c r="E13" s="13" t="n">
        <f aca="false">SUMIF('Inventory Master'!$E$2:$E$525,$A13,'Inventory Master'!$W$2:$W$525)</f>
        <v>32</v>
      </c>
      <c r="F13" s="38" t="n">
        <f aca="false">SUM(B13:E13)</f>
        <v>290</v>
      </c>
      <c r="G13" s="39" t="n">
        <f aca="false">IFERROR(F13/F$28,0)</f>
        <v>0.0721213628450634</v>
      </c>
    </row>
    <row r="14" customFormat="false" ht="15" hidden="false" customHeight="true" outlineLevel="0" collapsed="false">
      <c r="A14" s="12" t="s">
        <v>170</v>
      </c>
      <c r="B14" s="13" t="n">
        <f aca="false">SUMIF('Inventory Master'!$E$2:$E$525,$A14,'Inventory Master'!$T$2:$T$525)</f>
        <v>17</v>
      </c>
      <c r="C14" s="13" t="n">
        <f aca="false">SUMIF('Inventory Master'!$E$2:$E$525,$A14,'Inventory Master'!$U$2:$U$525)</f>
        <v>3</v>
      </c>
      <c r="D14" s="13" t="n">
        <f aca="false">SUMIF('Inventory Master'!$E$2:$E$525,$A14,'Inventory Master'!$V$2:$V$525)</f>
        <v>24</v>
      </c>
      <c r="E14" s="13" t="n">
        <f aca="false">SUMIF('Inventory Master'!$E$2:$E$525,$A14,'Inventory Master'!$W$2:$W$525)</f>
        <v>0</v>
      </c>
      <c r="F14" s="38" t="n">
        <f aca="false">SUM(B14:E14)</f>
        <v>44</v>
      </c>
      <c r="G14" s="39" t="n">
        <f aca="false">IFERROR(F14/F$28,0)</f>
        <v>0.0109425516040786</v>
      </c>
    </row>
    <row r="15" customFormat="false" ht="15" hidden="false" customHeight="true" outlineLevel="0" collapsed="false">
      <c r="A15" s="12" t="s">
        <v>136</v>
      </c>
      <c r="B15" s="13" t="n">
        <f aca="false">SUMIF('Inventory Master'!$E$2:$E$525,$A15,'Inventory Master'!$T$2:$T$525)</f>
        <v>111</v>
      </c>
      <c r="C15" s="13" t="n">
        <f aca="false">SUMIF('Inventory Master'!$E$2:$E$525,$A15,'Inventory Master'!$U$2:$U$525)</f>
        <v>77</v>
      </c>
      <c r="D15" s="13" t="n">
        <f aca="false">SUMIF('Inventory Master'!$E$2:$E$525,$A15,'Inventory Master'!$V$2:$V$525)</f>
        <v>187</v>
      </c>
      <c r="E15" s="13" t="n">
        <f aca="false">SUMIF('Inventory Master'!$E$2:$E$525,$A15,'Inventory Master'!$W$2:$W$525)</f>
        <v>40</v>
      </c>
      <c r="F15" s="38" t="n">
        <f aca="false">SUM(B15:E15)</f>
        <v>415</v>
      </c>
      <c r="G15" s="39" t="n">
        <f aca="false">IFERROR(F15/F$28,0)</f>
        <v>0.103208157174832</v>
      </c>
    </row>
    <row r="16" customFormat="false" ht="15" hidden="false" customHeight="true" outlineLevel="0" collapsed="false">
      <c r="A16" s="12" t="s">
        <v>123</v>
      </c>
      <c r="B16" s="13" t="n">
        <f aca="false">SUMIF('Inventory Master'!$E$2:$E$525,$A16,'Inventory Master'!$T$2:$T$525)</f>
        <v>263</v>
      </c>
      <c r="C16" s="13" t="n">
        <f aca="false">SUMIF('Inventory Master'!$E$2:$E$525,$A16,'Inventory Master'!$U$2:$U$525)</f>
        <v>149</v>
      </c>
      <c r="D16" s="13" t="n">
        <f aca="false">SUMIF('Inventory Master'!$E$2:$E$525,$A16,'Inventory Master'!$V$2:$V$525)</f>
        <v>394</v>
      </c>
      <c r="E16" s="13" t="n">
        <f aca="false">SUMIF('Inventory Master'!$E$2:$E$525,$A16,'Inventory Master'!$W$2:$W$525)</f>
        <v>70</v>
      </c>
      <c r="F16" s="38" t="n">
        <f aca="false">SUM(B16:E16)</f>
        <v>876</v>
      </c>
      <c r="G16" s="39" t="n">
        <f aca="false">IFERROR(F16/F$28,0)</f>
        <v>0.217856254663019</v>
      </c>
    </row>
    <row r="17" customFormat="false" ht="15" hidden="false" customHeight="true" outlineLevel="0" collapsed="false">
      <c r="A17" s="12" t="s">
        <v>332</v>
      </c>
      <c r="B17" s="13" t="n">
        <f aca="false">SUMIF('Inventory Master'!$E$2:$E$525,$A17,'Inventory Master'!$T$2:$T$525)</f>
        <v>21</v>
      </c>
      <c r="C17" s="13" t="n">
        <f aca="false">SUMIF('Inventory Master'!$E$2:$E$525,$A17,'Inventory Master'!$U$2:$U$525)</f>
        <v>20</v>
      </c>
      <c r="D17" s="13" t="n">
        <f aca="false">SUMIF('Inventory Master'!$E$2:$E$525,$A17,'Inventory Master'!$V$2:$V$525)</f>
        <v>41</v>
      </c>
      <c r="E17" s="13" t="n">
        <f aca="false">SUMIF('Inventory Master'!$E$2:$E$525,$A17,'Inventory Master'!$W$2:$W$525)</f>
        <v>6</v>
      </c>
      <c r="F17" s="38" t="n">
        <f aca="false">SUM(B17:E17)</f>
        <v>88</v>
      </c>
      <c r="G17" s="39" t="n">
        <f aca="false">IFERROR(F17/F$28,0)</f>
        <v>0.0218851032081572</v>
      </c>
    </row>
    <row r="18" customFormat="false" ht="15" hidden="false" customHeight="true" outlineLevel="0" collapsed="false">
      <c r="A18" s="12" t="s">
        <v>252</v>
      </c>
      <c r="B18" s="13" t="n">
        <f aca="false">SUMIF('Inventory Master'!$E$2:$E$525,$A18,'Inventory Master'!$T$2:$T$525)</f>
        <v>95</v>
      </c>
      <c r="C18" s="13" t="n">
        <f aca="false">SUMIF('Inventory Master'!$E$2:$E$525,$A18,'Inventory Master'!$U$2:$U$525)</f>
        <v>29</v>
      </c>
      <c r="D18" s="13" t="n">
        <f aca="false">SUMIF('Inventory Master'!$E$2:$E$525,$A18,'Inventory Master'!$V$2:$V$525)</f>
        <v>134</v>
      </c>
      <c r="E18" s="13" t="n">
        <f aca="false">SUMIF('Inventory Master'!$E$2:$E$525,$A18,'Inventory Master'!$W$2:$W$525)</f>
        <v>25</v>
      </c>
      <c r="F18" s="38" t="n">
        <f aca="false">SUM(B18:E18)</f>
        <v>283</v>
      </c>
      <c r="G18" s="39" t="n">
        <f aca="false">IFERROR(F18/F$28,0)</f>
        <v>0.0703805023625964</v>
      </c>
    </row>
    <row r="19" customFormat="false" ht="15" hidden="false" customHeight="true" outlineLevel="0" collapsed="false">
      <c r="A19" s="12" t="s">
        <v>375</v>
      </c>
      <c r="B19" s="13" t="n">
        <f aca="false">SUMIF('Inventory Master'!$E$2:$E$525,$A19,'Inventory Master'!$T$2:$T$525)</f>
        <v>9</v>
      </c>
      <c r="C19" s="13" t="n">
        <f aca="false">SUMIF('Inventory Master'!$E$2:$E$525,$A19,'Inventory Master'!$U$2:$U$525)</f>
        <v>7</v>
      </c>
      <c r="D19" s="13" t="n">
        <f aca="false">SUMIF('Inventory Master'!$E$2:$E$525,$A19,'Inventory Master'!$V$2:$V$525)</f>
        <v>26</v>
      </c>
      <c r="E19" s="13" t="n">
        <f aca="false">SUMIF('Inventory Master'!$E$2:$E$525,$A19,'Inventory Master'!$W$2:$W$525)</f>
        <v>8</v>
      </c>
      <c r="F19" s="38" t="n">
        <f aca="false">SUM(B19:E19)</f>
        <v>50</v>
      </c>
      <c r="G19" s="39" t="n">
        <f aca="false">IFERROR(F19/F$28,0)</f>
        <v>0.0124347177319075</v>
      </c>
    </row>
    <row r="20" customFormat="false" ht="15" hidden="false" customHeight="true" outlineLevel="0" collapsed="false">
      <c r="A20" s="12" t="s">
        <v>485</v>
      </c>
      <c r="B20" s="13" t="n">
        <f aca="false">SUMIF('Inventory Master'!$E$2:$E$525,$A20,'Inventory Master'!$T$2:$T$525)</f>
        <v>11</v>
      </c>
      <c r="C20" s="13" t="n">
        <f aca="false">SUMIF('Inventory Master'!$E$2:$E$525,$A20,'Inventory Master'!$U$2:$U$525)</f>
        <v>16</v>
      </c>
      <c r="D20" s="13" t="n">
        <f aca="false">SUMIF('Inventory Master'!$E$2:$E$525,$A20,'Inventory Master'!$V$2:$V$525)</f>
        <v>25</v>
      </c>
      <c r="E20" s="13" t="n">
        <f aca="false">SUMIF('Inventory Master'!$E$2:$E$525,$A20,'Inventory Master'!$W$2:$W$525)</f>
        <v>7</v>
      </c>
      <c r="F20" s="38" t="n">
        <f aca="false">SUM(B20:E20)</f>
        <v>59</v>
      </c>
      <c r="G20" s="39" t="n">
        <f aca="false">IFERROR(F20/F$28,0)</f>
        <v>0.0146729669236508</v>
      </c>
    </row>
    <row r="21" customFormat="false" ht="15" hidden="false" customHeight="true" outlineLevel="0" collapsed="false">
      <c r="A21" s="12" t="s">
        <v>428</v>
      </c>
      <c r="B21" s="13" t="n">
        <f aca="false">SUMIF('Inventory Master'!$E$2:$E$525,$A21,'Inventory Master'!$T$2:$T$525)</f>
        <v>30</v>
      </c>
      <c r="C21" s="13" t="n">
        <f aca="false">SUMIF('Inventory Master'!$E$2:$E$525,$A21,'Inventory Master'!$U$2:$U$525)</f>
        <v>11</v>
      </c>
      <c r="D21" s="13" t="n">
        <f aca="false">SUMIF('Inventory Master'!$E$2:$E$525,$A21,'Inventory Master'!$V$2:$V$525)</f>
        <v>41</v>
      </c>
      <c r="E21" s="13" t="n">
        <f aca="false">SUMIF('Inventory Master'!$E$2:$E$525,$A21,'Inventory Master'!$W$2:$W$525)</f>
        <v>14</v>
      </c>
      <c r="F21" s="38" t="n">
        <f aca="false">SUM(B21:E21)</f>
        <v>96</v>
      </c>
      <c r="G21" s="39" t="n">
        <f aca="false">IFERROR(F21/F$28,0)</f>
        <v>0.0238746580452624</v>
      </c>
    </row>
    <row r="22" customFormat="false" ht="15" hidden="false" customHeight="true" outlineLevel="0" collapsed="false">
      <c r="A22" s="12" t="s">
        <v>321</v>
      </c>
      <c r="B22" s="13" t="n">
        <f aca="false">SUMIF('Inventory Master'!$E$2:$E$525,$A22,'Inventory Master'!$T$2:$T$525)</f>
        <v>16</v>
      </c>
      <c r="C22" s="13" t="n">
        <f aca="false">SUMIF('Inventory Master'!$E$2:$E$525,$A22,'Inventory Master'!$U$2:$U$525)</f>
        <v>0</v>
      </c>
      <c r="D22" s="13" t="n">
        <f aca="false">SUMIF('Inventory Master'!$E$2:$E$525,$A22,'Inventory Master'!$V$2:$V$525)</f>
        <v>24</v>
      </c>
      <c r="E22" s="13" t="n">
        <f aca="false">SUMIF('Inventory Master'!$E$2:$E$525,$A22,'Inventory Master'!$W$2:$W$525)</f>
        <v>0</v>
      </c>
      <c r="F22" s="38" t="n">
        <f aca="false">SUM(B22:E22)</f>
        <v>40</v>
      </c>
      <c r="G22" s="39" t="n">
        <f aca="false">IFERROR(F22/F$28,0)</f>
        <v>0.00994777418552599</v>
      </c>
    </row>
    <row r="23" customFormat="false" ht="15" hidden="false" customHeight="true" outlineLevel="0" collapsed="false">
      <c r="A23" s="12" t="s">
        <v>714</v>
      </c>
      <c r="B23" s="13" t="n">
        <f aca="false">SUMIF('Inventory Master'!$E$2:$E$525,$A23,'Inventory Master'!$T$2:$T$525)</f>
        <v>6</v>
      </c>
      <c r="C23" s="13" t="n">
        <f aca="false">SUMIF('Inventory Master'!$E$2:$E$525,$A23,'Inventory Master'!$U$2:$U$525)</f>
        <v>10</v>
      </c>
      <c r="D23" s="13" t="n">
        <f aca="false">SUMIF('Inventory Master'!$E$2:$E$525,$A23,'Inventory Master'!$V$2:$V$525)</f>
        <v>10</v>
      </c>
      <c r="E23" s="13" t="n">
        <f aca="false">SUMIF('Inventory Master'!$E$2:$E$525,$A23,'Inventory Master'!$W$2:$W$525)</f>
        <v>3</v>
      </c>
      <c r="F23" s="38" t="n">
        <f aca="false">SUM(B23:E23)</f>
        <v>29</v>
      </c>
      <c r="G23" s="39" t="n">
        <f aca="false">IFERROR(F23/F$28,0)</f>
        <v>0.00721213628450634</v>
      </c>
    </row>
    <row r="24" customFormat="false" ht="15" hidden="false" customHeight="true" outlineLevel="0" collapsed="false">
      <c r="A24" s="12" t="s">
        <v>146</v>
      </c>
      <c r="B24" s="13" t="n">
        <f aca="false">SUMIF('Inventory Master'!$E$2:$E$525,$A24,'Inventory Master'!$T$2:$T$525)</f>
        <v>60</v>
      </c>
      <c r="C24" s="13" t="n">
        <f aca="false">SUMIF('Inventory Master'!$E$2:$E$525,$A24,'Inventory Master'!$U$2:$U$525)</f>
        <v>56</v>
      </c>
      <c r="D24" s="13" t="n">
        <f aca="false">SUMIF('Inventory Master'!$E$2:$E$525,$A24,'Inventory Master'!$V$2:$V$525)</f>
        <v>116</v>
      </c>
      <c r="E24" s="13" t="n">
        <f aca="false">SUMIF('Inventory Master'!$E$2:$E$525,$A24,'Inventory Master'!$W$2:$W$525)</f>
        <v>22</v>
      </c>
      <c r="F24" s="38" t="n">
        <f aca="false">SUM(B24:E24)</f>
        <v>254</v>
      </c>
      <c r="G24" s="39" t="n">
        <f aca="false">IFERROR(F24/F$28,0)</f>
        <v>0.06316836607809</v>
      </c>
    </row>
    <row r="25" customFormat="false" ht="15" hidden="false" customHeight="true" outlineLevel="0" collapsed="false">
      <c r="A25" s="12" t="s">
        <v>182</v>
      </c>
      <c r="B25" s="13" t="n">
        <f aca="false">SUMIF('Inventory Master'!$E$2:$E$525,$A25,'Inventory Master'!$T$2:$T$525)</f>
        <v>59</v>
      </c>
      <c r="C25" s="13" t="n">
        <f aca="false">SUMIF('Inventory Master'!$E$2:$E$525,$A25,'Inventory Master'!$U$2:$U$525)</f>
        <v>33</v>
      </c>
      <c r="D25" s="13" t="n">
        <f aca="false">SUMIF('Inventory Master'!$E$2:$E$525,$A25,'Inventory Master'!$V$2:$V$525)</f>
        <v>75</v>
      </c>
      <c r="E25" s="13" t="n">
        <f aca="false">SUMIF('Inventory Master'!$E$2:$E$525,$A25,'Inventory Master'!$W$2:$W$525)</f>
        <v>19</v>
      </c>
      <c r="F25" s="38" t="n">
        <f aca="false">SUM(B25:E25)</f>
        <v>186</v>
      </c>
      <c r="G25" s="39" t="n">
        <f aca="false">IFERROR(F25/F$28,0)</f>
        <v>0.0462571499626958</v>
      </c>
    </row>
    <row r="26" customFormat="false" ht="15" hidden="false" customHeight="true" outlineLevel="0" collapsed="false">
      <c r="A26" s="12" t="s">
        <v>107</v>
      </c>
      <c r="B26" s="13" t="n">
        <f aca="false">SUMIF('Inventory Master'!$E$2:$E$525,$A26,'Inventory Master'!$T$2:$T$525)</f>
        <v>85</v>
      </c>
      <c r="C26" s="13" t="n">
        <f aca="false">SUMIF('Inventory Master'!$E$2:$E$525,$A26,'Inventory Master'!$U$2:$U$525)</f>
        <v>38</v>
      </c>
      <c r="D26" s="13" t="n">
        <f aca="false">SUMIF('Inventory Master'!$E$2:$E$525,$A26,'Inventory Master'!$V$2:$V$525)</f>
        <v>121</v>
      </c>
      <c r="E26" s="13" t="n">
        <f aca="false">SUMIF('Inventory Master'!$E$2:$E$525,$A26,'Inventory Master'!$W$2:$W$525)</f>
        <v>19</v>
      </c>
      <c r="F26" s="38" t="n">
        <f aca="false">SUM(B26:E26)</f>
        <v>263</v>
      </c>
      <c r="G26" s="39" t="n">
        <f aca="false">IFERROR(F26/F$28,0)</f>
        <v>0.0654066152698334</v>
      </c>
    </row>
    <row r="27" customFormat="false" ht="15" hidden="false" customHeight="true" outlineLevel="0" collapsed="false">
      <c r="A27" s="12" t="s">
        <v>157</v>
      </c>
      <c r="B27" s="13" t="n">
        <f aca="false">SUMIF('Inventory Master'!$E$2:$E$525,$A27,'Inventory Master'!$T$2:$T$525)</f>
        <v>90</v>
      </c>
      <c r="C27" s="13" t="n">
        <f aca="false">SUMIF('Inventory Master'!$E$2:$E$525,$A27,'Inventory Master'!$U$2:$U$525)</f>
        <v>77</v>
      </c>
      <c r="D27" s="13" t="n">
        <f aca="false">SUMIF('Inventory Master'!$E$2:$E$525,$A27,'Inventory Master'!$V$2:$V$525)</f>
        <v>136</v>
      </c>
      <c r="E27" s="13" t="n">
        <f aca="false">SUMIF('Inventory Master'!$E$2:$E$525,$A27,'Inventory Master'!$W$2:$W$525)</f>
        <v>36</v>
      </c>
      <c r="F27" s="38" t="n">
        <f aca="false">SUM(B27:E27)</f>
        <v>339</v>
      </c>
      <c r="G27" s="39" t="n">
        <f aca="false">IFERROR(F27/F$28,0)</f>
        <v>0.0843073862223328</v>
      </c>
    </row>
    <row r="28" customFormat="false" ht="15" hidden="false" customHeight="true" outlineLevel="0" collapsed="false">
      <c r="A28" s="40" t="s">
        <v>1887</v>
      </c>
      <c r="B28" s="41" t="n">
        <f aca="false">SUM(B6:B27)</f>
        <v>1152</v>
      </c>
      <c r="C28" s="41" t="n">
        <f aca="false">SUM(C6:C27)</f>
        <v>663</v>
      </c>
      <c r="D28" s="41" t="n">
        <f aca="false">SUM(D6:D27)</f>
        <v>1831</v>
      </c>
      <c r="E28" s="41" t="n">
        <f aca="false">SUM(E6:E27)</f>
        <v>375</v>
      </c>
      <c r="F28" s="41" t="n">
        <f aca="false">SUM(F6:F27)</f>
        <v>4021</v>
      </c>
      <c r="G28" s="42" t="n">
        <f aca="false">IFERROR(F28/F28,0)</f>
        <v>1</v>
      </c>
    </row>
    <row r="31" customFormat="false" ht="15" hidden="false" customHeight="true" outlineLevel="0" collapsed="false">
      <c r="A31" s="5" t="s">
        <v>1888</v>
      </c>
    </row>
    <row r="32" customFormat="false" ht="15" hidden="false" customHeight="true" outlineLevel="0" collapsed="false">
      <c r="A32" s="10" t="s">
        <v>85</v>
      </c>
      <c r="B32" s="10" t="s">
        <v>1881</v>
      </c>
      <c r="C32" s="10" t="s">
        <v>1882</v>
      </c>
      <c r="D32" s="10" t="s">
        <v>1883</v>
      </c>
      <c r="E32" s="10" t="s">
        <v>1884</v>
      </c>
      <c r="F32" s="10" t="s">
        <v>1885</v>
      </c>
      <c r="G32" s="10" t="s">
        <v>1886</v>
      </c>
    </row>
    <row r="33" customFormat="false" ht="15" hidden="false" customHeight="true" outlineLevel="0" collapsed="false">
      <c r="A33" s="12" t="s">
        <v>174</v>
      </c>
      <c r="B33" s="13" t="n">
        <f aca="false">SUMIF('Inventory Master'!$I$2:$I$525,$A33,'Inventory Master'!$T$2:$T$525)</f>
        <v>12</v>
      </c>
      <c r="C33" s="13" t="n">
        <f aca="false">SUMIF('Inventory Master'!$I$2:$I$525,$A33,'Inventory Master'!$U$2:$U$525)</f>
        <v>3</v>
      </c>
      <c r="D33" s="13" t="n">
        <f aca="false">SUMIF('Inventory Master'!$I$2:$I$525,$A33,'Inventory Master'!$V$2:$V$525)</f>
        <v>20</v>
      </c>
      <c r="E33" s="13" t="n">
        <f aca="false">SUMIF('Inventory Master'!$I$2:$I$525,$A33,'Inventory Master'!$W$2:$W$525)</f>
        <v>0</v>
      </c>
      <c r="F33" s="38" t="n">
        <f aca="false">SUM(B33:E33)</f>
        <v>35</v>
      </c>
      <c r="G33" s="39" t="n">
        <f aca="false">IFERROR(F33/F$39,0)</f>
        <v>0.00870430241233524</v>
      </c>
    </row>
    <row r="34" customFormat="false" ht="15" hidden="false" customHeight="true" outlineLevel="0" collapsed="false">
      <c r="A34" s="12" t="s">
        <v>226</v>
      </c>
      <c r="B34" s="13" t="n">
        <f aca="false">SUMIF('Inventory Master'!$I$2:$I$525,$A34,'Inventory Master'!$T$2:$T$525)</f>
        <v>106</v>
      </c>
      <c r="C34" s="13" t="n">
        <f aca="false">SUMIF('Inventory Master'!$I$2:$I$525,$A34,'Inventory Master'!$U$2:$U$525)</f>
        <v>98</v>
      </c>
      <c r="D34" s="13" t="n">
        <f aca="false">SUMIF('Inventory Master'!$I$2:$I$525,$A34,'Inventory Master'!$V$2:$V$525)</f>
        <v>176</v>
      </c>
      <c r="E34" s="13" t="n">
        <f aca="false">SUMIF('Inventory Master'!$I$2:$I$525,$A34,'Inventory Master'!$W$2:$W$525)</f>
        <v>22</v>
      </c>
      <c r="F34" s="38" t="n">
        <f aca="false">SUM(B34:E34)</f>
        <v>402</v>
      </c>
      <c r="G34" s="39" t="n">
        <f aca="false">IFERROR(F34/F$39,0)</f>
        <v>0.0999751305645362</v>
      </c>
    </row>
    <row r="35" customFormat="false" ht="15" hidden="false" customHeight="true" outlineLevel="0" collapsed="false">
      <c r="A35" s="12" t="s">
        <v>161</v>
      </c>
      <c r="B35" s="13" t="n">
        <f aca="false">SUMIF('Inventory Master'!$I$2:$I$525,$A35,'Inventory Master'!$T$2:$T$525)</f>
        <v>619</v>
      </c>
      <c r="C35" s="13" t="n">
        <f aca="false">SUMIF('Inventory Master'!$I$2:$I$525,$A35,'Inventory Master'!$U$2:$U$525)</f>
        <v>315</v>
      </c>
      <c r="D35" s="13" t="n">
        <f aca="false">SUMIF('Inventory Master'!$I$2:$I$525,$A35,'Inventory Master'!$V$2:$V$525)</f>
        <v>939</v>
      </c>
      <c r="E35" s="13" t="n">
        <f aca="false">SUMIF('Inventory Master'!$I$2:$I$525,$A35,'Inventory Master'!$W$2:$W$525)</f>
        <v>204</v>
      </c>
      <c r="F35" s="38" t="n">
        <f aca="false">SUM(B35:E35)</f>
        <v>2077</v>
      </c>
      <c r="G35" s="39" t="n">
        <f aca="false">IFERROR(F35/F$39,0)</f>
        <v>0.516538174583437</v>
      </c>
    </row>
    <row r="36" customFormat="false" ht="15" hidden="false" customHeight="true" outlineLevel="0" collapsed="false">
      <c r="A36" s="12" t="s">
        <v>127</v>
      </c>
      <c r="B36" s="13" t="n">
        <f aca="false">SUMIF('Inventory Master'!$I$2:$I$525,$A36,'Inventory Master'!$T$2:$T$525)</f>
        <v>315</v>
      </c>
      <c r="C36" s="13" t="n">
        <f aca="false">SUMIF('Inventory Master'!$I$2:$I$525,$A36,'Inventory Master'!$U$2:$U$525)</f>
        <v>200</v>
      </c>
      <c r="D36" s="13" t="n">
        <f aca="false">SUMIF('Inventory Master'!$I$2:$I$525,$A36,'Inventory Master'!$V$2:$V$525)</f>
        <v>523</v>
      </c>
      <c r="E36" s="13" t="n">
        <f aca="false">SUMIF('Inventory Master'!$I$2:$I$525,$A36,'Inventory Master'!$W$2:$W$525)</f>
        <v>122</v>
      </c>
      <c r="F36" s="38" t="n">
        <f aca="false">SUM(B36:E36)</f>
        <v>1160</v>
      </c>
      <c r="G36" s="39" t="n">
        <f aca="false">IFERROR(F36/F$39,0)</f>
        <v>0.288485451380254</v>
      </c>
    </row>
    <row r="37" customFormat="false" ht="15" hidden="false" customHeight="true" outlineLevel="0" collapsed="false">
      <c r="A37" s="12" t="s">
        <v>111</v>
      </c>
      <c r="B37" s="13" t="n">
        <f aca="false">SUMIF('Inventory Master'!$I$2:$I$525,$A37,'Inventory Master'!$T$2:$T$525)</f>
        <v>79</v>
      </c>
      <c r="C37" s="13" t="n">
        <f aca="false">SUMIF('Inventory Master'!$I$2:$I$525,$A37,'Inventory Master'!$U$2:$U$525)</f>
        <v>30</v>
      </c>
      <c r="D37" s="13" t="n">
        <f aca="false">SUMIF('Inventory Master'!$I$2:$I$525,$A37,'Inventory Master'!$V$2:$V$525)</f>
        <v>111</v>
      </c>
      <c r="E37" s="13" t="n">
        <f aca="false">SUMIF('Inventory Master'!$I$2:$I$525,$A37,'Inventory Master'!$W$2:$W$525)</f>
        <v>21</v>
      </c>
      <c r="F37" s="38" t="n">
        <f aca="false">SUM(B37:E37)</f>
        <v>241</v>
      </c>
      <c r="G37" s="39" t="n">
        <f aca="false">IFERROR(F37/F$39,0)</f>
        <v>0.0599353394677941</v>
      </c>
    </row>
    <row r="38" customFormat="false" ht="15" hidden="false" customHeight="true" outlineLevel="0" collapsed="false">
      <c r="A38" s="12" t="s">
        <v>771</v>
      </c>
      <c r="B38" s="13" t="n">
        <f aca="false">SUMIF('Inventory Master'!$I$2:$I$525,$A38,'Inventory Master'!$T$2:$T$525)</f>
        <v>21</v>
      </c>
      <c r="C38" s="13" t="n">
        <f aca="false">SUMIF('Inventory Master'!$I$2:$I$525,$A38,'Inventory Master'!$U$2:$U$525)</f>
        <v>17</v>
      </c>
      <c r="D38" s="13" t="n">
        <f aca="false">SUMIF('Inventory Master'!$I$2:$I$525,$A38,'Inventory Master'!$V$2:$V$525)</f>
        <v>62</v>
      </c>
      <c r="E38" s="13" t="n">
        <f aca="false">SUMIF('Inventory Master'!$I$2:$I$525,$A38,'Inventory Master'!$W$2:$W$525)</f>
        <v>6</v>
      </c>
      <c r="F38" s="38" t="n">
        <f aca="false">SUM(B38:E38)</f>
        <v>106</v>
      </c>
      <c r="G38" s="39" t="n">
        <f aca="false">IFERROR(F38/F$39,0)</f>
        <v>0.0263616015916439</v>
      </c>
    </row>
    <row r="39" customFormat="false" ht="15" hidden="false" customHeight="true" outlineLevel="0" collapsed="false">
      <c r="A39" s="40" t="s">
        <v>1887</v>
      </c>
      <c r="B39" s="41" t="n">
        <f aca="false">SUM(B33:B38)</f>
        <v>1152</v>
      </c>
      <c r="C39" s="41" t="n">
        <f aca="false">SUM(C33:C38)</f>
        <v>663</v>
      </c>
      <c r="D39" s="41" t="n">
        <f aca="false">SUM(D33:D38)</f>
        <v>1831</v>
      </c>
      <c r="E39" s="41" t="n">
        <f aca="false">SUM(E33:E38)</f>
        <v>375</v>
      </c>
      <c r="F39" s="41" t="n">
        <f aca="false">SUM(F33:F38)</f>
        <v>4021</v>
      </c>
      <c r="G39" s="42" t="n">
        <f aca="false">IFERROR(F39/F39,0)</f>
        <v>1</v>
      </c>
    </row>
    <row r="42" customFormat="false" ht="15" hidden="false" customHeight="true" outlineLevel="0" collapsed="false">
      <c r="A42" s="5" t="s">
        <v>1889</v>
      </c>
    </row>
    <row r="43" customFormat="false" ht="15" hidden="false" customHeight="true" outlineLevel="0" collapsed="false">
      <c r="A43" s="10" t="s">
        <v>87</v>
      </c>
      <c r="B43" s="10" t="s">
        <v>1881</v>
      </c>
      <c r="C43" s="10" t="s">
        <v>1882</v>
      </c>
      <c r="D43" s="10" t="s">
        <v>1883</v>
      </c>
      <c r="E43" s="10" t="s">
        <v>1884</v>
      </c>
      <c r="F43" s="10" t="s">
        <v>1885</v>
      </c>
      <c r="G43" s="10" t="s">
        <v>1886</v>
      </c>
    </row>
    <row r="44" customFormat="false" ht="15" hidden="false" customHeight="true" outlineLevel="0" collapsed="false">
      <c r="A44" s="12" t="s">
        <v>150</v>
      </c>
      <c r="B44" s="13" t="n">
        <f aca="false">SUMIF('Inventory Master'!$K$2:$K$525,$A44,'Inventory Master'!$T$2:$T$525)</f>
        <v>109</v>
      </c>
      <c r="C44" s="13" t="n">
        <f aca="false">SUMIF('Inventory Master'!$K$2:$K$525,$A44,'Inventory Master'!$U$2:$U$525)</f>
        <v>53</v>
      </c>
      <c r="D44" s="13" t="n">
        <f aca="false">SUMIF('Inventory Master'!$K$2:$K$525,$A44,'Inventory Master'!$V$2:$V$525)</f>
        <v>170</v>
      </c>
      <c r="E44" s="13" t="n">
        <f aca="false">SUMIF('Inventory Master'!$K$2:$K$525,$A44,'Inventory Master'!$W$2:$W$525)</f>
        <v>36</v>
      </c>
      <c r="F44" s="38" t="n">
        <f aca="false">SUM(B44:E44)</f>
        <v>368</v>
      </c>
      <c r="G44" s="39" t="n">
        <f aca="false">IFERROR(F44/F$49,0)</f>
        <v>0.0915195225068391</v>
      </c>
    </row>
    <row r="45" customFormat="false" ht="15" hidden="false" customHeight="true" outlineLevel="0" collapsed="false">
      <c r="A45" s="12" t="s">
        <v>199</v>
      </c>
      <c r="B45" s="13" t="n">
        <f aca="false">SUMIF('Inventory Master'!$K$2:$K$525,$A45,'Inventory Master'!$T$2:$T$525)</f>
        <v>35</v>
      </c>
      <c r="C45" s="13" t="n">
        <f aca="false">SUMIF('Inventory Master'!$K$2:$K$525,$A45,'Inventory Master'!$U$2:$U$525)</f>
        <v>14</v>
      </c>
      <c r="D45" s="13" t="n">
        <f aca="false">SUMIF('Inventory Master'!$K$2:$K$525,$A45,'Inventory Master'!$V$2:$V$525)</f>
        <v>60</v>
      </c>
      <c r="E45" s="13" t="n">
        <f aca="false">SUMIF('Inventory Master'!$K$2:$K$525,$A45,'Inventory Master'!$W$2:$W$525)</f>
        <v>29</v>
      </c>
      <c r="F45" s="38" t="n">
        <f aca="false">SUM(B45:E45)</f>
        <v>138</v>
      </c>
      <c r="G45" s="39" t="n">
        <f aca="false">IFERROR(F45/F$49,0)</f>
        <v>0.0343198209400647</v>
      </c>
    </row>
    <row r="46" customFormat="false" ht="15" hidden="false" customHeight="true" outlineLevel="0" collapsed="false">
      <c r="A46" s="12" t="s">
        <v>113</v>
      </c>
      <c r="B46" s="13" t="n">
        <f aca="false">SUMIF('Inventory Master'!$K$2:$K$525,$A46,'Inventory Master'!$T$2:$T$525)</f>
        <v>556</v>
      </c>
      <c r="C46" s="13" t="n">
        <f aca="false">SUMIF('Inventory Master'!$K$2:$K$525,$A46,'Inventory Master'!$U$2:$U$525)</f>
        <v>339</v>
      </c>
      <c r="D46" s="13" t="n">
        <f aca="false">SUMIF('Inventory Master'!$K$2:$K$525,$A46,'Inventory Master'!$V$2:$V$525)</f>
        <v>924</v>
      </c>
      <c r="E46" s="13" t="n">
        <f aca="false">SUMIF('Inventory Master'!$K$2:$K$525,$A46,'Inventory Master'!$W$2:$W$525)</f>
        <v>168</v>
      </c>
      <c r="F46" s="38" t="n">
        <f aca="false">SUM(B46:E46)</f>
        <v>1987</v>
      </c>
      <c r="G46" s="39" t="n">
        <f aca="false">IFERROR(F46/F$49,0)</f>
        <v>0.494155682666003</v>
      </c>
    </row>
    <row r="47" customFormat="false" ht="15" hidden="false" customHeight="true" outlineLevel="0" collapsed="false">
      <c r="A47" s="12" t="s">
        <v>209</v>
      </c>
      <c r="B47" s="13" t="n">
        <f aca="false">SUMIF('Inventory Master'!$K$2:$K$525,$A47,'Inventory Master'!$T$2:$T$525)</f>
        <v>147</v>
      </c>
      <c r="C47" s="13" t="n">
        <f aca="false">SUMIF('Inventory Master'!$K$2:$K$525,$A47,'Inventory Master'!$U$2:$U$525)</f>
        <v>51</v>
      </c>
      <c r="D47" s="13" t="n">
        <f aca="false">SUMIF('Inventory Master'!$K$2:$K$525,$A47,'Inventory Master'!$V$2:$V$525)</f>
        <v>199</v>
      </c>
      <c r="E47" s="13" t="n">
        <f aca="false">SUMIF('Inventory Master'!$K$2:$K$525,$A47,'Inventory Master'!$W$2:$W$525)</f>
        <v>54</v>
      </c>
      <c r="F47" s="38" t="n">
        <f aca="false">SUM(B47:E47)</f>
        <v>451</v>
      </c>
      <c r="G47" s="39" t="n">
        <f aca="false">IFERROR(F47/F$49,0)</f>
        <v>0.112161153941806</v>
      </c>
    </row>
    <row r="48" customFormat="false" ht="15" hidden="false" customHeight="true" outlineLevel="0" collapsed="false">
      <c r="A48" s="12" t="s">
        <v>187</v>
      </c>
      <c r="B48" s="13" t="n">
        <f aca="false">SUMIF('Inventory Master'!$K$2:$K$525,$A48,'Inventory Master'!$T$2:$T$525)</f>
        <v>305</v>
      </c>
      <c r="C48" s="13" t="n">
        <f aca="false">SUMIF('Inventory Master'!$K$2:$K$525,$A48,'Inventory Master'!$U$2:$U$525)</f>
        <v>206</v>
      </c>
      <c r="D48" s="13" t="n">
        <f aca="false">SUMIF('Inventory Master'!$K$2:$K$525,$A48,'Inventory Master'!$V$2:$V$525)</f>
        <v>478</v>
      </c>
      <c r="E48" s="13" t="n">
        <f aca="false">SUMIF('Inventory Master'!$K$2:$K$525,$A48,'Inventory Master'!$W$2:$W$525)</f>
        <v>88</v>
      </c>
      <c r="F48" s="38" t="n">
        <f aca="false">SUM(B48:E48)</f>
        <v>1077</v>
      </c>
      <c r="G48" s="39" t="n">
        <f aca="false">IFERROR(F48/F$49,0)</f>
        <v>0.267843819945287</v>
      </c>
    </row>
    <row r="49" customFormat="false" ht="15" hidden="false" customHeight="true" outlineLevel="0" collapsed="false">
      <c r="A49" s="40" t="s">
        <v>1887</v>
      </c>
      <c r="B49" s="41" t="n">
        <f aca="false">SUM(B44:B48)</f>
        <v>1152</v>
      </c>
      <c r="C49" s="41" t="n">
        <f aca="false">SUM(C44:C48)</f>
        <v>663</v>
      </c>
      <c r="D49" s="41" t="n">
        <f aca="false">SUM(D44:D48)</f>
        <v>1831</v>
      </c>
      <c r="E49" s="41" t="n">
        <f aca="false">SUM(E44:E48)</f>
        <v>375</v>
      </c>
      <c r="F49" s="41" t="n">
        <f aca="false">SUM(F44:F48)</f>
        <v>4021</v>
      </c>
      <c r="G49" s="42" t="n">
        <f aca="false">IFERROR(F49/F49,0)</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2026-07-29T18:31:45Z</dcterms:created>
  <dc:creator>openpyxl</dc:creator>
  <dc:description/>
  <dc:language>en-US</dc:language>
  <cp:lastModifiedBy/>
  <dcterms:modified xsi:type="dcterms:W3CDTF">2026-07-29T18:48:23Z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